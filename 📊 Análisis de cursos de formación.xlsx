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https://indra365-my.sharepoint.com/personal/mquiros_eservicios_indra_es/Documents/Escritorio/Máster Data &amp; Analytics/1 Proyecto Dashboard &amp; Análisis de Datos/"/>
    </mc:Choice>
  </mc:AlternateContent>
  <xr:revisionPtr revIDLastSave="645" documentId="8_{B142D826-A111-4FBD-8D50-7312422C529D}" xr6:coauthVersionLast="47" xr6:coauthVersionMax="47" xr10:uidLastSave="{57582160-24D1-4962-99FC-57FD42D64D38}"/>
  <bookViews>
    <workbookView xWindow="28680" yWindow="-120" windowWidth="29040" windowHeight="15720" xr2:uid="{B8D50908-30E3-4D65-B59C-84272049C34D}"/>
  </bookViews>
  <sheets>
    <sheet name="Readme" sheetId="5" r:id="rId1"/>
    <sheet name="Base de datos" sheetId="1" r:id="rId2"/>
    <sheet name="TD" sheetId="3" r:id="rId3"/>
    <sheet name="Dashboard" sheetId="4" r:id="rId4"/>
  </sheets>
  <definedNames>
    <definedName name="_xlnm._FilterDatabase" localSheetId="1" hidden="1">'Base de datos'!$A$1:$K$2043</definedName>
    <definedName name="_xlcn.WorksheetConnection_ProyectoDashboardAnálisisdeDatos.xlsxTabla21" hidden="1">Tabla2[]</definedName>
    <definedName name="SegmentaciónDeDatos_Edad">#N/A</definedName>
    <definedName name="SegmentaciónDeDatos_Género">#N/A</definedName>
    <definedName name="SegmentaciónDeDatos_Trimestre_de_inicio">#N/A</definedName>
  </definedNames>
  <calcPr calcId="191029"/>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2" name="Tabla2" connection="WorksheetConnection_Proyecto Dashboard &amp; Análisis de Datos.xlsx!Tabla2"/>
        </x15:modelTables>
        <x15:extLst>
          <ext xmlns:x16="http://schemas.microsoft.com/office/spreadsheetml/2014/11/main" uri="{9835A34E-60A6-4A7C-AAB8-D5F71C897F49}">
            <x16:modelTimeGroupings>
              <x16:modelTimeGrouping tableName="Tabla2" columnName="Fecha de inicio" columnId="Fecha de inicio">
                <x16:calculatedTimeColumn columnName="Fecha de inicio (índice de meses)" columnId="Fecha de inicio (índice de meses)" contentType="monthsindex" isSelected="1"/>
                <x16:calculatedTimeColumn columnName="Fecha de inicio (mes)" columnId="Fecha de inicio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O2" i="1"/>
  <c r="P2" i="1"/>
  <c r="N3" i="1"/>
  <c r="O3" i="1"/>
  <c r="P3" i="1"/>
  <c r="N4" i="1"/>
  <c r="O4" i="1"/>
  <c r="P4" i="1"/>
  <c r="N5" i="1"/>
  <c r="O5" i="1"/>
  <c r="P5" i="1"/>
  <c r="N6" i="1"/>
  <c r="O6" i="1"/>
  <c r="P6" i="1"/>
  <c r="N7" i="1"/>
  <c r="O7" i="1"/>
  <c r="P7" i="1"/>
  <c r="N8" i="1"/>
  <c r="O8" i="1"/>
  <c r="P8" i="1"/>
  <c r="N9" i="1"/>
  <c r="O9" i="1"/>
  <c r="P9" i="1"/>
  <c r="N10" i="1"/>
  <c r="O10" i="1"/>
  <c r="P10" i="1"/>
  <c r="N11" i="1"/>
  <c r="O11" i="1"/>
  <c r="P11" i="1"/>
  <c r="N12" i="1"/>
  <c r="O12" i="1"/>
  <c r="P12" i="1"/>
  <c r="N13" i="1"/>
  <c r="O13" i="1"/>
  <c r="P13" i="1"/>
  <c r="N14" i="1"/>
  <c r="O14" i="1"/>
  <c r="P14" i="1"/>
  <c r="N15" i="1"/>
  <c r="O15" i="1"/>
  <c r="P15" i="1"/>
  <c r="N16" i="1"/>
  <c r="O16" i="1"/>
  <c r="P16" i="1"/>
  <c r="N17" i="1"/>
  <c r="O17" i="1"/>
  <c r="P17" i="1"/>
  <c r="N18" i="1"/>
  <c r="O18" i="1"/>
  <c r="P18" i="1"/>
  <c r="N19" i="1"/>
  <c r="O19" i="1"/>
  <c r="P19" i="1"/>
  <c r="N20" i="1"/>
  <c r="O20" i="1"/>
  <c r="P20" i="1"/>
  <c r="N21" i="1"/>
  <c r="O21" i="1"/>
  <c r="P21" i="1"/>
  <c r="N22" i="1"/>
  <c r="O22" i="1"/>
  <c r="P22" i="1"/>
  <c r="N23" i="1"/>
  <c r="O23" i="1"/>
  <c r="P23" i="1"/>
  <c r="N24" i="1"/>
  <c r="O24" i="1"/>
  <c r="P24" i="1"/>
  <c r="N25" i="1"/>
  <c r="O25" i="1"/>
  <c r="P25" i="1"/>
  <c r="N26" i="1"/>
  <c r="O26" i="1"/>
  <c r="P26" i="1"/>
  <c r="N27" i="1"/>
  <c r="O27" i="1"/>
  <c r="P27" i="1"/>
  <c r="N28" i="1"/>
  <c r="O28" i="1"/>
  <c r="P28" i="1"/>
  <c r="N29" i="1"/>
  <c r="O29" i="1"/>
  <c r="P29" i="1"/>
  <c r="N30" i="1"/>
  <c r="O30" i="1"/>
  <c r="P30" i="1"/>
  <c r="N31" i="1"/>
  <c r="O31" i="1"/>
  <c r="P31" i="1"/>
  <c r="N32" i="1"/>
  <c r="O32" i="1"/>
  <c r="P32" i="1"/>
  <c r="N33" i="1"/>
  <c r="O33" i="1"/>
  <c r="P33" i="1"/>
  <c r="N34" i="1"/>
  <c r="O34" i="1"/>
  <c r="P34" i="1"/>
  <c r="N35" i="1"/>
  <c r="O35" i="1"/>
  <c r="P35" i="1"/>
  <c r="N36" i="1"/>
  <c r="O36" i="1"/>
  <c r="P36" i="1"/>
  <c r="N37" i="1"/>
  <c r="O37" i="1"/>
  <c r="P37" i="1"/>
  <c r="N38" i="1"/>
  <c r="O38" i="1"/>
  <c r="P38" i="1"/>
  <c r="N39" i="1"/>
  <c r="O39" i="1"/>
  <c r="P39" i="1"/>
  <c r="N40" i="1"/>
  <c r="O40" i="1"/>
  <c r="P40" i="1"/>
  <c r="N41" i="1"/>
  <c r="O41" i="1"/>
  <c r="P41" i="1"/>
  <c r="N42" i="1"/>
  <c r="O42" i="1"/>
  <c r="P42" i="1"/>
  <c r="N43" i="1"/>
  <c r="O43" i="1"/>
  <c r="P43" i="1"/>
  <c r="N44" i="1"/>
  <c r="O44" i="1"/>
  <c r="P44" i="1"/>
  <c r="N45" i="1"/>
  <c r="O45" i="1"/>
  <c r="P45" i="1"/>
  <c r="N46" i="1"/>
  <c r="O46" i="1"/>
  <c r="P46" i="1"/>
  <c r="N47" i="1"/>
  <c r="O47" i="1"/>
  <c r="P47" i="1"/>
  <c r="N48" i="1"/>
  <c r="O48" i="1"/>
  <c r="P48" i="1"/>
  <c r="N49" i="1"/>
  <c r="O49" i="1"/>
  <c r="P49" i="1"/>
  <c r="N50" i="1"/>
  <c r="O50" i="1"/>
  <c r="P50" i="1"/>
  <c r="N51" i="1"/>
  <c r="O51" i="1"/>
  <c r="P51" i="1"/>
  <c r="N52" i="1"/>
  <c r="O52" i="1"/>
  <c r="P52" i="1"/>
  <c r="N53" i="1"/>
  <c r="O53" i="1"/>
  <c r="P53" i="1"/>
  <c r="N54" i="1"/>
  <c r="O54" i="1"/>
  <c r="P54" i="1"/>
  <c r="N55" i="1"/>
  <c r="O55" i="1"/>
  <c r="P55" i="1"/>
  <c r="N56" i="1"/>
  <c r="O56" i="1"/>
  <c r="P56" i="1"/>
  <c r="N57" i="1"/>
  <c r="O57" i="1"/>
  <c r="P57" i="1"/>
  <c r="N58" i="1"/>
  <c r="O58" i="1"/>
  <c r="P58" i="1"/>
  <c r="N59" i="1"/>
  <c r="O59" i="1"/>
  <c r="P59" i="1"/>
  <c r="N60" i="1"/>
  <c r="O60" i="1"/>
  <c r="P60" i="1"/>
  <c r="N61" i="1"/>
  <c r="O61" i="1"/>
  <c r="P61" i="1"/>
  <c r="N62" i="1"/>
  <c r="O62" i="1"/>
  <c r="P62" i="1"/>
  <c r="N63" i="1"/>
  <c r="O63" i="1"/>
  <c r="P63" i="1"/>
  <c r="N64" i="1"/>
  <c r="O64" i="1"/>
  <c r="P64" i="1"/>
  <c r="N65" i="1"/>
  <c r="O65" i="1"/>
  <c r="P65" i="1"/>
  <c r="N66" i="1"/>
  <c r="O66" i="1"/>
  <c r="P66" i="1"/>
  <c r="N67" i="1"/>
  <c r="O67" i="1"/>
  <c r="P67" i="1"/>
  <c r="N68" i="1"/>
  <c r="O68" i="1"/>
  <c r="P68" i="1"/>
  <c r="N69" i="1"/>
  <c r="O69" i="1"/>
  <c r="P69" i="1"/>
  <c r="N70" i="1"/>
  <c r="O70" i="1"/>
  <c r="P70" i="1"/>
  <c r="N71" i="1"/>
  <c r="O71" i="1"/>
  <c r="P71" i="1"/>
  <c r="N72" i="1"/>
  <c r="O72" i="1"/>
  <c r="P72" i="1"/>
  <c r="N73" i="1"/>
  <c r="O73" i="1"/>
  <c r="P73" i="1"/>
  <c r="N74" i="1"/>
  <c r="O74" i="1"/>
  <c r="P74" i="1"/>
  <c r="N75" i="1"/>
  <c r="O75" i="1"/>
  <c r="P75" i="1"/>
  <c r="N76" i="1"/>
  <c r="O76" i="1"/>
  <c r="P76" i="1"/>
  <c r="N77" i="1"/>
  <c r="O77" i="1"/>
  <c r="P77" i="1"/>
  <c r="N78" i="1"/>
  <c r="O78" i="1"/>
  <c r="P78" i="1"/>
  <c r="N79" i="1"/>
  <c r="O79" i="1"/>
  <c r="P79" i="1"/>
  <c r="N80" i="1"/>
  <c r="O80" i="1"/>
  <c r="P80" i="1"/>
  <c r="N81" i="1"/>
  <c r="O81" i="1"/>
  <c r="P81" i="1"/>
  <c r="N82" i="1"/>
  <c r="O82" i="1"/>
  <c r="P82" i="1"/>
  <c r="N83" i="1"/>
  <c r="O83" i="1"/>
  <c r="P83" i="1"/>
  <c r="N84" i="1"/>
  <c r="O84" i="1"/>
  <c r="P84" i="1"/>
  <c r="N85" i="1"/>
  <c r="O85" i="1"/>
  <c r="P85" i="1"/>
  <c r="N86" i="1"/>
  <c r="O86" i="1"/>
  <c r="P86" i="1"/>
  <c r="N87" i="1"/>
  <c r="O87" i="1"/>
  <c r="P87" i="1"/>
  <c r="N88" i="1"/>
  <c r="O88" i="1"/>
  <c r="P88" i="1"/>
  <c r="N89" i="1"/>
  <c r="O89" i="1"/>
  <c r="P89" i="1"/>
  <c r="N90" i="1"/>
  <c r="O90" i="1"/>
  <c r="P90" i="1"/>
  <c r="N91" i="1"/>
  <c r="O91" i="1"/>
  <c r="P91" i="1"/>
  <c r="N92" i="1"/>
  <c r="O92" i="1"/>
  <c r="P92" i="1"/>
  <c r="N93" i="1"/>
  <c r="O93" i="1"/>
  <c r="P93" i="1"/>
  <c r="N94" i="1"/>
  <c r="O94" i="1"/>
  <c r="P94" i="1"/>
  <c r="N95" i="1"/>
  <c r="O95" i="1"/>
  <c r="P95" i="1"/>
  <c r="N96" i="1"/>
  <c r="O96" i="1"/>
  <c r="P96" i="1"/>
  <c r="N97" i="1"/>
  <c r="O97" i="1"/>
  <c r="P97" i="1"/>
  <c r="N98" i="1"/>
  <c r="O98" i="1"/>
  <c r="P98" i="1"/>
  <c r="N99" i="1"/>
  <c r="O99" i="1"/>
  <c r="P99" i="1"/>
  <c r="N100" i="1"/>
  <c r="O100" i="1"/>
  <c r="P100" i="1"/>
  <c r="N101" i="1"/>
  <c r="O101" i="1"/>
  <c r="P101" i="1"/>
  <c r="N102" i="1"/>
  <c r="O102" i="1"/>
  <c r="P102" i="1"/>
  <c r="N103" i="1"/>
  <c r="O103" i="1"/>
  <c r="P103" i="1"/>
  <c r="N104" i="1"/>
  <c r="O104" i="1"/>
  <c r="P104" i="1"/>
  <c r="N105" i="1"/>
  <c r="O105" i="1"/>
  <c r="P105" i="1"/>
  <c r="N106" i="1"/>
  <c r="O106" i="1"/>
  <c r="P106" i="1"/>
  <c r="N107" i="1"/>
  <c r="O107" i="1"/>
  <c r="P107" i="1"/>
  <c r="N108" i="1"/>
  <c r="O108" i="1"/>
  <c r="P108" i="1"/>
  <c r="N109" i="1"/>
  <c r="O109" i="1"/>
  <c r="P109" i="1"/>
  <c r="N110" i="1"/>
  <c r="O110" i="1"/>
  <c r="P110" i="1"/>
  <c r="N111" i="1"/>
  <c r="O111" i="1"/>
  <c r="P111" i="1"/>
  <c r="N112" i="1"/>
  <c r="O112" i="1"/>
  <c r="P112" i="1"/>
  <c r="N113" i="1"/>
  <c r="O113" i="1"/>
  <c r="P113" i="1"/>
  <c r="N114" i="1"/>
  <c r="O114" i="1"/>
  <c r="P114" i="1"/>
  <c r="N115" i="1"/>
  <c r="O115" i="1"/>
  <c r="P115" i="1"/>
  <c r="N116" i="1"/>
  <c r="O116" i="1"/>
  <c r="P116" i="1"/>
  <c r="N117" i="1"/>
  <c r="O117" i="1"/>
  <c r="P117" i="1"/>
  <c r="N118" i="1"/>
  <c r="O118" i="1"/>
  <c r="P118" i="1"/>
  <c r="N119" i="1"/>
  <c r="O119" i="1"/>
  <c r="P119" i="1"/>
  <c r="N120" i="1"/>
  <c r="O120" i="1"/>
  <c r="P120" i="1"/>
  <c r="N121" i="1"/>
  <c r="O121" i="1"/>
  <c r="P121" i="1"/>
  <c r="N122" i="1"/>
  <c r="O122" i="1"/>
  <c r="P122" i="1"/>
  <c r="N123" i="1"/>
  <c r="O123" i="1"/>
  <c r="P123" i="1"/>
  <c r="N124" i="1"/>
  <c r="O124" i="1"/>
  <c r="P124" i="1"/>
  <c r="N125" i="1"/>
  <c r="O125" i="1"/>
  <c r="P125" i="1"/>
  <c r="N126" i="1"/>
  <c r="O126" i="1"/>
  <c r="P126" i="1"/>
  <c r="N127" i="1"/>
  <c r="O127" i="1"/>
  <c r="P127" i="1"/>
  <c r="N128" i="1"/>
  <c r="O128" i="1"/>
  <c r="P128" i="1"/>
  <c r="N129" i="1"/>
  <c r="O129" i="1"/>
  <c r="P129" i="1"/>
  <c r="N130" i="1"/>
  <c r="O130" i="1"/>
  <c r="P130" i="1"/>
  <c r="N131" i="1"/>
  <c r="O131" i="1"/>
  <c r="P131" i="1"/>
  <c r="N132" i="1"/>
  <c r="O132" i="1"/>
  <c r="P132" i="1"/>
  <c r="N133" i="1"/>
  <c r="O133" i="1"/>
  <c r="P133" i="1"/>
  <c r="N134" i="1"/>
  <c r="O134" i="1"/>
  <c r="P134" i="1"/>
  <c r="N135" i="1"/>
  <c r="O135" i="1"/>
  <c r="P135" i="1"/>
  <c r="N136" i="1"/>
  <c r="O136" i="1"/>
  <c r="P136" i="1"/>
  <c r="N137" i="1"/>
  <c r="O137" i="1"/>
  <c r="P137" i="1"/>
  <c r="N138" i="1"/>
  <c r="O138" i="1"/>
  <c r="P138" i="1"/>
  <c r="N139" i="1"/>
  <c r="O139" i="1"/>
  <c r="P139" i="1"/>
  <c r="N140" i="1"/>
  <c r="O140" i="1"/>
  <c r="P140" i="1"/>
  <c r="N141" i="1"/>
  <c r="O141" i="1"/>
  <c r="P141" i="1"/>
  <c r="N142" i="1"/>
  <c r="O142" i="1"/>
  <c r="P142" i="1"/>
  <c r="N143" i="1"/>
  <c r="O143" i="1"/>
  <c r="P143" i="1"/>
  <c r="N144" i="1"/>
  <c r="O144" i="1"/>
  <c r="P144" i="1"/>
  <c r="N145" i="1"/>
  <c r="O145" i="1"/>
  <c r="P145" i="1"/>
  <c r="N146" i="1"/>
  <c r="O146" i="1"/>
  <c r="P146" i="1"/>
  <c r="N147" i="1"/>
  <c r="O147" i="1"/>
  <c r="P147" i="1"/>
  <c r="N148" i="1"/>
  <c r="O148" i="1"/>
  <c r="P148" i="1"/>
  <c r="N149" i="1"/>
  <c r="O149" i="1"/>
  <c r="P149" i="1"/>
  <c r="N150" i="1"/>
  <c r="O150" i="1"/>
  <c r="P150" i="1"/>
  <c r="N151" i="1"/>
  <c r="O151" i="1"/>
  <c r="P151" i="1"/>
  <c r="N152" i="1"/>
  <c r="O152" i="1"/>
  <c r="P152" i="1"/>
  <c r="N153" i="1"/>
  <c r="O153" i="1"/>
  <c r="P153" i="1"/>
  <c r="N154" i="1"/>
  <c r="O154" i="1"/>
  <c r="P154" i="1"/>
  <c r="N155" i="1"/>
  <c r="O155" i="1"/>
  <c r="P155" i="1"/>
  <c r="N156" i="1"/>
  <c r="O156" i="1"/>
  <c r="P156" i="1"/>
  <c r="N157" i="1"/>
  <c r="O157" i="1"/>
  <c r="P157" i="1"/>
  <c r="N158" i="1"/>
  <c r="O158" i="1"/>
  <c r="P158" i="1"/>
  <c r="N159" i="1"/>
  <c r="O159" i="1"/>
  <c r="P159" i="1"/>
  <c r="N160" i="1"/>
  <c r="O160" i="1"/>
  <c r="P160" i="1"/>
  <c r="N161" i="1"/>
  <c r="O161" i="1"/>
  <c r="P161" i="1"/>
  <c r="N162" i="1"/>
  <c r="O162" i="1"/>
  <c r="P162" i="1"/>
  <c r="N163" i="1"/>
  <c r="O163" i="1"/>
  <c r="P163" i="1"/>
  <c r="N164" i="1"/>
  <c r="O164" i="1"/>
  <c r="P164" i="1"/>
  <c r="N165" i="1"/>
  <c r="O165" i="1"/>
  <c r="P165" i="1"/>
  <c r="N166" i="1"/>
  <c r="O166" i="1"/>
  <c r="P166" i="1"/>
  <c r="N167" i="1"/>
  <c r="O167" i="1"/>
  <c r="P167" i="1"/>
  <c r="N168" i="1"/>
  <c r="O168" i="1"/>
  <c r="P168" i="1"/>
  <c r="N169" i="1"/>
  <c r="O169" i="1"/>
  <c r="P169" i="1"/>
  <c r="N170" i="1"/>
  <c r="O170" i="1"/>
  <c r="P170" i="1"/>
  <c r="N171" i="1"/>
  <c r="O171" i="1"/>
  <c r="P171" i="1"/>
  <c r="N172" i="1"/>
  <c r="O172" i="1"/>
  <c r="P172" i="1"/>
  <c r="N173" i="1"/>
  <c r="O173" i="1"/>
  <c r="P173" i="1"/>
  <c r="N174" i="1"/>
  <c r="O174" i="1"/>
  <c r="P174" i="1"/>
  <c r="N175" i="1"/>
  <c r="O175" i="1"/>
  <c r="P175" i="1"/>
  <c r="N176" i="1"/>
  <c r="O176" i="1"/>
  <c r="P176" i="1"/>
  <c r="N177" i="1"/>
  <c r="O177" i="1"/>
  <c r="P177" i="1"/>
  <c r="N178" i="1"/>
  <c r="O178" i="1"/>
  <c r="P178" i="1"/>
  <c r="N179" i="1"/>
  <c r="O179" i="1"/>
  <c r="P179" i="1"/>
  <c r="N180" i="1"/>
  <c r="O180" i="1"/>
  <c r="P180" i="1"/>
  <c r="N181" i="1"/>
  <c r="O181" i="1"/>
  <c r="P181" i="1"/>
  <c r="N182" i="1"/>
  <c r="O182" i="1"/>
  <c r="P182" i="1"/>
  <c r="N183" i="1"/>
  <c r="O183" i="1"/>
  <c r="P183" i="1"/>
  <c r="N184" i="1"/>
  <c r="O184" i="1"/>
  <c r="P184" i="1"/>
  <c r="N185" i="1"/>
  <c r="O185" i="1"/>
  <c r="P185" i="1"/>
  <c r="N186" i="1"/>
  <c r="O186" i="1"/>
  <c r="P186" i="1"/>
  <c r="N187" i="1"/>
  <c r="O187" i="1"/>
  <c r="P187" i="1"/>
  <c r="N188" i="1"/>
  <c r="O188" i="1"/>
  <c r="P188" i="1"/>
  <c r="N189" i="1"/>
  <c r="O189" i="1"/>
  <c r="P189" i="1"/>
  <c r="N190" i="1"/>
  <c r="O190" i="1"/>
  <c r="P190" i="1"/>
  <c r="N191" i="1"/>
  <c r="O191" i="1"/>
  <c r="P191" i="1"/>
  <c r="N192" i="1"/>
  <c r="O192" i="1"/>
  <c r="P192" i="1"/>
  <c r="N193" i="1"/>
  <c r="O193" i="1"/>
  <c r="P193" i="1"/>
  <c r="N194" i="1"/>
  <c r="O194" i="1"/>
  <c r="P194" i="1"/>
  <c r="N195" i="1"/>
  <c r="O195" i="1"/>
  <c r="P195" i="1"/>
  <c r="N196" i="1"/>
  <c r="O196" i="1"/>
  <c r="P196" i="1"/>
  <c r="N197" i="1"/>
  <c r="O197" i="1"/>
  <c r="P197" i="1"/>
  <c r="N198" i="1"/>
  <c r="O198" i="1"/>
  <c r="P198" i="1"/>
  <c r="N199" i="1"/>
  <c r="O199" i="1"/>
  <c r="P199" i="1"/>
  <c r="N200" i="1"/>
  <c r="O200" i="1"/>
  <c r="P200" i="1"/>
  <c r="N201" i="1"/>
  <c r="O201" i="1"/>
  <c r="P201" i="1"/>
  <c r="N202" i="1"/>
  <c r="O202" i="1"/>
  <c r="P202" i="1"/>
  <c r="N203" i="1"/>
  <c r="O203" i="1"/>
  <c r="P203" i="1"/>
  <c r="N204" i="1"/>
  <c r="O204" i="1"/>
  <c r="P204" i="1"/>
  <c r="N205" i="1"/>
  <c r="O205" i="1"/>
  <c r="P205" i="1"/>
  <c r="N206" i="1"/>
  <c r="O206" i="1"/>
  <c r="P206" i="1"/>
  <c r="N207" i="1"/>
  <c r="O207" i="1"/>
  <c r="P207" i="1"/>
  <c r="N208" i="1"/>
  <c r="O208" i="1"/>
  <c r="P208" i="1"/>
  <c r="N209" i="1"/>
  <c r="O209" i="1"/>
  <c r="P209" i="1"/>
  <c r="N210" i="1"/>
  <c r="O210" i="1"/>
  <c r="P210" i="1"/>
  <c r="N211" i="1"/>
  <c r="O211" i="1"/>
  <c r="P211" i="1"/>
  <c r="N212" i="1"/>
  <c r="O212" i="1"/>
  <c r="P212" i="1"/>
  <c r="N213" i="1"/>
  <c r="O213" i="1"/>
  <c r="P213" i="1"/>
  <c r="N214" i="1"/>
  <c r="O214" i="1"/>
  <c r="P214" i="1"/>
  <c r="N215" i="1"/>
  <c r="O215" i="1"/>
  <c r="P215" i="1"/>
  <c r="N216" i="1"/>
  <c r="O216" i="1"/>
  <c r="P216" i="1"/>
  <c r="N217" i="1"/>
  <c r="O217" i="1"/>
  <c r="P217" i="1"/>
  <c r="N218" i="1"/>
  <c r="O218" i="1"/>
  <c r="P218" i="1"/>
  <c r="N219" i="1"/>
  <c r="O219" i="1"/>
  <c r="P219" i="1"/>
  <c r="N220" i="1"/>
  <c r="O220" i="1"/>
  <c r="P220" i="1"/>
  <c r="N221" i="1"/>
  <c r="O221" i="1"/>
  <c r="P221" i="1"/>
  <c r="N222" i="1"/>
  <c r="O222" i="1"/>
  <c r="P222" i="1"/>
  <c r="N223" i="1"/>
  <c r="O223" i="1"/>
  <c r="P223" i="1"/>
  <c r="N224" i="1"/>
  <c r="O224" i="1"/>
  <c r="P224" i="1"/>
  <c r="N225" i="1"/>
  <c r="O225" i="1"/>
  <c r="P225" i="1"/>
  <c r="N226" i="1"/>
  <c r="O226" i="1"/>
  <c r="P226" i="1"/>
  <c r="N227" i="1"/>
  <c r="O227" i="1"/>
  <c r="P227" i="1"/>
  <c r="N228" i="1"/>
  <c r="O228" i="1"/>
  <c r="P228" i="1"/>
  <c r="N229" i="1"/>
  <c r="O229" i="1"/>
  <c r="P229" i="1"/>
  <c r="N230" i="1"/>
  <c r="O230" i="1"/>
  <c r="P230" i="1"/>
  <c r="N231" i="1"/>
  <c r="O231" i="1"/>
  <c r="P231" i="1"/>
  <c r="N232" i="1"/>
  <c r="O232" i="1"/>
  <c r="P232" i="1"/>
  <c r="N233" i="1"/>
  <c r="O233" i="1"/>
  <c r="P233" i="1"/>
  <c r="N234" i="1"/>
  <c r="O234" i="1"/>
  <c r="P234" i="1"/>
  <c r="N235" i="1"/>
  <c r="O235" i="1"/>
  <c r="P235" i="1"/>
  <c r="N236" i="1"/>
  <c r="O236" i="1"/>
  <c r="P236" i="1"/>
  <c r="N237" i="1"/>
  <c r="O237" i="1"/>
  <c r="P237" i="1"/>
  <c r="N238" i="1"/>
  <c r="O238" i="1"/>
  <c r="P238" i="1"/>
  <c r="N239" i="1"/>
  <c r="O239" i="1"/>
  <c r="P239" i="1"/>
  <c r="N240" i="1"/>
  <c r="O240" i="1"/>
  <c r="P240" i="1"/>
  <c r="N241" i="1"/>
  <c r="O241" i="1"/>
  <c r="P241" i="1"/>
  <c r="N242" i="1"/>
  <c r="O242" i="1"/>
  <c r="P242" i="1"/>
  <c r="N243" i="1"/>
  <c r="O243" i="1"/>
  <c r="P243" i="1"/>
  <c r="N244" i="1"/>
  <c r="O244" i="1"/>
  <c r="P244" i="1"/>
  <c r="N245" i="1"/>
  <c r="O245" i="1"/>
  <c r="P245" i="1"/>
  <c r="N246" i="1"/>
  <c r="O246" i="1"/>
  <c r="P246" i="1"/>
  <c r="N247" i="1"/>
  <c r="O247" i="1"/>
  <c r="P247" i="1"/>
  <c r="N248" i="1"/>
  <c r="O248" i="1"/>
  <c r="P248" i="1"/>
  <c r="N249" i="1"/>
  <c r="O249" i="1"/>
  <c r="P249" i="1"/>
  <c r="N250" i="1"/>
  <c r="O250" i="1"/>
  <c r="P250" i="1"/>
  <c r="N251" i="1"/>
  <c r="O251" i="1"/>
  <c r="P251" i="1"/>
  <c r="N252" i="1"/>
  <c r="O252" i="1"/>
  <c r="P252" i="1"/>
  <c r="N253" i="1"/>
  <c r="O253" i="1"/>
  <c r="P253" i="1"/>
  <c r="N254" i="1"/>
  <c r="O254" i="1"/>
  <c r="P254" i="1"/>
  <c r="N255" i="1"/>
  <c r="O255" i="1"/>
  <c r="P255" i="1"/>
  <c r="N256" i="1"/>
  <c r="O256" i="1"/>
  <c r="P256" i="1"/>
  <c r="N257" i="1"/>
  <c r="O257" i="1"/>
  <c r="P257" i="1"/>
  <c r="N258" i="1"/>
  <c r="O258" i="1"/>
  <c r="P258" i="1"/>
  <c r="N259" i="1"/>
  <c r="O259" i="1"/>
  <c r="P259" i="1"/>
  <c r="N260" i="1"/>
  <c r="O260" i="1"/>
  <c r="P260" i="1"/>
  <c r="N261" i="1"/>
  <c r="O261" i="1"/>
  <c r="P261" i="1"/>
  <c r="N262" i="1"/>
  <c r="O262" i="1"/>
  <c r="P262" i="1"/>
  <c r="N263" i="1"/>
  <c r="O263" i="1"/>
  <c r="P263" i="1"/>
  <c r="N264" i="1"/>
  <c r="O264" i="1"/>
  <c r="P264" i="1"/>
  <c r="N265" i="1"/>
  <c r="O265" i="1"/>
  <c r="P265" i="1"/>
  <c r="N266" i="1"/>
  <c r="O266" i="1"/>
  <c r="P266" i="1"/>
  <c r="N267" i="1"/>
  <c r="O267" i="1"/>
  <c r="P267" i="1"/>
  <c r="N268" i="1"/>
  <c r="O268" i="1"/>
  <c r="P268" i="1"/>
  <c r="N269" i="1"/>
  <c r="O269" i="1"/>
  <c r="P269" i="1"/>
  <c r="N270" i="1"/>
  <c r="O270" i="1"/>
  <c r="P270" i="1"/>
  <c r="N271" i="1"/>
  <c r="O271" i="1"/>
  <c r="P271" i="1"/>
  <c r="N272" i="1"/>
  <c r="O272" i="1"/>
  <c r="P272" i="1"/>
  <c r="N273" i="1"/>
  <c r="O273" i="1"/>
  <c r="P273" i="1"/>
  <c r="N274" i="1"/>
  <c r="O274" i="1"/>
  <c r="P274" i="1"/>
  <c r="N275" i="1"/>
  <c r="O275" i="1"/>
  <c r="P275" i="1"/>
  <c r="N276" i="1"/>
  <c r="O276" i="1"/>
  <c r="P276" i="1"/>
  <c r="N277" i="1"/>
  <c r="O277" i="1"/>
  <c r="P277" i="1"/>
  <c r="N278" i="1"/>
  <c r="O278" i="1"/>
  <c r="P278" i="1"/>
  <c r="N279" i="1"/>
  <c r="O279" i="1"/>
  <c r="P279" i="1"/>
  <c r="N280" i="1"/>
  <c r="O280" i="1"/>
  <c r="P280" i="1"/>
  <c r="N281" i="1"/>
  <c r="O281" i="1"/>
  <c r="P281" i="1"/>
  <c r="N282" i="1"/>
  <c r="O282" i="1"/>
  <c r="P282" i="1"/>
  <c r="N283" i="1"/>
  <c r="O283" i="1"/>
  <c r="P283" i="1"/>
  <c r="N284" i="1"/>
  <c r="O284" i="1"/>
  <c r="P284" i="1"/>
  <c r="N285" i="1"/>
  <c r="O285" i="1"/>
  <c r="P285" i="1"/>
  <c r="N286" i="1"/>
  <c r="O286" i="1"/>
  <c r="P286" i="1"/>
  <c r="N287" i="1"/>
  <c r="O287" i="1"/>
  <c r="P287" i="1"/>
  <c r="N288" i="1"/>
  <c r="O288" i="1"/>
  <c r="P288" i="1"/>
  <c r="N289" i="1"/>
  <c r="O289" i="1"/>
  <c r="P289" i="1"/>
  <c r="N290" i="1"/>
  <c r="O290" i="1"/>
  <c r="P290" i="1"/>
  <c r="N291" i="1"/>
  <c r="O291" i="1"/>
  <c r="P291" i="1"/>
  <c r="N292" i="1"/>
  <c r="O292" i="1"/>
  <c r="P292" i="1"/>
  <c r="N293" i="1"/>
  <c r="O293" i="1"/>
  <c r="P293" i="1"/>
  <c r="N294" i="1"/>
  <c r="O294" i="1"/>
  <c r="P294" i="1"/>
  <c r="N295" i="1"/>
  <c r="O295" i="1"/>
  <c r="P295" i="1"/>
  <c r="N296" i="1"/>
  <c r="O296" i="1"/>
  <c r="P296" i="1"/>
  <c r="N297" i="1"/>
  <c r="O297" i="1"/>
  <c r="P297" i="1"/>
  <c r="N298" i="1"/>
  <c r="O298" i="1"/>
  <c r="P298" i="1"/>
  <c r="N299" i="1"/>
  <c r="O299" i="1"/>
  <c r="P299" i="1"/>
  <c r="N300" i="1"/>
  <c r="O300" i="1"/>
  <c r="P300" i="1"/>
  <c r="N301" i="1"/>
  <c r="O301" i="1"/>
  <c r="P301" i="1"/>
  <c r="N302" i="1"/>
  <c r="O302" i="1"/>
  <c r="P302" i="1"/>
  <c r="N303" i="1"/>
  <c r="O303" i="1"/>
  <c r="P303" i="1"/>
  <c r="N304" i="1"/>
  <c r="O304" i="1"/>
  <c r="P304" i="1"/>
  <c r="N305" i="1"/>
  <c r="O305" i="1"/>
  <c r="P305" i="1"/>
  <c r="N306" i="1"/>
  <c r="O306" i="1"/>
  <c r="P306" i="1"/>
  <c r="N307" i="1"/>
  <c r="O307" i="1"/>
  <c r="P307" i="1"/>
  <c r="N308" i="1"/>
  <c r="O308" i="1"/>
  <c r="P308" i="1"/>
  <c r="N309" i="1"/>
  <c r="O309" i="1"/>
  <c r="P309" i="1"/>
  <c r="N310" i="1"/>
  <c r="O310" i="1"/>
  <c r="P310" i="1"/>
  <c r="N311" i="1"/>
  <c r="O311" i="1"/>
  <c r="P311" i="1"/>
  <c r="N312" i="1"/>
  <c r="O312" i="1"/>
  <c r="P312" i="1"/>
  <c r="N313" i="1"/>
  <c r="O313" i="1"/>
  <c r="P313" i="1"/>
  <c r="N314" i="1"/>
  <c r="O314" i="1"/>
  <c r="P314" i="1"/>
  <c r="N315" i="1"/>
  <c r="O315" i="1"/>
  <c r="P315" i="1"/>
  <c r="N316" i="1"/>
  <c r="O316" i="1"/>
  <c r="P316" i="1"/>
  <c r="N317" i="1"/>
  <c r="O317" i="1"/>
  <c r="P317" i="1"/>
  <c r="N318" i="1"/>
  <c r="O318" i="1"/>
  <c r="P318" i="1"/>
  <c r="N319" i="1"/>
  <c r="O319" i="1"/>
  <c r="P319" i="1"/>
  <c r="N320" i="1"/>
  <c r="O320" i="1"/>
  <c r="P320" i="1"/>
  <c r="N321" i="1"/>
  <c r="O321" i="1"/>
  <c r="P321" i="1"/>
  <c r="N322" i="1"/>
  <c r="O322" i="1"/>
  <c r="P322" i="1"/>
  <c r="N323" i="1"/>
  <c r="O323" i="1"/>
  <c r="P323" i="1"/>
  <c r="N324" i="1"/>
  <c r="O324" i="1"/>
  <c r="P324" i="1"/>
  <c r="N325" i="1"/>
  <c r="O325" i="1"/>
  <c r="P325" i="1"/>
  <c r="N326" i="1"/>
  <c r="O326" i="1"/>
  <c r="P326" i="1"/>
  <c r="N327" i="1"/>
  <c r="O327" i="1"/>
  <c r="P327" i="1"/>
  <c r="N328" i="1"/>
  <c r="O328" i="1"/>
  <c r="P328" i="1"/>
  <c r="N329" i="1"/>
  <c r="O329" i="1"/>
  <c r="P329" i="1"/>
  <c r="N330" i="1"/>
  <c r="O330" i="1"/>
  <c r="P330" i="1"/>
  <c r="N331" i="1"/>
  <c r="O331" i="1"/>
  <c r="P331" i="1"/>
  <c r="N332" i="1"/>
  <c r="O332" i="1"/>
  <c r="P332" i="1"/>
  <c r="N333" i="1"/>
  <c r="O333" i="1"/>
  <c r="P333" i="1"/>
  <c r="N334" i="1"/>
  <c r="O334" i="1"/>
  <c r="P334" i="1"/>
  <c r="N335" i="1"/>
  <c r="O335" i="1"/>
  <c r="P335" i="1"/>
  <c r="N336" i="1"/>
  <c r="O336" i="1"/>
  <c r="P336" i="1"/>
  <c r="N337" i="1"/>
  <c r="O337" i="1"/>
  <c r="P337" i="1"/>
  <c r="N338" i="1"/>
  <c r="O338" i="1"/>
  <c r="P338" i="1"/>
  <c r="N339" i="1"/>
  <c r="O339" i="1"/>
  <c r="P339" i="1"/>
  <c r="N340" i="1"/>
  <c r="O340" i="1"/>
  <c r="P340" i="1"/>
  <c r="N341" i="1"/>
  <c r="O341" i="1"/>
  <c r="P341" i="1"/>
  <c r="N342" i="1"/>
  <c r="O342" i="1"/>
  <c r="P342" i="1"/>
  <c r="N343" i="1"/>
  <c r="O343" i="1"/>
  <c r="P343" i="1"/>
  <c r="N344" i="1"/>
  <c r="O344" i="1"/>
  <c r="P344" i="1"/>
  <c r="N345" i="1"/>
  <c r="O345" i="1"/>
  <c r="P345" i="1"/>
  <c r="N346" i="1"/>
  <c r="O346" i="1"/>
  <c r="P346" i="1"/>
  <c r="N347" i="1"/>
  <c r="O347" i="1"/>
  <c r="P347" i="1"/>
  <c r="N348" i="1"/>
  <c r="O348" i="1"/>
  <c r="P348" i="1"/>
  <c r="N349" i="1"/>
  <c r="O349" i="1"/>
  <c r="P349" i="1"/>
  <c r="N350" i="1"/>
  <c r="O350" i="1"/>
  <c r="P350" i="1"/>
  <c r="N351" i="1"/>
  <c r="O351" i="1"/>
  <c r="P351" i="1"/>
  <c r="N352" i="1"/>
  <c r="O352" i="1"/>
  <c r="P352" i="1"/>
  <c r="N353" i="1"/>
  <c r="O353" i="1"/>
  <c r="P353" i="1"/>
  <c r="N354" i="1"/>
  <c r="O354" i="1"/>
  <c r="P354" i="1"/>
  <c r="N355" i="1"/>
  <c r="O355" i="1"/>
  <c r="P355" i="1"/>
  <c r="N356" i="1"/>
  <c r="O356" i="1"/>
  <c r="P356" i="1"/>
  <c r="N357" i="1"/>
  <c r="O357" i="1"/>
  <c r="P357" i="1"/>
  <c r="N358" i="1"/>
  <c r="O358" i="1"/>
  <c r="P358" i="1"/>
  <c r="N359" i="1"/>
  <c r="O359" i="1"/>
  <c r="P359" i="1"/>
  <c r="N360" i="1"/>
  <c r="O360" i="1"/>
  <c r="P360" i="1"/>
  <c r="N361" i="1"/>
  <c r="O361" i="1"/>
  <c r="P361" i="1"/>
  <c r="N362" i="1"/>
  <c r="O362" i="1"/>
  <c r="P362" i="1"/>
  <c r="N363" i="1"/>
  <c r="O363" i="1"/>
  <c r="P363" i="1"/>
  <c r="N364" i="1"/>
  <c r="O364" i="1"/>
  <c r="P364" i="1"/>
  <c r="N365" i="1"/>
  <c r="O365" i="1"/>
  <c r="P365" i="1"/>
  <c r="N366" i="1"/>
  <c r="O366" i="1"/>
  <c r="P366" i="1"/>
  <c r="N367" i="1"/>
  <c r="O367" i="1"/>
  <c r="P367" i="1"/>
  <c r="N368" i="1"/>
  <c r="O368" i="1"/>
  <c r="P368" i="1"/>
  <c r="N369" i="1"/>
  <c r="O369" i="1"/>
  <c r="P369" i="1"/>
  <c r="N370" i="1"/>
  <c r="O370" i="1"/>
  <c r="P370" i="1"/>
  <c r="N371" i="1"/>
  <c r="O371" i="1"/>
  <c r="P371" i="1"/>
  <c r="N372" i="1"/>
  <c r="O372" i="1"/>
  <c r="P372" i="1"/>
  <c r="N373" i="1"/>
  <c r="O373" i="1"/>
  <c r="P373" i="1"/>
  <c r="N374" i="1"/>
  <c r="O374" i="1"/>
  <c r="P374" i="1"/>
  <c r="N375" i="1"/>
  <c r="O375" i="1"/>
  <c r="P375" i="1"/>
  <c r="N376" i="1"/>
  <c r="O376" i="1"/>
  <c r="P376" i="1"/>
  <c r="N377" i="1"/>
  <c r="O377" i="1"/>
  <c r="P377" i="1"/>
  <c r="N378" i="1"/>
  <c r="O378" i="1"/>
  <c r="P378" i="1"/>
  <c r="N379" i="1"/>
  <c r="O379" i="1"/>
  <c r="P379" i="1"/>
  <c r="N380" i="1"/>
  <c r="O380" i="1"/>
  <c r="P380" i="1"/>
  <c r="N381" i="1"/>
  <c r="O381" i="1"/>
  <c r="P381" i="1"/>
  <c r="N382" i="1"/>
  <c r="O382" i="1"/>
  <c r="P382" i="1"/>
  <c r="N383" i="1"/>
  <c r="O383" i="1"/>
  <c r="P383" i="1"/>
  <c r="N384" i="1"/>
  <c r="O384" i="1"/>
  <c r="P384" i="1"/>
  <c r="N385" i="1"/>
  <c r="O385" i="1"/>
  <c r="P385" i="1"/>
  <c r="N386" i="1"/>
  <c r="O386" i="1"/>
  <c r="P386" i="1"/>
  <c r="N387" i="1"/>
  <c r="O387" i="1"/>
  <c r="P387" i="1"/>
  <c r="N388" i="1"/>
  <c r="O388" i="1"/>
  <c r="P388" i="1"/>
  <c r="N389" i="1"/>
  <c r="O389" i="1"/>
  <c r="P389" i="1"/>
  <c r="N390" i="1"/>
  <c r="O390" i="1"/>
  <c r="P390" i="1"/>
  <c r="N391" i="1"/>
  <c r="O391" i="1"/>
  <c r="P391" i="1"/>
  <c r="N392" i="1"/>
  <c r="O392" i="1"/>
  <c r="P392" i="1"/>
  <c r="N393" i="1"/>
  <c r="O393" i="1"/>
  <c r="P393" i="1"/>
  <c r="N394" i="1"/>
  <c r="O394" i="1"/>
  <c r="P394" i="1"/>
  <c r="N395" i="1"/>
  <c r="O395" i="1"/>
  <c r="P395" i="1"/>
  <c r="N396" i="1"/>
  <c r="O396" i="1"/>
  <c r="P396" i="1"/>
  <c r="N397" i="1"/>
  <c r="O397" i="1"/>
  <c r="P397" i="1"/>
  <c r="N398" i="1"/>
  <c r="O398" i="1"/>
  <c r="P398" i="1"/>
  <c r="N399" i="1"/>
  <c r="O399" i="1"/>
  <c r="P399" i="1"/>
  <c r="N400" i="1"/>
  <c r="O400" i="1"/>
  <c r="P400" i="1"/>
  <c r="N401" i="1"/>
  <c r="O401" i="1"/>
  <c r="P401" i="1"/>
  <c r="N402" i="1"/>
  <c r="O402" i="1"/>
  <c r="P402" i="1"/>
  <c r="N403" i="1"/>
  <c r="O403" i="1"/>
  <c r="P403" i="1"/>
  <c r="N404" i="1"/>
  <c r="O404" i="1"/>
  <c r="P404" i="1"/>
  <c r="N405" i="1"/>
  <c r="O405" i="1"/>
  <c r="P405" i="1"/>
  <c r="N406" i="1"/>
  <c r="O406" i="1"/>
  <c r="P406" i="1"/>
  <c r="N407" i="1"/>
  <c r="O407" i="1"/>
  <c r="P407" i="1"/>
  <c r="N408" i="1"/>
  <c r="O408" i="1"/>
  <c r="P408" i="1"/>
  <c r="N409" i="1"/>
  <c r="O409" i="1"/>
  <c r="P409" i="1"/>
  <c r="N410" i="1"/>
  <c r="O410" i="1"/>
  <c r="P410" i="1"/>
  <c r="N411" i="1"/>
  <c r="O411" i="1"/>
  <c r="P411" i="1"/>
  <c r="N412" i="1"/>
  <c r="O412" i="1"/>
  <c r="P412" i="1"/>
  <c r="N413" i="1"/>
  <c r="O413" i="1"/>
  <c r="P413" i="1"/>
  <c r="N414" i="1"/>
  <c r="O414" i="1"/>
  <c r="P414" i="1"/>
  <c r="N415" i="1"/>
  <c r="O415" i="1"/>
  <c r="P415" i="1"/>
  <c r="N416" i="1"/>
  <c r="O416" i="1"/>
  <c r="P416" i="1"/>
  <c r="N417" i="1"/>
  <c r="O417" i="1"/>
  <c r="P417" i="1"/>
  <c r="N418" i="1"/>
  <c r="O418" i="1"/>
  <c r="P418" i="1"/>
  <c r="N419" i="1"/>
  <c r="O419" i="1"/>
  <c r="P419" i="1"/>
  <c r="N420" i="1"/>
  <c r="O420" i="1"/>
  <c r="P420" i="1"/>
  <c r="N421" i="1"/>
  <c r="O421" i="1"/>
  <c r="P421" i="1"/>
  <c r="N422" i="1"/>
  <c r="O422" i="1"/>
  <c r="P422" i="1"/>
  <c r="N423" i="1"/>
  <c r="O423" i="1"/>
  <c r="P423" i="1"/>
  <c r="N424" i="1"/>
  <c r="O424" i="1"/>
  <c r="P424" i="1"/>
  <c r="N425" i="1"/>
  <c r="O425" i="1"/>
  <c r="P425" i="1"/>
  <c r="N426" i="1"/>
  <c r="O426" i="1"/>
  <c r="P426" i="1"/>
  <c r="N427" i="1"/>
  <c r="O427" i="1"/>
  <c r="P427" i="1"/>
  <c r="N428" i="1"/>
  <c r="O428" i="1"/>
  <c r="P428" i="1"/>
  <c r="N429" i="1"/>
  <c r="O429" i="1"/>
  <c r="P429" i="1"/>
  <c r="N430" i="1"/>
  <c r="O430" i="1"/>
  <c r="P430" i="1"/>
  <c r="N431" i="1"/>
  <c r="O431" i="1"/>
  <c r="P431" i="1"/>
  <c r="N432" i="1"/>
  <c r="O432" i="1"/>
  <c r="P432" i="1"/>
  <c r="N433" i="1"/>
  <c r="O433" i="1"/>
  <c r="P433" i="1"/>
  <c r="N434" i="1"/>
  <c r="O434" i="1"/>
  <c r="P434" i="1"/>
  <c r="N435" i="1"/>
  <c r="O435" i="1"/>
  <c r="P435" i="1"/>
  <c r="N436" i="1"/>
  <c r="O436" i="1"/>
  <c r="P436" i="1"/>
  <c r="N437" i="1"/>
  <c r="O437" i="1"/>
  <c r="P437" i="1"/>
  <c r="N438" i="1"/>
  <c r="O438" i="1"/>
  <c r="P438" i="1"/>
  <c r="N439" i="1"/>
  <c r="O439" i="1"/>
  <c r="P439" i="1"/>
  <c r="N440" i="1"/>
  <c r="O440" i="1"/>
  <c r="P440" i="1"/>
  <c r="N441" i="1"/>
  <c r="O441" i="1"/>
  <c r="P441" i="1"/>
  <c r="N442" i="1"/>
  <c r="O442" i="1"/>
  <c r="P442" i="1"/>
  <c r="N443" i="1"/>
  <c r="O443" i="1"/>
  <c r="P443" i="1"/>
  <c r="N444" i="1"/>
  <c r="O444" i="1"/>
  <c r="P444" i="1"/>
  <c r="N445" i="1"/>
  <c r="O445" i="1"/>
  <c r="P445" i="1"/>
  <c r="N446" i="1"/>
  <c r="O446" i="1"/>
  <c r="P446" i="1"/>
  <c r="N447" i="1"/>
  <c r="O447" i="1"/>
  <c r="P447" i="1"/>
  <c r="N448" i="1"/>
  <c r="O448" i="1"/>
  <c r="P448" i="1"/>
  <c r="N449" i="1"/>
  <c r="O449" i="1"/>
  <c r="P449" i="1"/>
  <c r="N450" i="1"/>
  <c r="O450" i="1"/>
  <c r="P450" i="1"/>
  <c r="N451" i="1"/>
  <c r="O451" i="1"/>
  <c r="P451" i="1"/>
  <c r="N452" i="1"/>
  <c r="O452" i="1"/>
  <c r="P452" i="1"/>
  <c r="N453" i="1"/>
  <c r="O453" i="1"/>
  <c r="P453" i="1"/>
  <c r="N454" i="1"/>
  <c r="O454" i="1"/>
  <c r="P454" i="1"/>
  <c r="N455" i="1"/>
  <c r="O455" i="1"/>
  <c r="P455" i="1"/>
  <c r="N456" i="1"/>
  <c r="O456" i="1"/>
  <c r="P456" i="1"/>
  <c r="N457" i="1"/>
  <c r="O457" i="1"/>
  <c r="P457" i="1"/>
  <c r="N458" i="1"/>
  <c r="O458" i="1"/>
  <c r="P458" i="1"/>
  <c r="N459" i="1"/>
  <c r="O459" i="1"/>
  <c r="P459" i="1"/>
  <c r="N460" i="1"/>
  <c r="O460" i="1"/>
  <c r="P460" i="1"/>
  <c r="N461" i="1"/>
  <c r="O461" i="1"/>
  <c r="P461" i="1"/>
  <c r="N462" i="1"/>
  <c r="O462" i="1"/>
  <c r="P462" i="1"/>
  <c r="N463" i="1"/>
  <c r="O463" i="1"/>
  <c r="P463" i="1"/>
  <c r="N464" i="1"/>
  <c r="O464" i="1"/>
  <c r="P464" i="1"/>
  <c r="N465" i="1"/>
  <c r="O465" i="1"/>
  <c r="P465" i="1"/>
  <c r="N466" i="1"/>
  <c r="O466" i="1"/>
  <c r="P466" i="1"/>
  <c r="N467" i="1"/>
  <c r="O467" i="1"/>
  <c r="P467" i="1"/>
  <c r="N468" i="1"/>
  <c r="O468" i="1"/>
  <c r="P468" i="1"/>
  <c r="N469" i="1"/>
  <c r="O469" i="1"/>
  <c r="P469" i="1"/>
  <c r="N470" i="1"/>
  <c r="O470" i="1"/>
  <c r="P470" i="1"/>
  <c r="N471" i="1"/>
  <c r="O471" i="1"/>
  <c r="P471" i="1"/>
  <c r="N472" i="1"/>
  <c r="O472" i="1"/>
  <c r="P472" i="1"/>
  <c r="N473" i="1"/>
  <c r="O473" i="1"/>
  <c r="P473" i="1"/>
  <c r="N474" i="1"/>
  <c r="O474" i="1"/>
  <c r="P474" i="1"/>
  <c r="N475" i="1"/>
  <c r="O475" i="1"/>
  <c r="P475" i="1"/>
  <c r="N476" i="1"/>
  <c r="O476" i="1"/>
  <c r="P476" i="1"/>
  <c r="N477" i="1"/>
  <c r="O477" i="1"/>
  <c r="P477" i="1"/>
  <c r="N478" i="1"/>
  <c r="O478" i="1"/>
  <c r="P478" i="1"/>
  <c r="N479" i="1"/>
  <c r="O479" i="1"/>
  <c r="P479" i="1"/>
  <c r="N480" i="1"/>
  <c r="O480" i="1"/>
  <c r="P480" i="1"/>
  <c r="N481" i="1"/>
  <c r="O481" i="1"/>
  <c r="P481" i="1"/>
  <c r="N482" i="1"/>
  <c r="O482" i="1"/>
  <c r="P482" i="1"/>
  <c r="N483" i="1"/>
  <c r="O483" i="1"/>
  <c r="P483" i="1"/>
  <c r="N484" i="1"/>
  <c r="O484" i="1"/>
  <c r="P484" i="1"/>
  <c r="N485" i="1"/>
  <c r="O485" i="1"/>
  <c r="P485" i="1"/>
  <c r="N486" i="1"/>
  <c r="O486" i="1"/>
  <c r="P486" i="1"/>
  <c r="N487" i="1"/>
  <c r="O487" i="1"/>
  <c r="P487" i="1"/>
  <c r="N488" i="1"/>
  <c r="O488" i="1"/>
  <c r="P488" i="1"/>
  <c r="N489" i="1"/>
  <c r="O489" i="1"/>
  <c r="P489" i="1"/>
  <c r="N490" i="1"/>
  <c r="O490" i="1"/>
  <c r="P490" i="1"/>
  <c r="N491" i="1"/>
  <c r="O491" i="1"/>
  <c r="P491" i="1"/>
  <c r="N492" i="1"/>
  <c r="O492" i="1"/>
  <c r="P492" i="1"/>
  <c r="N493" i="1"/>
  <c r="O493" i="1"/>
  <c r="P493" i="1"/>
  <c r="N494" i="1"/>
  <c r="O494" i="1"/>
  <c r="P494" i="1"/>
  <c r="N495" i="1"/>
  <c r="O495" i="1"/>
  <c r="P495" i="1"/>
  <c r="N496" i="1"/>
  <c r="O496" i="1"/>
  <c r="P496" i="1"/>
  <c r="N497" i="1"/>
  <c r="O497" i="1"/>
  <c r="P497" i="1"/>
  <c r="N498" i="1"/>
  <c r="O498" i="1"/>
  <c r="P498" i="1"/>
  <c r="N499" i="1"/>
  <c r="O499" i="1"/>
  <c r="P499" i="1"/>
  <c r="N500" i="1"/>
  <c r="O500" i="1"/>
  <c r="P500" i="1"/>
  <c r="N501" i="1"/>
  <c r="O501" i="1"/>
  <c r="P501" i="1"/>
  <c r="N502" i="1"/>
  <c r="O502" i="1"/>
  <c r="P502" i="1"/>
  <c r="N503" i="1"/>
  <c r="O503" i="1"/>
  <c r="P503" i="1"/>
  <c r="N504" i="1"/>
  <c r="O504" i="1"/>
  <c r="P504" i="1"/>
  <c r="N505" i="1"/>
  <c r="O505" i="1"/>
  <c r="P505" i="1"/>
  <c r="N506" i="1"/>
  <c r="O506" i="1"/>
  <c r="P506" i="1"/>
  <c r="N507" i="1"/>
  <c r="O507" i="1"/>
  <c r="P507" i="1"/>
  <c r="N508" i="1"/>
  <c r="O508" i="1"/>
  <c r="P508" i="1"/>
  <c r="N509" i="1"/>
  <c r="O509" i="1"/>
  <c r="P509" i="1"/>
  <c r="N510" i="1"/>
  <c r="O510" i="1"/>
  <c r="P510" i="1"/>
  <c r="N511" i="1"/>
  <c r="O511" i="1"/>
  <c r="P511" i="1"/>
  <c r="N512" i="1"/>
  <c r="O512" i="1"/>
  <c r="P512" i="1"/>
  <c r="N513" i="1"/>
  <c r="O513" i="1"/>
  <c r="P513" i="1"/>
  <c r="N514" i="1"/>
  <c r="O514" i="1"/>
  <c r="P514" i="1"/>
  <c r="N515" i="1"/>
  <c r="O515" i="1"/>
  <c r="P515" i="1"/>
  <c r="N516" i="1"/>
  <c r="O516" i="1"/>
  <c r="P516" i="1"/>
  <c r="N517" i="1"/>
  <c r="O517" i="1"/>
  <c r="P517" i="1"/>
  <c r="N518" i="1"/>
  <c r="O518" i="1"/>
  <c r="P518" i="1"/>
  <c r="N519" i="1"/>
  <c r="O519" i="1"/>
  <c r="P519" i="1"/>
  <c r="N520" i="1"/>
  <c r="O520" i="1"/>
  <c r="P520" i="1"/>
  <c r="N521" i="1"/>
  <c r="O521" i="1"/>
  <c r="P521" i="1"/>
  <c r="N522" i="1"/>
  <c r="O522" i="1"/>
  <c r="P522" i="1"/>
  <c r="N523" i="1"/>
  <c r="O523" i="1"/>
  <c r="P523" i="1"/>
  <c r="N524" i="1"/>
  <c r="O524" i="1"/>
  <c r="P524" i="1"/>
  <c r="N525" i="1"/>
  <c r="O525" i="1"/>
  <c r="P525" i="1"/>
  <c r="N526" i="1"/>
  <c r="O526" i="1"/>
  <c r="P526" i="1"/>
  <c r="N527" i="1"/>
  <c r="O527" i="1"/>
  <c r="P527" i="1"/>
  <c r="N528" i="1"/>
  <c r="O528" i="1"/>
  <c r="P528" i="1"/>
  <c r="N529" i="1"/>
  <c r="O529" i="1"/>
  <c r="P529" i="1"/>
  <c r="N530" i="1"/>
  <c r="O530" i="1"/>
  <c r="P530" i="1"/>
  <c r="N531" i="1"/>
  <c r="O531" i="1"/>
  <c r="P531" i="1"/>
  <c r="N532" i="1"/>
  <c r="O532" i="1"/>
  <c r="P532" i="1"/>
  <c r="N533" i="1"/>
  <c r="O533" i="1"/>
  <c r="P533" i="1"/>
  <c r="N534" i="1"/>
  <c r="O534" i="1"/>
  <c r="P534" i="1"/>
  <c r="N535" i="1"/>
  <c r="O535" i="1"/>
  <c r="P535" i="1"/>
  <c r="N536" i="1"/>
  <c r="O536" i="1"/>
  <c r="P536" i="1"/>
  <c r="N537" i="1"/>
  <c r="O537" i="1"/>
  <c r="P537" i="1"/>
  <c r="N538" i="1"/>
  <c r="O538" i="1"/>
  <c r="P538" i="1"/>
  <c r="N539" i="1"/>
  <c r="O539" i="1"/>
  <c r="P539" i="1"/>
  <c r="N540" i="1"/>
  <c r="O540" i="1"/>
  <c r="P540" i="1"/>
  <c r="N541" i="1"/>
  <c r="O541" i="1"/>
  <c r="P541" i="1"/>
  <c r="N542" i="1"/>
  <c r="O542" i="1"/>
  <c r="P542" i="1"/>
  <c r="N543" i="1"/>
  <c r="O543" i="1"/>
  <c r="P543" i="1"/>
  <c r="N544" i="1"/>
  <c r="O544" i="1"/>
  <c r="P544" i="1"/>
  <c r="N545" i="1"/>
  <c r="O545" i="1"/>
  <c r="P545" i="1"/>
  <c r="N546" i="1"/>
  <c r="O546" i="1"/>
  <c r="P546" i="1"/>
  <c r="N547" i="1"/>
  <c r="O547" i="1"/>
  <c r="P547" i="1"/>
  <c r="N548" i="1"/>
  <c r="O548" i="1"/>
  <c r="P548" i="1"/>
  <c r="N549" i="1"/>
  <c r="O549" i="1"/>
  <c r="P549" i="1"/>
  <c r="N550" i="1"/>
  <c r="O550" i="1"/>
  <c r="P550" i="1"/>
  <c r="N551" i="1"/>
  <c r="O551" i="1"/>
  <c r="P551" i="1"/>
  <c r="N552" i="1"/>
  <c r="O552" i="1"/>
  <c r="P552" i="1"/>
  <c r="N553" i="1"/>
  <c r="O553" i="1"/>
  <c r="P553" i="1"/>
  <c r="N554" i="1"/>
  <c r="O554" i="1"/>
  <c r="P554" i="1"/>
  <c r="N555" i="1"/>
  <c r="O555" i="1"/>
  <c r="P555" i="1"/>
  <c r="N556" i="1"/>
  <c r="O556" i="1"/>
  <c r="P556" i="1"/>
  <c r="N557" i="1"/>
  <c r="O557" i="1"/>
  <c r="P557" i="1"/>
  <c r="N558" i="1"/>
  <c r="O558" i="1"/>
  <c r="P558" i="1"/>
  <c r="N559" i="1"/>
  <c r="O559" i="1"/>
  <c r="P559" i="1"/>
  <c r="N560" i="1"/>
  <c r="O560" i="1"/>
  <c r="P560" i="1"/>
  <c r="N561" i="1"/>
  <c r="O561" i="1"/>
  <c r="P561" i="1"/>
  <c r="N562" i="1"/>
  <c r="O562" i="1"/>
  <c r="P562" i="1"/>
  <c r="N563" i="1"/>
  <c r="O563" i="1"/>
  <c r="P563" i="1"/>
  <c r="N564" i="1"/>
  <c r="O564" i="1"/>
  <c r="P564" i="1"/>
  <c r="N565" i="1"/>
  <c r="O565" i="1"/>
  <c r="P565" i="1"/>
  <c r="N566" i="1"/>
  <c r="O566" i="1"/>
  <c r="P566" i="1"/>
  <c r="N567" i="1"/>
  <c r="O567" i="1"/>
  <c r="P567" i="1"/>
  <c r="N568" i="1"/>
  <c r="O568" i="1"/>
  <c r="P568" i="1"/>
  <c r="N569" i="1"/>
  <c r="O569" i="1"/>
  <c r="P569" i="1"/>
  <c r="N570" i="1"/>
  <c r="O570" i="1"/>
  <c r="P570" i="1"/>
  <c r="N571" i="1"/>
  <c r="O571" i="1"/>
  <c r="P571" i="1"/>
  <c r="N572" i="1"/>
  <c r="O572" i="1"/>
  <c r="P572" i="1"/>
  <c r="N573" i="1"/>
  <c r="O573" i="1"/>
  <c r="P573" i="1"/>
  <c r="N574" i="1"/>
  <c r="O574" i="1"/>
  <c r="P574" i="1"/>
  <c r="N575" i="1"/>
  <c r="O575" i="1"/>
  <c r="P575" i="1"/>
  <c r="N576" i="1"/>
  <c r="O576" i="1"/>
  <c r="P576" i="1"/>
  <c r="N577" i="1"/>
  <c r="O577" i="1"/>
  <c r="P577" i="1"/>
  <c r="N578" i="1"/>
  <c r="O578" i="1"/>
  <c r="P578" i="1"/>
  <c r="N579" i="1"/>
  <c r="O579" i="1"/>
  <c r="P579" i="1"/>
  <c r="N580" i="1"/>
  <c r="O580" i="1"/>
  <c r="P580" i="1"/>
  <c r="N581" i="1"/>
  <c r="O581" i="1"/>
  <c r="P581" i="1"/>
  <c r="N582" i="1"/>
  <c r="O582" i="1"/>
  <c r="P582" i="1"/>
  <c r="N583" i="1"/>
  <c r="O583" i="1"/>
  <c r="P583" i="1"/>
  <c r="N584" i="1"/>
  <c r="O584" i="1"/>
  <c r="P584" i="1"/>
  <c r="N585" i="1"/>
  <c r="O585" i="1"/>
  <c r="P585" i="1"/>
  <c r="N586" i="1"/>
  <c r="O586" i="1"/>
  <c r="P586" i="1"/>
  <c r="N587" i="1"/>
  <c r="O587" i="1"/>
  <c r="P587" i="1"/>
  <c r="N588" i="1"/>
  <c r="O588" i="1"/>
  <c r="P588" i="1"/>
  <c r="N589" i="1"/>
  <c r="O589" i="1"/>
  <c r="P589" i="1"/>
  <c r="N590" i="1"/>
  <c r="O590" i="1"/>
  <c r="P590" i="1"/>
  <c r="N591" i="1"/>
  <c r="O591" i="1"/>
  <c r="P591" i="1"/>
  <c r="N592" i="1"/>
  <c r="O592" i="1"/>
  <c r="P592" i="1"/>
  <c r="N593" i="1"/>
  <c r="O593" i="1"/>
  <c r="P593" i="1"/>
  <c r="N594" i="1"/>
  <c r="O594" i="1"/>
  <c r="P594" i="1"/>
  <c r="N595" i="1"/>
  <c r="O595" i="1"/>
  <c r="P595" i="1"/>
  <c r="N596" i="1"/>
  <c r="O596" i="1"/>
  <c r="P596" i="1"/>
  <c r="N597" i="1"/>
  <c r="O597" i="1"/>
  <c r="P597" i="1"/>
  <c r="N598" i="1"/>
  <c r="O598" i="1"/>
  <c r="P598" i="1"/>
  <c r="N599" i="1"/>
  <c r="O599" i="1"/>
  <c r="P599" i="1"/>
  <c r="N600" i="1"/>
  <c r="O600" i="1"/>
  <c r="P600" i="1"/>
  <c r="N601" i="1"/>
  <c r="O601" i="1"/>
  <c r="P601" i="1"/>
  <c r="N602" i="1"/>
  <c r="O602" i="1"/>
  <c r="P602" i="1"/>
  <c r="N603" i="1"/>
  <c r="O603" i="1"/>
  <c r="P603" i="1"/>
  <c r="N604" i="1"/>
  <c r="O604" i="1"/>
  <c r="P604" i="1"/>
  <c r="N605" i="1"/>
  <c r="O605" i="1"/>
  <c r="P605" i="1"/>
  <c r="N606" i="1"/>
  <c r="O606" i="1"/>
  <c r="P606" i="1"/>
  <c r="N607" i="1"/>
  <c r="O607" i="1"/>
  <c r="P607" i="1"/>
  <c r="N608" i="1"/>
  <c r="O608" i="1"/>
  <c r="P608" i="1"/>
  <c r="N609" i="1"/>
  <c r="O609" i="1"/>
  <c r="P609" i="1"/>
  <c r="N610" i="1"/>
  <c r="O610" i="1"/>
  <c r="P610" i="1"/>
  <c r="N611" i="1"/>
  <c r="O611" i="1"/>
  <c r="P611" i="1"/>
  <c r="N612" i="1"/>
  <c r="O612" i="1"/>
  <c r="P612" i="1"/>
  <c r="N613" i="1"/>
  <c r="O613" i="1"/>
  <c r="P613" i="1"/>
  <c r="N614" i="1"/>
  <c r="O614" i="1"/>
  <c r="P614" i="1"/>
  <c r="N615" i="1"/>
  <c r="O615" i="1"/>
  <c r="P615" i="1"/>
  <c r="N616" i="1"/>
  <c r="O616" i="1"/>
  <c r="P616" i="1"/>
  <c r="N617" i="1"/>
  <c r="O617" i="1"/>
  <c r="P617" i="1"/>
  <c r="N618" i="1"/>
  <c r="O618" i="1"/>
  <c r="P618" i="1"/>
  <c r="N619" i="1"/>
  <c r="O619" i="1"/>
  <c r="P619" i="1"/>
  <c r="N620" i="1"/>
  <c r="O620" i="1"/>
  <c r="P620" i="1"/>
  <c r="N621" i="1"/>
  <c r="O621" i="1"/>
  <c r="P621" i="1"/>
  <c r="N622" i="1"/>
  <c r="O622" i="1"/>
  <c r="P622" i="1"/>
  <c r="N623" i="1"/>
  <c r="O623" i="1"/>
  <c r="P623" i="1"/>
  <c r="N624" i="1"/>
  <c r="O624" i="1"/>
  <c r="P624" i="1"/>
  <c r="N625" i="1"/>
  <c r="O625" i="1"/>
  <c r="P625" i="1"/>
  <c r="N626" i="1"/>
  <c r="O626" i="1"/>
  <c r="P626" i="1"/>
  <c r="N627" i="1"/>
  <c r="O627" i="1"/>
  <c r="P627" i="1"/>
  <c r="N628" i="1"/>
  <c r="O628" i="1"/>
  <c r="P628" i="1"/>
  <c r="N629" i="1"/>
  <c r="O629" i="1"/>
  <c r="P629" i="1"/>
  <c r="N630" i="1"/>
  <c r="O630" i="1"/>
  <c r="P630" i="1"/>
  <c r="N631" i="1"/>
  <c r="O631" i="1"/>
  <c r="P631" i="1"/>
  <c r="N632" i="1"/>
  <c r="O632" i="1"/>
  <c r="P632" i="1"/>
  <c r="N633" i="1"/>
  <c r="O633" i="1"/>
  <c r="P633" i="1"/>
  <c r="N634" i="1"/>
  <c r="O634" i="1"/>
  <c r="P634" i="1"/>
  <c r="N635" i="1"/>
  <c r="O635" i="1"/>
  <c r="P635" i="1"/>
  <c r="N636" i="1"/>
  <c r="O636" i="1"/>
  <c r="P636" i="1"/>
  <c r="N637" i="1"/>
  <c r="O637" i="1"/>
  <c r="P637" i="1"/>
  <c r="N638" i="1"/>
  <c r="O638" i="1"/>
  <c r="P638" i="1"/>
  <c r="N639" i="1"/>
  <c r="O639" i="1"/>
  <c r="P639" i="1"/>
  <c r="N640" i="1"/>
  <c r="O640" i="1"/>
  <c r="P640" i="1"/>
  <c r="N641" i="1"/>
  <c r="O641" i="1"/>
  <c r="P641" i="1"/>
  <c r="N642" i="1"/>
  <c r="O642" i="1"/>
  <c r="P642" i="1"/>
  <c r="N643" i="1"/>
  <c r="O643" i="1"/>
  <c r="P643" i="1"/>
  <c r="N644" i="1"/>
  <c r="O644" i="1"/>
  <c r="P644" i="1"/>
  <c r="N645" i="1"/>
  <c r="O645" i="1"/>
  <c r="P645" i="1"/>
  <c r="N646" i="1"/>
  <c r="O646" i="1"/>
  <c r="P646" i="1"/>
  <c r="N647" i="1"/>
  <c r="O647" i="1"/>
  <c r="P647" i="1"/>
  <c r="N648" i="1"/>
  <c r="O648" i="1"/>
  <c r="P648" i="1"/>
  <c r="N649" i="1"/>
  <c r="O649" i="1"/>
  <c r="P649" i="1"/>
  <c r="N650" i="1"/>
  <c r="O650" i="1"/>
  <c r="P650" i="1"/>
  <c r="N651" i="1"/>
  <c r="O651" i="1"/>
  <c r="P651" i="1"/>
  <c r="N652" i="1"/>
  <c r="O652" i="1"/>
  <c r="P652" i="1"/>
  <c r="N653" i="1"/>
  <c r="O653" i="1"/>
  <c r="P653" i="1"/>
  <c r="N654" i="1"/>
  <c r="O654" i="1"/>
  <c r="P654" i="1"/>
  <c r="N655" i="1"/>
  <c r="O655" i="1"/>
  <c r="P655" i="1"/>
  <c r="N656" i="1"/>
  <c r="O656" i="1"/>
  <c r="P656" i="1"/>
  <c r="N657" i="1"/>
  <c r="O657" i="1"/>
  <c r="P657" i="1"/>
  <c r="N658" i="1"/>
  <c r="O658" i="1"/>
  <c r="P658" i="1"/>
  <c r="N659" i="1"/>
  <c r="O659" i="1"/>
  <c r="P659" i="1"/>
  <c r="N660" i="1"/>
  <c r="O660" i="1"/>
  <c r="P660" i="1"/>
  <c r="N661" i="1"/>
  <c r="O661" i="1"/>
  <c r="P661" i="1"/>
  <c r="N662" i="1"/>
  <c r="O662" i="1"/>
  <c r="P662" i="1"/>
  <c r="N663" i="1"/>
  <c r="O663" i="1"/>
  <c r="P663" i="1"/>
  <c r="N664" i="1"/>
  <c r="O664" i="1"/>
  <c r="P664" i="1"/>
  <c r="N665" i="1"/>
  <c r="O665" i="1"/>
  <c r="P665" i="1"/>
  <c r="N666" i="1"/>
  <c r="O666" i="1"/>
  <c r="P666" i="1"/>
  <c r="N667" i="1"/>
  <c r="O667" i="1"/>
  <c r="P667" i="1"/>
  <c r="N668" i="1"/>
  <c r="O668" i="1"/>
  <c r="P668" i="1"/>
  <c r="N669" i="1"/>
  <c r="O669" i="1"/>
  <c r="P669" i="1"/>
  <c r="N670" i="1"/>
  <c r="O670" i="1"/>
  <c r="P670" i="1"/>
  <c r="N671" i="1"/>
  <c r="O671" i="1"/>
  <c r="P671" i="1"/>
  <c r="N672" i="1"/>
  <c r="O672" i="1"/>
  <c r="P672" i="1"/>
  <c r="N673" i="1"/>
  <c r="O673" i="1"/>
  <c r="P673" i="1"/>
  <c r="N674" i="1"/>
  <c r="O674" i="1"/>
  <c r="P674" i="1"/>
  <c r="N675" i="1"/>
  <c r="O675" i="1"/>
  <c r="P675" i="1"/>
  <c r="N676" i="1"/>
  <c r="O676" i="1"/>
  <c r="P676" i="1"/>
  <c r="N677" i="1"/>
  <c r="O677" i="1"/>
  <c r="P677" i="1"/>
  <c r="N678" i="1"/>
  <c r="O678" i="1"/>
  <c r="P678" i="1"/>
  <c r="N679" i="1"/>
  <c r="O679" i="1"/>
  <c r="P679" i="1"/>
  <c r="N680" i="1"/>
  <c r="O680" i="1"/>
  <c r="P680" i="1"/>
  <c r="N681" i="1"/>
  <c r="O681" i="1"/>
  <c r="P681" i="1"/>
  <c r="N682" i="1"/>
  <c r="O682" i="1"/>
  <c r="P682" i="1"/>
  <c r="N683" i="1"/>
  <c r="O683" i="1"/>
  <c r="P683" i="1"/>
  <c r="N684" i="1"/>
  <c r="O684" i="1"/>
  <c r="P684" i="1"/>
  <c r="N685" i="1"/>
  <c r="O685" i="1"/>
  <c r="P685" i="1"/>
  <c r="N686" i="1"/>
  <c r="O686" i="1"/>
  <c r="P686" i="1"/>
  <c r="N687" i="1"/>
  <c r="O687" i="1"/>
  <c r="P687" i="1"/>
  <c r="N688" i="1"/>
  <c r="O688" i="1"/>
  <c r="P688" i="1"/>
  <c r="N689" i="1"/>
  <c r="O689" i="1"/>
  <c r="P689" i="1"/>
  <c r="N690" i="1"/>
  <c r="O690" i="1"/>
  <c r="P690" i="1"/>
  <c r="N691" i="1"/>
  <c r="O691" i="1"/>
  <c r="P691" i="1"/>
  <c r="N692" i="1"/>
  <c r="O692" i="1"/>
  <c r="P692" i="1"/>
  <c r="N693" i="1"/>
  <c r="O693" i="1"/>
  <c r="P693" i="1"/>
  <c r="N694" i="1"/>
  <c r="O694" i="1"/>
  <c r="P694" i="1"/>
  <c r="N695" i="1"/>
  <c r="O695" i="1"/>
  <c r="P695" i="1"/>
  <c r="N696" i="1"/>
  <c r="O696" i="1"/>
  <c r="P696" i="1"/>
  <c r="N697" i="1"/>
  <c r="O697" i="1"/>
  <c r="P697" i="1"/>
  <c r="N698" i="1"/>
  <c r="O698" i="1"/>
  <c r="P698" i="1"/>
  <c r="N699" i="1"/>
  <c r="O699" i="1"/>
  <c r="P699" i="1"/>
  <c r="N700" i="1"/>
  <c r="O700" i="1"/>
  <c r="P700" i="1"/>
  <c r="N701" i="1"/>
  <c r="O701" i="1"/>
  <c r="P701" i="1"/>
  <c r="N702" i="1"/>
  <c r="O702" i="1"/>
  <c r="P702" i="1"/>
  <c r="N703" i="1"/>
  <c r="O703" i="1"/>
  <c r="P703" i="1"/>
  <c r="N704" i="1"/>
  <c r="O704" i="1"/>
  <c r="P704" i="1"/>
  <c r="N705" i="1"/>
  <c r="O705" i="1"/>
  <c r="P705" i="1"/>
  <c r="N706" i="1"/>
  <c r="O706" i="1"/>
  <c r="P706" i="1"/>
  <c r="N707" i="1"/>
  <c r="O707" i="1"/>
  <c r="P707" i="1"/>
  <c r="N708" i="1"/>
  <c r="O708" i="1"/>
  <c r="P708" i="1"/>
  <c r="N709" i="1"/>
  <c r="O709" i="1"/>
  <c r="P709" i="1"/>
  <c r="N710" i="1"/>
  <c r="O710" i="1"/>
  <c r="P710" i="1"/>
  <c r="N711" i="1"/>
  <c r="O711" i="1"/>
  <c r="P711" i="1"/>
  <c r="N712" i="1"/>
  <c r="O712" i="1"/>
  <c r="P712" i="1"/>
  <c r="N713" i="1"/>
  <c r="O713" i="1"/>
  <c r="P713" i="1"/>
  <c r="N714" i="1"/>
  <c r="O714" i="1"/>
  <c r="P714" i="1"/>
  <c r="N715" i="1"/>
  <c r="O715" i="1"/>
  <c r="P715" i="1"/>
  <c r="N716" i="1"/>
  <c r="O716" i="1"/>
  <c r="P716" i="1"/>
  <c r="N717" i="1"/>
  <c r="O717" i="1"/>
  <c r="P717" i="1"/>
  <c r="N718" i="1"/>
  <c r="O718" i="1"/>
  <c r="P718" i="1"/>
  <c r="N719" i="1"/>
  <c r="O719" i="1"/>
  <c r="P719" i="1"/>
  <c r="N720" i="1"/>
  <c r="O720" i="1"/>
  <c r="P720" i="1"/>
  <c r="N721" i="1"/>
  <c r="O721" i="1"/>
  <c r="P721" i="1"/>
  <c r="N722" i="1"/>
  <c r="O722" i="1"/>
  <c r="P722" i="1"/>
  <c r="N723" i="1"/>
  <c r="O723" i="1"/>
  <c r="P723" i="1"/>
  <c r="N724" i="1"/>
  <c r="O724" i="1"/>
  <c r="P724" i="1"/>
  <c r="N725" i="1"/>
  <c r="O725" i="1"/>
  <c r="P725" i="1"/>
  <c r="N726" i="1"/>
  <c r="O726" i="1"/>
  <c r="P726" i="1"/>
  <c r="N727" i="1"/>
  <c r="O727" i="1"/>
  <c r="P727" i="1"/>
  <c r="N728" i="1"/>
  <c r="O728" i="1"/>
  <c r="P728" i="1"/>
  <c r="N729" i="1"/>
  <c r="O729" i="1"/>
  <c r="P729" i="1"/>
  <c r="N730" i="1"/>
  <c r="O730" i="1"/>
  <c r="P730" i="1"/>
  <c r="N731" i="1"/>
  <c r="O731" i="1"/>
  <c r="P731" i="1"/>
  <c r="N732" i="1"/>
  <c r="O732" i="1"/>
  <c r="P732" i="1"/>
  <c r="N733" i="1"/>
  <c r="O733" i="1"/>
  <c r="P733" i="1"/>
  <c r="N734" i="1"/>
  <c r="O734" i="1"/>
  <c r="P734" i="1"/>
  <c r="N735" i="1"/>
  <c r="O735" i="1"/>
  <c r="P735" i="1"/>
  <c r="N736" i="1"/>
  <c r="O736" i="1"/>
  <c r="P736" i="1"/>
  <c r="N737" i="1"/>
  <c r="O737" i="1"/>
  <c r="P737" i="1"/>
  <c r="N738" i="1"/>
  <c r="O738" i="1"/>
  <c r="P738" i="1"/>
  <c r="N739" i="1"/>
  <c r="O739" i="1"/>
  <c r="P739" i="1"/>
  <c r="N740" i="1"/>
  <c r="O740" i="1"/>
  <c r="P740" i="1"/>
  <c r="N741" i="1"/>
  <c r="O741" i="1"/>
  <c r="P741" i="1"/>
  <c r="N742" i="1"/>
  <c r="O742" i="1"/>
  <c r="P742" i="1"/>
  <c r="N743" i="1"/>
  <c r="O743" i="1"/>
  <c r="P743" i="1"/>
  <c r="N744" i="1"/>
  <c r="O744" i="1"/>
  <c r="P744" i="1"/>
  <c r="N745" i="1"/>
  <c r="O745" i="1"/>
  <c r="P745" i="1"/>
  <c r="N746" i="1"/>
  <c r="O746" i="1"/>
  <c r="P746" i="1"/>
  <c r="N747" i="1"/>
  <c r="O747" i="1"/>
  <c r="P747" i="1"/>
  <c r="N748" i="1"/>
  <c r="O748" i="1"/>
  <c r="P748" i="1"/>
  <c r="N749" i="1"/>
  <c r="O749" i="1"/>
  <c r="P749" i="1"/>
  <c r="N750" i="1"/>
  <c r="O750" i="1"/>
  <c r="P750" i="1"/>
  <c r="N751" i="1"/>
  <c r="O751" i="1"/>
  <c r="P751" i="1"/>
  <c r="N752" i="1"/>
  <c r="O752" i="1"/>
  <c r="P752" i="1"/>
  <c r="N753" i="1"/>
  <c r="O753" i="1"/>
  <c r="P753" i="1"/>
  <c r="N754" i="1"/>
  <c r="O754" i="1"/>
  <c r="P754" i="1"/>
  <c r="N755" i="1"/>
  <c r="O755" i="1"/>
  <c r="P755" i="1"/>
  <c r="N756" i="1"/>
  <c r="O756" i="1"/>
  <c r="P756" i="1"/>
  <c r="N757" i="1"/>
  <c r="O757" i="1"/>
  <c r="P757" i="1"/>
  <c r="N758" i="1"/>
  <c r="O758" i="1"/>
  <c r="P758" i="1"/>
  <c r="N759" i="1"/>
  <c r="O759" i="1"/>
  <c r="P759" i="1"/>
  <c r="N760" i="1"/>
  <c r="O760" i="1"/>
  <c r="P760" i="1"/>
  <c r="N761" i="1"/>
  <c r="O761" i="1"/>
  <c r="P761" i="1"/>
  <c r="N762" i="1"/>
  <c r="O762" i="1"/>
  <c r="P762" i="1"/>
  <c r="N763" i="1"/>
  <c r="O763" i="1"/>
  <c r="P763" i="1"/>
  <c r="N764" i="1"/>
  <c r="O764" i="1"/>
  <c r="P764" i="1"/>
  <c r="N765" i="1"/>
  <c r="O765" i="1"/>
  <c r="P765" i="1"/>
  <c r="N766" i="1"/>
  <c r="O766" i="1"/>
  <c r="P766" i="1"/>
  <c r="N767" i="1"/>
  <c r="O767" i="1"/>
  <c r="P767" i="1"/>
  <c r="N768" i="1"/>
  <c r="O768" i="1"/>
  <c r="P768" i="1"/>
  <c r="N769" i="1"/>
  <c r="O769" i="1"/>
  <c r="P769" i="1"/>
  <c r="N770" i="1"/>
  <c r="O770" i="1"/>
  <c r="P770" i="1"/>
  <c r="N771" i="1"/>
  <c r="O771" i="1"/>
  <c r="P771" i="1"/>
  <c r="N772" i="1"/>
  <c r="O772" i="1"/>
  <c r="P772" i="1"/>
  <c r="N773" i="1"/>
  <c r="O773" i="1"/>
  <c r="P773" i="1"/>
  <c r="N774" i="1"/>
  <c r="O774" i="1"/>
  <c r="P774" i="1"/>
  <c r="N775" i="1"/>
  <c r="O775" i="1"/>
  <c r="P775" i="1"/>
  <c r="N776" i="1"/>
  <c r="O776" i="1"/>
  <c r="P776" i="1"/>
  <c r="N777" i="1"/>
  <c r="O777" i="1"/>
  <c r="P777" i="1"/>
  <c r="N778" i="1"/>
  <c r="O778" i="1"/>
  <c r="P778" i="1"/>
  <c r="N779" i="1"/>
  <c r="O779" i="1"/>
  <c r="P779" i="1"/>
  <c r="N780" i="1"/>
  <c r="O780" i="1"/>
  <c r="P780" i="1"/>
  <c r="N781" i="1"/>
  <c r="O781" i="1"/>
  <c r="P781" i="1"/>
  <c r="N782" i="1"/>
  <c r="O782" i="1"/>
  <c r="P782" i="1"/>
  <c r="N783" i="1"/>
  <c r="O783" i="1"/>
  <c r="P783" i="1"/>
  <c r="N784" i="1"/>
  <c r="O784" i="1"/>
  <c r="P784" i="1"/>
  <c r="N785" i="1"/>
  <c r="O785" i="1"/>
  <c r="P785" i="1"/>
  <c r="N786" i="1"/>
  <c r="O786" i="1"/>
  <c r="P786" i="1"/>
  <c r="N787" i="1"/>
  <c r="O787" i="1"/>
  <c r="P787" i="1"/>
  <c r="N788" i="1"/>
  <c r="O788" i="1"/>
  <c r="P788" i="1"/>
  <c r="N789" i="1"/>
  <c r="O789" i="1"/>
  <c r="P789" i="1"/>
  <c r="N790" i="1"/>
  <c r="O790" i="1"/>
  <c r="P790" i="1"/>
  <c r="N791" i="1"/>
  <c r="O791" i="1"/>
  <c r="P791" i="1"/>
  <c r="N792" i="1"/>
  <c r="O792" i="1"/>
  <c r="P792" i="1"/>
  <c r="N793" i="1"/>
  <c r="O793" i="1"/>
  <c r="P793" i="1"/>
  <c r="N794" i="1"/>
  <c r="O794" i="1"/>
  <c r="P794" i="1"/>
  <c r="N795" i="1"/>
  <c r="O795" i="1"/>
  <c r="P795" i="1"/>
  <c r="N796" i="1"/>
  <c r="O796" i="1"/>
  <c r="P796" i="1"/>
  <c r="N797" i="1"/>
  <c r="O797" i="1"/>
  <c r="P797" i="1"/>
  <c r="N798" i="1"/>
  <c r="O798" i="1"/>
  <c r="P798" i="1"/>
  <c r="N799" i="1"/>
  <c r="O799" i="1"/>
  <c r="P799" i="1"/>
  <c r="N800" i="1"/>
  <c r="O800" i="1"/>
  <c r="P800" i="1"/>
  <c r="N801" i="1"/>
  <c r="O801" i="1"/>
  <c r="P801" i="1"/>
  <c r="N802" i="1"/>
  <c r="O802" i="1"/>
  <c r="P802" i="1"/>
  <c r="N803" i="1"/>
  <c r="O803" i="1"/>
  <c r="P803" i="1"/>
  <c r="N804" i="1"/>
  <c r="O804" i="1"/>
  <c r="P804" i="1"/>
  <c r="N805" i="1"/>
  <c r="O805" i="1"/>
  <c r="P805" i="1"/>
  <c r="N806" i="1"/>
  <c r="O806" i="1"/>
  <c r="P806" i="1"/>
  <c r="N807" i="1"/>
  <c r="O807" i="1"/>
  <c r="P807" i="1"/>
  <c r="N808" i="1"/>
  <c r="O808" i="1"/>
  <c r="P808" i="1"/>
  <c r="N809" i="1"/>
  <c r="O809" i="1"/>
  <c r="P809" i="1"/>
  <c r="N810" i="1"/>
  <c r="O810" i="1"/>
  <c r="P810" i="1"/>
  <c r="N811" i="1"/>
  <c r="O811" i="1"/>
  <c r="P811" i="1"/>
  <c r="N812" i="1"/>
  <c r="O812" i="1"/>
  <c r="P812" i="1"/>
  <c r="N813" i="1"/>
  <c r="O813" i="1"/>
  <c r="P813" i="1"/>
  <c r="N814" i="1"/>
  <c r="O814" i="1"/>
  <c r="P814" i="1"/>
  <c r="N815" i="1"/>
  <c r="O815" i="1"/>
  <c r="P815" i="1"/>
  <c r="N816" i="1"/>
  <c r="O816" i="1"/>
  <c r="P816" i="1"/>
  <c r="N817" i="1"/>
  <c r="O817" i="1"/>
  <c r="P817" i="1"/>
  <c r="N818" i="1"/>
  <c r="O818" i="1"/>
  <c r="P818" i="1"/>
  <c r="N819" i="1"/>
  <c r="O819" i="1"/>
  <c r="P819" i="1"/>
  <c r="N820" i="1"/>
  <c r="O820" i="1"/>
  <c r="P820" i="1"/>
  <c r="N821" i="1"/>
  <c r="O821" i="1"/>
  <c r="P821" i="1"/>
  <c r="N822" i="1"/>
  <c r="O822" i="1"/>
  <c r="P822" i="1"/>
  <c r="N823" i="1"/>
  <c r="O823" i="1"/>
  <c r="P823" i="1"/>
  <c r="N824" i="1"/>
  <c r="O824" i="1"/>
  <c r="P824" i="1"/>
  <c r="N825" i="1"/>
  <c r="O825" i="1"/>
  <c r="P825" i="1"/>
  <c r="N826" i="1"/>
  <c r="O826" i="1"/>
  <c r="P826" i="1"/>
  <c r="N827" i="1"/>
  <c r="O827" i="1"/>
  <c r="P827" i="1"/>
  <c r="N828" i="1"/>
  <c r="O828" i="1"/>
  <c r="P828" i="1"/>
  <c r="N829" i="1"/>
  <c r="O829" i="1"/>
  <c r="P829" i="1"/>
  <c r="N830" i="1"/>
  <c r="O830" i="1"/>
  <c r="P830" i="1"/>
  <c r="N831" i="1"/>
  <c r="O831" i="1"/>
  <c r="P831" i="1"/>
  <c r="N832" i="1"/>
  <c r="O832" i="1"/>
  <c r="P832" i="1"/>
  <c r="N833" i="1"/>
  <c r="O833" i="1"/>
  <c r="P833" i="1"/>
  <c r="N834" i="1"/>
  <c r="O834" i="1"/>
  <c r="P834" i="1"/>
  <c r="N835" i="1"/>
  <c r="O835" i="1"/>
  <c r="P835" i="1"/>
  <c r="N836" i="1"/>
  <c r="O836" i="1"/>
  <c r="P836" i="1"/>
  <c r="N837" i="1"/>
  <c r="O837" i="1"/>
  <c r="P837" i="1"/>
  <c r="N838" i="1"/>
  <c r="O838" i="1"/>
  <c r="P838" i="1"/>
  <c r="N839" i="1"/>
  <c r="O839" i="1"/>
  <c r="P839" i="1"/>
  <c r="N840" i="1"/>
  <c r="O840" i="1"/>
  <c r="P840" i="1"/>
  <c r="N841" i="1"/>
  <c r="O841" i="1"/>
  <c r="P841" i="1"/>
  <c r="N842" i="1"/>
  <c r="O842" i="1"/>
  <c r="P842" i="1"/>
  <c r="N843" i="1"/>
  <c r="O843" i="1"/>
  <c r="P843" i="1"/>
  <c r="N844" i="1"/>
  <c r="O844" i="1"/>
  <c r="P844" i="1"/>
  <c r="N845" i="1"/>
  <c r="O845" i="1"/>
  <c r="P845" i="1"/>
  <c r="N846" i="1"/>
  <c r="O846" i="1"/>
  <c r="P846" i="1"/>
  <c r="N847" i="1"/>
  <c r="O847" i="1"/>
  <c r="P847" i="1"/>
  <c r="N848" i="1"/>
  <c r="O848" i="1"/>
  <c r="P848" i="1"/>
  <c r="N849" i="1"/>
  <c r="O849" i="1"/>
  <c r="P849" i="1"/>
  <c r="N850" i="1"/>
  <c r="O850" i="1"/>
  <c r="P850" i="1"/>
  <c r="N851" i="1"/>
  <c r="O851" i="1"/>
  <c r="P851" i="1"/>
  <c r="N852" i="1"/>
  <c r="O852" i="1"/>
  <c r="P852" i="1"/>
  <c r="N853" i="1"/>
  <c r="O853" i="1"/>
  <c r="P853" i="1"/>
  <c r="N854" i="1"/>
  <c r="O854" i="1"/>
  <c r="P854" i="1"/>
  <c r="N855" i="1"/>
  <c r="O855" i="1"/>
  <c r="P855" i="1"/>
  <c r="N856" i="1"/>
  <c r="O856" i="1"/>
  <c r="P856" i="1"/>
  <c r="N857" i="1"/>
  <c r="O857" i="1"/>
  <c r="P857" i="1"/>
  <c r="N858" i="1"/>
  <c r="O858" i="1"/>
  <c r="P858" i="1"/>
  <c r="N859" i="1"/>
  <c r="O859" i="1"/>
  <c r="P859" i="1"/>
  <c r="N860" i="1"/>
  <c r="O860" i="1"/>
  <c r="P860" i="1"/>
  <c r="N861" i="1"/>
  <c r="O861" i="1"/>
  <c r="P861" i="1"/>
  <c r="N862" i="1"/>
  <c r="O862" i="1"/>
  <c r="P862" i="1"/>
  <c r="N863" i="1"/>
  <c r="O863" i="1"/>
  <c r="P863" i="1"/>
  <c r="N864" i="1"/>
  <c r="O864" i="1"/>
  <c r="P864" i="1"/>
  <c r="N865" i="1"/>
  <c r="O865" i="1"/>
  <c r="P865" i="1"/>
  <c r="N866" i="1"/>
  <c r="O866" i="1"/>
  <c r="P866" i="1"/>
  <c r="N867" i="1"/>
  <c r="O867" i="1"/>
  <c r="P867" i="1"/>
  <c r="N868" i="1"/>
  <c r="O868" i="1"/>
  <c r="P868" i="1"/>
  <c r="N869" i="1"/>
  <c r="O869" i="1"/>
  <c r="P869" i="1"/>
  <c r="N870" i="1"/>
  <c r="O870" i="1"/>
  <c r="P870" i="1"/>
  <c r="N871" i="1"/>
  <c r="O871" i="1"/>
  <c r="P871" i="1"/>
  <c r="N872" i="1"/>
  <c r="O872" i="1"/>
  <c r="P872" i="1"/>
  <c r="N873" i="1"/>
  <c r="O873" i="1"/>
  <c r="P873" i="1"/>
  <c r="N874" i="1"/>
  <c r="O874" i="1"/>
  <c r="P874" i="1"/>
  <c r="N875" i="1"/>
  <c r="O875" i="1"/>
  <c r="P875" i="1"/>
  <c r="N876" i="1"/>
  <c r="O876" i="1"/>
  <c r="P876" i="1"/>
  <c r="N877" i="1"/>
  <c r="O877" i="1"/>
  <c r="P877" i="1"/>
  <c r="N878" i="1"/>
  <c r="O878" i="1"/>
  <c r="P878" i="1"/>
  <c r="N879" i="1"/>
  <c r="O879" i="1"/>
  <c r="P879" i="1"/>
  <c r="N880" i="1"/>
  <c r="O880" i="1"/>
  <c r="P880" i="1"/>
  <c r="N881" i="1"/>
  <c r="O881" i="1"/>
  <c r="P881" i="1"/>
  <c r="N882" i="1"/>
  <c r="O882" i="1"/>
  <c r="P882" i="1"/>
  <c r="N883" i="1"/>
  <c r="O883" i="1"/>
  <c r="P883" i="1"/>
  <c r="N884" i="1"/>
  <c r="O884" i="1"/>
  <c r="P884" i="1"/>
  <c r="N885" i="1"/>
  <c r="O885" i="1"/>
  <c r="P885" i="1"/>
  <c r="N886" i="1"/>
  <c r="O886" i="1"/>
  <c r="P886" i="1"/>
  <c r="N887" i="1"/>
  <c r="O887" i="1"/>
  <c r="P887" i="1"/>
  <c r="N888" i="1"/>
  <c r="O888" i="1"/>
  <c r="P888" i="1"/>
  <c r="N889" i="1"/>
  <c r="O889" i="1"/>
  <c r="P889" i="1"/>
  <c r="N890" i="1"/>
  <c r="O890" i="1"/>
  <c r="P890" i="1"/>
  <c r="N891" i="1"/>
  <c r="O891" i="1"/>
  <c r="P891" i="1"/>
  <c r="N892" i="1"/>
  <c r="O892" i="1"/>
  <c r="P892" i="1"/>
  <c r="N893" i="1"/>
  <c r="O893" i="1"/>
  <c r="P893" i="1"/>
  <c r="N894" i="1"/>
  <c r="O894" i="1"/>
  <c r="P894" i="1"/>
  <c r="N895" i="1"/>
  <c r="O895" i="1"/>
  <c r="P895" i="1"/>
  <c r="N896" i="1"/>
  <c r="O896" i="1"/>
  <c r="P896" i="1"/>
  <c r="N897" i="1"/>
  <c r="O897" i="1"/>
  <c r="P897" i="1"/>
  <c r="N898" i="1"/>
  <c r="O898" i="1"/>
  <c r="P898" i="1"/>
  <c r="N899" i="1"/>
  <c r="O899" i="1"/>
  <c r="P899" i="1"/>
  <c r="N900" i="1"/>
  <c r="O900" i="1"/>
  <c r="P900" i="1"/>
  <c r="N901" i="1"/>
  <c r="O901" i="1"/>
  <c r="P901" i="1"/>
  <c r="N902" i="1"/>
  <c r="O902" i="1"/>
  <c r="P902" i="1"/>
  <c r="N903" i="1"/>
  <c r="O903" i="1"/>
  <c r="P903" i="1"/>
  <c r="N904" i="1"/>
  <c r="O904" i="1"/>
  <c r="P904" i="1"/>
  <c r="N905" i="1"/>
  <c r="O905" i="1"/>
  <c r="P905" i="1"/>
  <c r="N906" i="1"/>
  <c r="O906" i="1"/>
  <c r="P906" i="1"/>
  <c r="N907" i="1"/>
  <c r="O907" i="1"/>
  <c r="P907" i="1"/>
  <c r="N908" i="1"/>
  <c r="O908" i="1"/>
  <c r="P908" i="1"/>
  <c r="N909" i="1"/>
  <c r="O909" i="1"/>
  <c r="P909" i="1"/>
  <c r="N910" i="1"/>
  <c r="O910" i="1"/>
  <c r="P910" i="1"/>
  <c r="N911" i="1"/>
  <c r="O911" i="1"/>
  <c r="P911" i="1"/>
  <c r="N912" i="1"/>
  <c r="O912" i="1"/>
  <c r="P912" i="1"/>
  <c r="N913" i="1"/>
  <c r="O913" i="1"/>
  <c r="P913" i="1"/>
  <c r="N914" i="1"/>
  <c r="O914" i="1"/>
  <c r="P914" i="1"/>
  <c r="N915" i="1"/>
  <c r="O915" i="1"/>
  <c r="P915" i="1"/>
  <c r="N916" i="1"/>
  <c r="O916" i="1"/>
  <c r="P916" i="1"/>
  <c r="N917" i="1"/>
  <c r="O917" i="1"/>
  <c r="P917" i="1"/>
  <c r="N918" i="1"/>
  <c r="O918" i="1"/>
  <c r="P918" i="1"/>
  <c r="N919" i="1"/>
  <c r="O919" i="1"/>
  <c r="P919" i="1"/>
  <c r="N920" i="1"/>
  <c r="O920" i="1"/>
  <c r="P920" i="1"/>
  <c r="N921" i="1"/>
  <c r="O921" i="1"/>
  <c r="P921" i="1"/>
  <c r="N922" i="1"/>
  <c r="O922" i="1"/>
  <c r="P922" i="1"/>
  <c r="N923" i="1"/>
  <c r="O923" i="1"/>
  <c r="P923" i="1"/>
  <c r="N924" i="1"/>
  <c r="O924" i="1"/>
  <c r="P924" i="1"/>
  <c r="N925" i="1"/>
  <c r="O925" i="1"/>
  <c r="P925" i="1"/>
  <c r="N926" i="1"/>
  <c r="O926" i="1"/>
  <c r="P926" i="1"/>
  <c r="N927" i="1"/>
  <c r="O927" i="1"/>
  <c r="P927" i="1"/>
  <c r="N928" i="1"/>
  <c r="O928" i="1"/>
  <c r="P928" i="1"/>
  <c r="N929" i="1"/>
  <c r="O929" i="1"/>
  <c r="P929" i="1"/>
  <c r="N930" i="1"/>
  <c r="O930" i="1"/>
  <c r="P930" i="1"/>
  <c r="N931" i="1"/>
  <c r="O931" i="1"/>
  <c r="P931" i="1"/>
  <c r="N932" i="1"/>
  <c r="O932" i="1"/>
  <c r="P932" i="1"/>
  <c r="N933" i="1"/>
  <c r="O933" i="1"/>
  <c r="P933" i="1"/>
  <c r="N934" i="1"/>
  <c r="O934" i="1"/>
  <c r="P934" i="1"/>
  <c r="N935" i="1"/>
  <c r="O935" i="1"/>
  <c r="P935" i="1"/>
  <c r="N936" i="1"/>
  <c r="O936" i="1"/>
  <c r="P936" i="1"/>
  <c r="N937" i="1"/>
  <c r="O937" i="1"/>
  <c r="P937" i="1"/>
  <c r="N938" i="1"/>
  <c r="O938" i="1"/>
  <c r="P938" i="1"/>
  <c r="N939" i="1"/>
  <c r="O939" i="1"/>
  <c r="P939" i="1"/>
  <c r="N940" i="1"/>
  <c r="O940" i="1"/>
  <c r="P940" i="1"/>
  <c r="N941" i="1"/>
  <c r="O941" i="1"/>
  <c r="P941" i="1"/>
  <c r="N942" i="1"/>
  <c r="O942" i="1"/>
  <c r="P942" i="1"/>
  <c r="N943" i="1"/>
  <c r="O943" i="1"/>
  <c r="P943" i="1"/>
  <c r="N944" i="1"/>
  <c r="O944" i="1"/>
  <c r="P944" i="1"/>
  <c r="N945" i="1"/>
  <c r="O945" i="1"/>
  <c r="P945" i="1"/>
  <c r="N946" i="1"/>
  <c r="O946" i="1"/>
  <c r="P946" i="1"/>
  <c r="N947" i="1"/>
  <c r="O947" i="1"/>
  <c r="P947" i="1"/>
  <c r="N948" i="1"/>
  <c r="O948" i="1"/>
  <c r="P948" i="1"/>
  <c r="N949" i="1"/>
  <c r="O949" i="1"/>
  <c r="P949" i="1"/>
  <c r="N950" i="1"/>
  <c r="O950" i="1"/>
  <c r="P950" i="1"/>
  <c r="N951" i="1"/>
  <c r="O951" i="1"/>
  <c r="P951" i="1"/>
  <c r="N952" i="1"/>
  <c r="O952" i="1"/>
  <c r="P952" i="1"/>
  <c r="N953" i="1"/>
  <c r="O953" i="1"/>
  <c r="P953" i="1"/>
  <c r="N954" i="1"/>
  <c r="O954" i="1"/>
  <c r="P954" i="1"/>
  <c r="N955" i="1"/>
  <c r="O955" i="1"/>
  <c r="P955" i="1"/>
  <c r="N956" i="1"/>
  <c r="O956" i="1"/>
  <c r="P956" i="1"/>
  <c r="N957" i="1"/>
  <c r="O957" i="1"/>
  <c r="P957" i="1"/>
  <c r="N958" i="1"/>
  <c r="O958" i="1"/>
  <c r="P958" i="1"/>
  <c r="N959" i="1"/>
  <c r="O959" i="1"/>
  <c r="P959" i="1"/>
  <c r="N960" i="1"/>
  <c r="O960" i="1"/>
  <c r="P960" i="1"/>
  <c r="N961" i="1"/>
  <c r="O961" i="1"/>
  <c r="P961" i="1"/>
  <c r="N962" i="1"/>
  <c r="O962" i="1"/>
  <c r="P962" i="1"/>
  <c r="N963" i="1"/>
  <c r="O963" i="1"/>
  <c r="P963" i="1"/>
  <c r="N964" i="1"/>
  <c r="O964" i="1"/>
  <c r="P964" i="1"/>
  <c r="N965" i="1"/>
  <c r="O965" i="1"/>
  <c r="P965" i="1"/>
  <c r="N966" i="1"/>
  <c r="O966" i="1"/>
  <c r="P966" i="1"/>
  <c r="N967" i="1"/>
  <c r="O967" i="1"/>
  <c r="P967" i="1"/>
  <c r="N968" i="1"/>
  <c r="O968" i="1"/>
  <c r="P968" i="1"/>
  <c r="N969" i="1"/>
  <c r="O969" i="1"/>
  <c r="P969" i="1"/>
  <c r="N970" i="1"/>
  <c r="O970" i="1"/>
  <c r="P970" i="1"/>
  <c r="N971" i="1"/>
  <c r="O971" i="1"/>
  <c r="P971" i="1"/>
  <c r="N972" i="1"/>
  <c r="O972" i="1"/>
  <c r="P972" i="1"/>
  <c r="N973" i="1"/>
  <c r="O973" i="1"/>
  <c r="P973" i="1"/>
  <c r="N974" i="1"/>
  <c r="O974" i="1"/>
  <c r="P974" i="1"/>
  <c r="N975" i="1"/>
  <c r="O975" i="1"/>
  <c r="P975" i="1"/>
  <c r="N976" i="1"/>
  <c r="O976" i="1"/>
  <c r="P976" i="1"/>
  <c r="N977" i="1"/>
  <c r="O977" i="1"/>
  <c r="P977" i="1"/>
  <c r="N978" i="1"/>
  <c r="O978" i="1"/>
  <c r="P978" i="1"/>
  <c r="N979" i="1"/>
  <c r="O979" i="1"/>
  <c r="P979" i="1"/>
  <c r="N980" i="1"/>
  <c r="O980" i="1"/>
  <c r="P980" i="1"/>
  <c r="N981" i="1"/>
  <c r="O981" i="1"/>
  <c r="P981" i="1"/>
  <c r="N982" i="1"/>
  <c r="O982" i="1"/>
  <c r="P982" i="1"/>
  <c r="N983" i="1"/>
  <c r="O983" i="1"/>
  <c r="P983" i="1"/>
  <c r="N984" i="1"/>
  <c r="O984" i="1"/>
  <c r="P984" i="1"/>
  <c r="N985" i="1"/>
  <c r="O985" i="1"/>
  <c r="P985" i="1"/>
  <c r="N986" i="1"/>
  <c r="O986" i="1"/>
  <c r="P986" i="1"/>
  <c r="N987" i="1"/>
  <c r="O987" i="1"/>
  <c r="P987" i="1"/>
  <c r="N988" i="1"/>
  <c r="O988" i="1"/>
  <c r="P988" i="1"/>
  <c r="N989" i="1"/>
  <c r="O989" i="1"/>
  <c r="P989" i="1"/>
  <c r="N990" i="1"/>
  <c r="O990" i="1"/>
  <c r="P990" i="1"/>
  <c r="N991" i="1"/>
  <c r="O991" i="1"/>
  <c r="P991" i="1"/>
  <c r="N992" i="1"/>
  <c r="O992" i="1"/>
  <c r="P992" i="1"/>
  <c r="N993" i="1"/>
  <c r="O993" i="1"/>
  <c r="P993" i="1"/>
  <c r="N994" i="1"/>
  <c r="O994" i="1"/>
  <c r="P994" i="1"/>
  <c r="N995" i="1"/>
  <c r="O995" i="1"/>
  <c r="P995" i="1"/>
  <c r="N996" i="1"/>
  <c r="O996" i="1"/>
  <c r="P996" i="1"/>
  <c r="N997" i="1"/>
  <c r="O997" i="1"/>
  <c r="P997" i="1"/>
  <c r="N998" i="1"/>
  <c r="O998" i="1"/>
  <c r="P998" i="1"/>
  <c r="N999" i="1"/>
  <c r="O999" i="1"/>
  <c r="P999" i="1"/>
  <c r="N1000" i="1"/>
  <c r="O1000" i="1"/>
  <c r="P1000" i="1"/>
  <c r="N1001" i="1"/>
  <c r="O1001" i="1"/>
  <c r="P1001" i="1"/>
  <c r="N1002" i="1"/>
  <c r="O1002" i="1"/>
  <c r="P1002" i="1"/>
  <c r="N1003" i="1"/>
  <c r="O1003" i="1"/>
  <c r="P1003" i="1"/>
  <c r="N1004" i="1"/>
  <c r="O1004" i="1"/>
  <c r="P1004" i="1"/>
  <c r="N1005" i="1"/>
  <c r="O1005" i="1"/>
  <c r="P1005" i="1"/>
  <c r="N1006" i="1"/>
  <c r="O1006" i="1"/>
  <c r="P1006" i="1"/>
  <c r="N1007" i="1"/>
  <c r="O1007" i="1"/>
  <c r="P1007" i="1"/>
  <c r="N1008" i="1"/>
  <c r="O1008" i="1"/>
  <c r="P1008" i="1"/>
  <c r="N1009" i="1"/>
  <c r="O1009" i="1"/>
  <c r="P1009" i="1"/>
  <c r="N1010" i="1"/>
  <c r="O1010" i="1"/>
  <c r="P1010" i="1"/>
  <c r="N1011" i="1"/>
  <c r="O1011" i="1"/>
  <c r="P1011" i="1"/>
  <c r="N1012" i="1"/>
  <c r="O1012" i="1"/>
  <c r="P1012" i="1"/>
  <c r="N1013" i="1"/>
  <c r="O1013" i="1"/>
  <c r="P1013" i="1"/>
  <c r="N1014" i="1"/>
  <c r="O1014" i="1"/>
  <c r="P1014" i="1"/>
  <c r="N1015" i="1"/>
  <c r="O1015" i="1"/>
  <c r="P1015" i="1"/>
  <c r="N1016" i="1"/>
  <c r="O1016" i="1"/>
  <c r="P1016" i="1"/>
  <c r="N1017" i="1"/>
  <c r="O1017" i="1"/>
  <c r="P1017" i="1"/>
  <c r="N1018" i="1"/>
  <c r="O1018" i="1"/>
  <c r="P1018" i="1"/>
  <c r="N1019" i="1"/>
  <c r="O1019" i="1"/>
  <c r="P1019" i="1"/>
  <c r="N1020" i="1"/>
  <c r="O1020" i="1"/>
  <c r="P1020" i="1"/>
  <c r="N1021" i="1"/>
  <c r="O1021" i="1"/>
  <c r="P1021" i="1"/>
  <c r="N1022" i="1"/>
  <c r="O1022" i="1"/>
  <c r="P1022" i="1"/>
  <c r="N1023" i="1"/>
  <c r="O1023" i="1"/>
  <c r="P1023" i="1"/>
  <c r="N1024" i="1"/>
  <c r="O1024" i="1"/>
  <c r="P1024" i="1"/>
  <c r="N1025" i="1"/>
  <c r="O1025" i="1"/>
  <c r="P1025" i="1"/>
  <c r="N1026" i="1"/>
  <c r="O1026" i="1"/>
  <c r="P1026" i="1"/>
  <c r="N1027" i="1"/>
  <c r="O1027" i="1"/>
  <c r="P1027" i="1"/>
  <c r="N1028" i="1"/>
  <c r="O1028" i="1"/>
  <c r="P1028" i="1"/>
  <c r="N1029" i="1"/>
  <c r="O1029" i="1"/>
  <c r="P1029" i="1"/>
  <c r="N1030" i="1"/>
  <c r="O1030" i="1"/>
  <c r="P1030" i="1"/>
  <c r="N1031" i="1"/>
  <c r="O1031" i="1"/>
  <c r="P1031" i="1"/>
  <c r="N1032" i="1"/>
  <c r="O1032" i="1"/>
  <c r="P1032" i="1"/>
  <c r="N1033" i="1"/>
  <c r="O1033" i="1"/>
  <c r="P1033" i="1"/>
  <c r="N1034" i="1"/>
  <c r="O1034" i="1"/>
  <c r="P1034" i="1"/>
  <c r="N1035" i="1"/>
  <c r="O1035" i="1"/>
  <c r="P1035" i="1"/>
  <c r="N1036" i="1"/>
  <c r="O1036" i="1"/>
  <c r="P1036" i="1"/>
  <c r="N1037" i="1"/>
  <c r="O1037" i="1"/>
  <c r="P1037" i="1"/>
  <c r="N1038" i="1"/>
  <c r="O1038" i="1"/>
  <c r="P1038" i="1"/>
  <c r="N1039" i="1"/>
  <c r="O1039" i="1"/>
  <c r="P1039" i="1"/>
  <c r="N1040" i="1"/>
  <c r="O1040" i="1"/>
  <c r="P1040" i="1"/>
  <c r="N1041" i="1"/>
  <c r="O1041" i="1"/>
  <c r="P1041" i="1"/>
  <c r="N1042" i="1"/>
  <c r="O1042" i="1"/>
  <c r="P1042" i="1"/>
  <c r="N1043" i="1"/>
  <c r="O1043" i="1"/>
  <c r="P1043" i="1"/>
  <c r="N1044" i="1"/>
  <c r="O1044" i="1"/>
  <c r="P1044" i="1"/>
  <c r="N1045" i="1"/>
  <c r="O1045" i="1"/>
  <c r="P1045" i="1"/>
  <c r="N1046" i="1"/>
  <c r="O1046" i="1"/>
  <c r="P1046" i="1"/>
  <c r="N1047" i="1"/>
  <c r="O1047" i="1"/>
  <c r="P1047" i="1"/>
  <c r="N1048" i="1"/>
  <c r="O1048" i="1"/>
  <c r="P1048" i="1"/>
  <c r="N1049" i="1"/>
  <c r="O1049" i="1"/>
  <c r="P1049" i="1"/>
  <c r="N1050" i="1"/>
  <c r="O1050" i="1"/>
  <c r="P1050" i="1"/>
  <c r="N1051" i="1"/>
  <c r="O1051" i="1"/>
  <c r="P1051" i="1"/>
  <c r="N1052" i="1"/>
  <c r="O1052" i="1"/>
  <c r="P1052" i="1"/>
  <c r="N1053" i="1"/>
  <c r="O1053" i="1"/>
  <c r="P1053" i="1"/>
  <c r="N1054" i="1"/>
  <c r="O1054" i="1"/>
  <c r="P1054" i="1"/>
  <c r="N1055" i="1"/>
  <c r="O1055" i="1"/>
  <c r="P1055" i="1"/>
  <c r="N1056" i="1"/>
  <c r="O1056" i="1"/>
  <c r="P1056" i="1"/>
  <c r="N1057" i="1"/>
  <c r="O1057" i="1"/>
  <c r="P1057" i="1"/>
  <c r="N1058" i="1"/>
  <c r="O1058" i="1"/>
  <c r="P1058" i="1"/>
  <c r="N1059" i="1"/>
  <c r="O1059" i="1"/>
  <c r="P1059" i="1"/>
  <c r="N1060" i="1"/>
  <c r="O1060" i="1"/>
  <c r="P1060" i="1"/>
  <c r="N1061" i="1"/>
  <c r="O1061" i="1"/>
  <c r="P1061" i="1"/>
  <c r="N1062" i="1"/>
  <c r="O1062" i="1"/>
  <c r="P1062" i="1"/>
  <c r="N1063" i="1"/>
  <c r="O1063" i="1"/>
  <c r="P1063" i="1"/>
  <c r="N1064" i="1"/>
  <c r="O1064" i="1"/>
  <c r="P1064" i="1"/>
  <c r="N1065" i="1"/>
  <c r="O1065" i="1"/>
  <c r="P1065" i="1"/>
  <c r="N1066" i="1"/>
  <c r="O1066" i="1"/>
  <c r="P1066" i="1"/>
  <c r="N1067" i="1"/>
  <c r="O1067" i="1"/>
  <c r="P1067" i="1"/>
  <c r="N1068" i="1"/>
  <c r="O1068" i="1"/>
  <c r="P1068" i="1"/>
  <c r="N1069" i="1"/>
  <c r="O1069" i="1"/>
  <c r="P1069" i="1"/>
  <c r="N1070" i="1"/>
  <c r="O1070" i="1"/>
  <c r="P1070" i="1"/>
  <c r="N1071" i="1"/>
  <c r="O1071" i="1"/>
  <c r="P1071" i="1"/>
  <c r="N1072" i="1"/>
  <c r="O1072" i="1"/>
  <c r="P1072" i="1"/>
  <c r="N1073" i="1"/>
  <c r="O1073" i="1"/>
  <c r="P1073" i="1"/>
  <c r="N1074" i="1"/>
  <c r="O1074" i="1"/>
  <c r="P1074" i="1"/>
  <c r="N1075" i="1"/>
  <c r="O1075" i="1"/>
  <c r="P1075" i="1"/>
  <c r="N1076" i="1"/>
  <c r="O1076" i="1"/>
  <c r="P1076" i="1"/>
  <c r="N1077" i="1"/>
  <c r="O1077" i="1"/>
  <c r="P1077" i="1"/>
  <c r="N1078" i="1"/>
  <c r="O1078" i="1"/>
  <c r="P1078" i="1"/>
  <c r="N1079" i="1"/>
  <c r="O1079" i="1"/>
  <c r="P1079" i="1"/>
  <c r="N1080" i="1"/>
  <c r="O1080" i="1"/>
  <c r="P1080" i="1"/>
  <c r="N1081" i="1"/>
  <c r="O1081" i="1"/>
  <c r="P1081" i="1"/>
  <c r="N1082" i="1"/>
  <c r="O1082" i="1"/>
  <c r="P1082" i="1"/>
  <c r="N1083" i="1"/>
  <c r="O1083" i="1"/>
  <c r="P1083" i="1"/>
  <c r="N1084" i="1"/>
  <c r="O1084" i="1"/>
  <c r="P1084" i="1"/>
  <c r="N1085" i="1"/>
  <c r="O1085" i="1"/>
  <c r="P1085" i="1"/>
  <c r="N1086" i="1"/>
  <c r="O1086" i="1"/>
  <c r="P1086" i="1"/>
  <c r="N1087" i="1"/>
  <c r="O1087" i="1"/>
  <c r="P1087" i="1"/>
  <c r="N1088" i="1"/>
  <c r="O1088" i="1"/>
  <c r="P1088" i="1"/>
  <c r="N1089" i="1"/>
  <c r="O1089" i="1"/>
  <c r="P1089" i="1"/>
  <c r="N1090" i="1"/>
  <c r="O1090" i="1"/>
  <c r="P1090" i="1"/>
  <c r="N1091" i="1"/>
  <c r="O1091" i="1"/>
  <c r="P1091" i="1"/>
  <c r="N1092" i="1"/>
  <c r="O1092" i="1"/>
  <c r="P1092" i="1"/>
  <c r="N1093" i="1"/>
  <c r="O1093" i="1"/>
  <c r="P1093" i="1"/>
  <c r="N1094" i="1"/>
  <c r="O1094" i="1"/>
  <c r="P1094" i="1"/>
  <c r="N1095" i="1"/>
  <c r="O1095" i="1"/>
  <c r="P1095" i="1"/>
  <c r="N1096" i="1"/>
  <c r="O1096" i="1"/>
  <c r="P1096" i="1"/>
  <c r="N1097" i="1"/>
  <c r="O1097" i="1"/>
  <c r="P1097" i="1"/>
  <c r="N1098" i="1"/>
  <c r="O1098" i="1"/>
  <c r="P1098" i="1"/>
  <c r="N1099" i="1"/>
  <c r="O1099" i="1"/>
  <c r="P1099" i="1"/>
  <c r="N1100" i="1"/>
  <c r="O1100" i="1"/>
  <c r="P1100" i="1"/>
  <c r="N1101" i="1"/>
  <c r="O1101" i="1"/>
  <c r="P1101" i="1"/>
  <c r="N1102" i="1"/>
  <c r="O1102" i="1"/>
  <c r="P1102" i="1"/>
  <c r="N1103" i="1"/>
  <c r="O1103" i="1"/>
  <c r="P1103" i="1"/>
  <c r="N1104" i="1"/>
  <c r="O1104" i="1"/>
  <c r="P1104" i="1"/>
  <c r="N1105" i="1"/>
  <c r="O1105" i="1"/>
  <c r="P1105" i="1"/>
  <c r="N1106" i="1"/>
  <c r="O1106" i="1"/>
  <c r="P1106" i="1"/>
  <c r="N1107" i="1"/>
  <c r="O1107" i="1"/>
  <c r="P1107" i="1"/>
  <c r="N1108" i="1"/>
  <c r="O1108" i="1"/>
  <c r="P1108" i="1"/>
  <c r="N1109" i="1"/>
  <c r="O1109" i="1"/>
  <c r="P1109" i="1"/>
  <c r="N1110" i="1"/>
  <c r="O1110" i="1"/>
  <c r="P1110" i="1"/>
  <c r="N1111" i="1"/>
  <c r="O1111" i="1"/>
  <c r="P1111" i="1"/>
  <c r="N1112" i="1"/>
  <c r="O1112" i="1"/>
  <c r="P1112" i="1"/>
  <c r="N1113" i="1"/>
  <c r="O1113" i="1"/>
  <c r="P1113" i="1"/>
  <c r="N1114" i="1"/>
  <c r="O1114" i="1"/>
  <c r="P1114" i="1"/>
  <c r="N1115" i="1"/>
  <c r="O1115" i="1"/>
  <c r="P1115" i="1"/>
  <c r="N1116" i="1"/>
  <c r="O1116" i="1"/>
  <c r="P1116" i="1"/>
  <c r="N1117" i="1"/>
  <c r="O1117" i="1"/>
  <c r="P1117" i="1"/>
  <c r="N1118" i="1"/>
  <c r="O1118" i="1"/>
  <c r="P1118" i="1"/>
  <c r="N1119" i="1"/>
  <c r="O1119" i="1"/>
  <c r="P1119" i="1"/>
  <c r="N1120" i="1"/>
  <c r="O1120" i="1"/>
  <c r="P1120" i="1"/>
  <c r="N1121" i="1"/>
  <c r="O1121" i="1"/>
  <c r="P1121" i="1"/>
  <c r="N1122" i="1"/>
  <c r="O1122" i="1"/>
  <c r="P1122" i="1"/>
  <c r="N1123" i="1"/>
  <c r="O1123" i="1"/>
  <c r="P1123" i="1"/>
  <c r="N1124" i="1"/>
  <c r="O1124" i="1"/>
  <c r="P1124" i="1"/>
  <c r="N1125" i="1"/>
  <c r="O1125" i="1"/>
  <c r="P1125" i="1"/>
  <c r="N1126" i="1"/>
  <c r="O1126" i="1"/>
  <c r="P1126" i="1"/>
  <c r="N1127" i="1"/>
  <c r="O1127" i="1"/>
  <c r="P1127" i="1"/>
  <c r="N1128" i="1"/>
  <c r="O1128" i="1"/>
  <c r="P1128" i="1"/>
  <c r="N1129" i="1"/>
  <c r="O1129" i="1"/>
  <c r="P1129" i="1"/>
  <c r="N1130" i="1"/>
  <c r="O1130" i="1"/>
  <c r="P1130" i="1"/>
  <c r="N1131" i="1"/>
  <c r="O1131" i="1"/>
  <c r="P1131" i="1"/>
  <c r="N1132" i="1"/>
  <c r="O1132" i="1"/>
  <c r="P1132" i="1"/>
  <c r="N1133" i="1"/>
  <c r="O1133" i="1"/>
  <c r="P1133" i="1"/>
  <c r="N1134" i="1"/>
  <c r="O1134" i="1"/>
  <c r="P1134" i="1"/>
  <c r="N1135" i="1"/>
  <c r="O1135" i="1"/>
  <c r="P1135" i="1"/>
  <c r="N1136" i="1"/>
  <c r="O1136" i="1"/>
  <c r="P1136" i="1"/>
  <c r="N1137" i="1"/>
  <c r="O1137" i="1"/>
  <c r="P1137" i="1"/>
  <c r="N1138" i="1"/>
  <c r="O1138" i="1"/>
  <c r="P1138" i="1"/>
  <c r="N1139" i="1"/>
  <c r="O1139" i="1"/>
  <c r="P1139" i="1"/>
  <c r="N1140" i="1"/>
  <c r="O1140" i="1"/>
  <c r="P1140" i="1"/>
  <c r="N1141" i="1"/>
  <c r="O1141" i="1"/>
  <c r="P1141" i="1"/>
  <c r="N1142" i="1"/>
  <c r="O1142" i="1"/>
  <c r="P1142" i="1"/>
  <c r="N1143" i="1"/>
  <c r="O1143" i="1"/>
  <c r="P1143" i="1"/>
  <c r="N1144" i="1"/>
  <c r="O1144" i="1"/>
  <c r="P1144" i="1"/>
  <c r="N1145" i="1"/>
  <c r="O1145" i="1"/>
  <c r="P1145" i="1"/>
  <c r="N1146" i="1"/>
  <c r="O1146" i="1"/>
  <c r="P1146" i="1"/>
  <c r="N1147" i="1"/>
  <c r="O1147" i="1"/>
  <c r="P1147" i="1"/>
  <c r="N1148" i="1"/>
  <c r="O1148" i="1"/>
  <c r="P1148" i="1"/>
  <c r="N1149" i="1"/>
  <c r="O1149" i="1"/>
  <c r="P1149" i="1"/>
  <c r="N1150" i="1"/>
  <c r="O1150" i="1"/>
  <c r="P1150" i="1"/>
  <c r="N1151" i="1"/>
  <c r="O1151" i="1"/>
  <c r="P1151" i="1"/>
  <c r="N1152" i="1"/>
  <c r="O1152" i="1"/>
  <c r="P1152" i="1"/>
  <c r="N1153" i="1"/>
  <c r="O1153" i="1"/>
  <c r="P1153" i="1"/>
  <c r="N1154" i="1"/>
  <c r="O1154" i="1"/>
  <c r="P1154" i="1"/>
  <c r="N1155" i="1"/>
  <c r="O1155" i="1"/>
  <c r="P1155" i="1"/>
  <c r="N1156" i="1"/>
  <c r="O1156" i="1"/>
  <c r="P1156" i="1"/>
  <c r="N1157" i="1"/>
  <c r="O1157" i="1"/>
  <c r="P1157" i="1"/>
  <c r="N1158" i="1"/>
  <c r="O1158" i="1"/>
  <c r="P1158" i="1"/>
  <c r="N1159" i="1"/>
  <c r="O1159" i="1"/>
  <c r="P1159" i="1"/>
  <c r="N1160" i="1"/>
  <c r="O1160" i="1"/>
  <c r="P1160" i="1"/>
  <c r="N1161" i="1"/>
  <c r="O1161" i="1"/>
  <c r="P1161" i="1"/>
  <c r="N1162" i="1"/>
  <c r="O1162" i="1"/>
  <c r="P1162" i="1"/>
  <c r="N1163" i="1"/>
  <c r="O1163" i="1"/>
  <c r="P1163" i="1"/>
  <c r="N1164" i="1"/>
  <c r="O1164" i="1"/>
  <c r="P1164" i="1"/>
  <c r="N1165" i="1"/>
  <c r="O1165" i="1"/>
  <c r="P1165" i="1"/>
  <c r="N1166" i="1"/>
  <c r="O1166" i="1"/>
  <c r="P1166" i="1"/>
  <c r="N1167" i="1"/>
  <c r="O1167" i="1"/>
  <c r="P1167" i="1"/>
  <c r="N1168" i="1"/>
  <c r="O1168" i="1"/>
  <c r="P1168" i="1"/>
  <c r="N1169" i="1"/>
  <c r="O1169" i="1"/>
  <c r="P1169" i="1"/>
  <c r="N1170" i="1"/>
  <c r="O1170" i="1"/>
  <c r="P1170" i="1"/>
  <c r="N1171" i="1"/>
  <c r="O1171" i="1"/>
  <c r="P1171" i="1"/>
  <c r="N1172" i="1"/>
  <c r="O1172" i="1"/>
  <c r="P1172" i="1"/>
  <c r="N1173" i="1"/>
  <c r="O1173" i="1"/>
  <c r="P1173" i="1"/>
  <c r="N1174" i="1"/>
  <c r="O1174" i="1"/>
  <c r="P1174" i="1"/>
  <c r="N1175" i="1"/>
  <c r="O1175" i="1"/>
  <c r="P1175" i="1"/>
  <c r="N1176" i="1"/>
  <c r="O1176" i="1"/>
  <c r="P1176" i="1"/>
  <c r="N1177" i="1"/>
  <c r="O1177" i="1"/>
  <c r="P1177" i="1"/>
  <c r="N1178" i="1"/>
  <c r="O1178" i="1"/>
  <c r="P1178" i="1"/>
  <c r="N1179" i="1"/>
  <c r="O1179" i="1"/>
  <c r="P1179" i="1"/>
  <c r="N1180" i="1"/>
  <c r="O1180" i="1"/>
  <c r="P1180" i="1"/>
  <c r="N1181" i="1"/>
  <c r="O1181" i="1"/>
  <c r="P1181" i="1"/>
  <c r="N1182" i="1"/>
  <c r="O1182" i="1"/>
  <c r="P1182" i="1"/>
  <c r="N1183" i="1"/>
  <c r="O1183" i="1"/>
  <c r="P1183" i="1"/>
  <c r="N1184" i="1"/>
  <c r="O1184" i="1"/>
  <c r="P1184" i="1"/>
  <c r="N1185" i="1"/>
  <c r="O1185" i="1"/>
  <c r="P1185" i="1"/>
  <c r="N1186" i="1"/>
  <c r="O1186" i="1"/>
  <c r="P1186" i="1"/>
  <c r="N1187" i="1"/>
  <c r="O1187" i="1"/>
  <c r="P1187" i="1"/>
  <c r="N1188" i="1"/>
  <c r="O1188" i="1"/>
  <c r="P1188" i="1"/>
  <c r="N1189" i="1"/>
  <c r="O1189" i="1"/>
  <c r="P1189" i="1"/>
  <c r="N1190" i="1"/>
  <c r="O1190" i="1"/>
  <c r="P1190" i="1"/>
  <c r="N1191" i="1"/>
  <c r="O1191" i="1"/>
  <c r="P1191" i="1"/>
  <c r="N1192" i="1"/>
  <c r="O1192" i="1"/>
  <c r="P1192" i="1"/>
  <c r="N1193" i="1"/>
  <c r="O1193" i="1"/>
  <c r="P1193" i="1"/>
  <c r="N1194" i="1"/>
  <c r="O1194" i="1"/>
  <c r="P1194" i="1"/>
  <c r="N1195" i="1"/>
  <c r="O1195" i="1"/>
  <c r="P1195" i="1"/>
  <c r="N1196" i="1"/>
  <c r="O1196" i="1"/>
  <c r="P1196" i="1"/>
  <c r="N1197" i="1"/>
  <c r="O1197" i="1"/>
  <c r="P1197" i="1"/>
  <c r="N1198" i="1"/>
  <c r="O1198" i="1"/>
  <c r="P1198" i="1"/>
  <c r="N1199" i="1"/>
  <c r="O1199" i="1"/>
  <c r="P1199" i="1"/>
  <c r="N1200" i="1"/>
  <c r="O1200" i="1"/>
  <c r="P1200" i="1"/>
  <c r="N1201" i="1"/>
  <c r="O1201" i="1"/>
  <c r="P1201" i="1"/>
  <c r="N1202" i="1"/>
  <c r="O1202" i="1"/>
  <c r="P1202" i="1"/>
  <c r="N1203" i="1"/>
  <c r="O1203" i="1"/>
  <c r="P1203" i="1"/>
  <c r="N1204" i="1"/>
  <c r="O1204" i="1"/>
  <c r="P1204" i="1"/>
  <c r="N1205" i="1"/>
  <c r="O1205" i="1"/>
  <c r="P1205" i="1"/>
  <c r="N1206" i="1"/>
  <c r="O1206" i="1"/>
  <c r="P1206" i="1"/>
  <c r="N1207" i="1"/>
  <c r="O1207" i="1"/>
  <c r="P1207" i="1"/>
  <c r="N1208" i="1"/>
  <c r="O1208" i="1"/>
  <c r="P1208" i="1"/>
  <c r="N1209" i="1"/>
  <c r="O1209" i="1"/>
  <c r="P1209" i="1"/>
  <c r="N1210" i="1"/>
  <c r="O1210" i="1"/>
  <c r="P1210" i="1"/>
  <c r="N1211" i="1"/>
  <c r="O1211" i="1"/>
  <c r="P1211" i="1"/>
  <c r="N1212" i="1"/>
  <c r="O1212" i="1"/>
  <c r="P1212" i="1"/>
  <c r="N1213" i="1"/>
  <c r="O1213" i="1"/>
  <c r="P1213" i="1"/>
  <c r="N1214" i="1"/>
  <c r="O1214" i="1"/>
  <c r="P1214" i="1"/>
  <c r="N1215" i="1"/>
  <c r="O1215" i="1"/>
  <c r="P1215" i="1"/>
  <c r="N1216" i="1"/>
  <c r="O1216" i="1"/>
  <c r="P1216" i="1"/>
  <c r="N1217" i="1"/>
  <c r="O1217" i="1"/>
  <c r="P1217" i="1"/>
  <c r="N1218" i="1"/>
  <c r="O1218" i="1"/>
  <c r="P1218" i="1"/>
  <c r="N1219" i="1"/>
  <c r="O1219" i="1"/>
  <c r="P1219" i="1"/>
  <c r="N1220" i="1"/>
  <c r="O1220" i="1"/>
  <c r="P1220" i="1"/>
  <c r="N1221" i="1"/>
  <c r="O1221" i="1"/>
  <c r="P1221" i="1"/>
  <c r="N1222" i="1"/>
  <c r="O1222" i="1"/>
  <c r="P1222" i="1"/>
  <c r="N1223" i="1"/>
  <c r="O1223" i="1"/>
  <c r="P1223" i="1"/>
  <c r="N1224" i="1"/>
  <c r="O1224" i="1"/>
  <c r="P1224" i="1"/>
  <c r="N1225" i="1"/>
  <c r="O1225" i="1"/>
  <c r="P1225" i="1"/>
  <c r="N1226" i="1"/>
  <c r="O1226" i="1"/>
  <c r="P1226" i="1"/>
  <c r="N1227" i="1"/>
  <c r="O1227" i="1"/>
  <c r="P1227" i="1"/>
  <c r="N1228" i="1"/>
  <c r="O1228" i="1"/>
  <c r="P1228" i="1"/>
  <c r="N1229" i="1"/>
  <c r="O1229" i="1"/>
  <c r="P1229" i="1"/>
  <c r="N1230" i="1"/>
  <c r="O1230" i="1"/>
  <c r="P1230" i="1"/>
  <c r="N1231" i="1"/>
  <c r="O1231" i="1"/>
  <c r="P1231" i="1"/>
  <c r="N1232" i="1"/>
  <c r="O1232" i="1"/>
  <c r="P1232" i="1"/>
  <c r="N1233" i="1"/>
  <c r="O1233" i="1"/>
  <c r="P1233" i="1"/>
  <c r="N1234" i="1"/>
  <c r="O1234" i="1"/>
  <c r="P1234" i="1"/>
  <c r="N1235" i="1"/>
  <c r="O1235" i="1"/>
  <c r="P1235" i="1"/>
  <c r="N1236" i="1"/>
  <c r="O1236" i="1"/>
  <c r="P1236" i="1"/>
  <c r="N1237" i="1"/>
  <c r="O1237" i="1"/>
  <c r="P1237" i="1"/>
  <c r="N1238" i="1"/>
  <c r="O1238" i="1"/>
  <c r="P1238" i="1"/>
  <c r="N1239" i="1"/>
  <c r="O1239" i="1"/>
  <c r="P1239" i="1"/>
  <c r="N1240" i="1"/>
  <c r="O1240" i="1"/>
  <c r="P1240" i="1"/>
  <c r="N1241" i="1"/>
  <c r="O1241" i="1"/>
  <c r="P1241" i="1"/>
  <c r="N1242" i="1"/>
  <c r="O1242" i="1"/>
  <c r="P1242" i="1"/>
  <c r="N1243" i="1"/>
  <c r="O1243" i="1"/>
  <c r="P1243" i="1"/>
  <c r="N1244" i="1"/>
  <c r="O1244" i="1"/>
  <c r="P1244" i="1"/>
  <c r="N1245" i="1"/>
  <c r="O1245" i="1"/>
  <c r="P1245" i="1"/>
  <c r="N1246" i="1"/>
  <c r="O1246" i="1"/>
  <c r="P1246" i="1"/>
  <c r="N1247" i="1"/>
  <c r="O1247" i="1"/>
  <c r="P1247" i="1"/>
  <c r="N1248" i="1"/>
  <c r="O1248" i="1"/>
  <c r="P1248" i="1"/>
  <c r="N1249" i="1"/>
  <c r="O1249" i="1"/>
  <c r="P1249" i="1"/>
  <c r="N1250" i="1"/>
  <c r="O1250" i="1"/>
  <c r="P1250" i="1"/>
  <c r="N1251" i="1"/>
  <c r="O1251" i="1"/>
  <c r="P1251" i="1"/>
  <c r="N1252" i="1"/>
  <c r="O1252" i="1"/>
  <c r="P1252" i="1"/>
  <c r="N1253" i="1"/>
  <c r="O1253" i="1"/>
  <c r="P1253" i="1"/>
  <c r="N1254" i="1"/>
  <c r="O1254" i="1"/>
  <c r="P1254" i="1"/>
  <c r="N1255" i="1"/>
  <c r="O1255" i="1"/>
  <c r="P1255" i="1"/>
  <c r="N1256" i="1"/>
  <c r="O1256" i="1"/>
  <c r="P1256" i="1"/>
  <c r="N1257" i="1"/>
  <c r="O1257" i="1"/>
  <c r="P1257" i="1"/>
  <c r="N1258" i="1"/>
  <c r="O1258" i="1"/>
  <c r="P1258" i="1"/>
  <c r="N1259" i="1"/>
  <c r="O1259" i="1"/>
  <c r="P1259" i="1"/>
  <c r="N1260" i="1"/>
  <c r="O1260" i="1"/>
  <c r="P1260" i="1"/>
  <c r="N1261" i="1"/>
  <c r="O1261" i="1"/>
  <c r="P1261" i="1"/>
  <c r="N1262" i="1"/>
  <c r="O1262" i="1"/>
  <c r="P1262" i="1"/>
  <c r="N1263" i="1"/>
  <c r="O1263" i="1"/>
  <c r="P1263" i="1"/>
  <c r="N1264" i="1"/>
  <c r="O1264" i="1"/>
  <c r="P1264" i="1"/>
  <c r="N1265" i="1"/>
  <c r="O1265" i="1"/>
  <c r="P1265" i="1"/>
  <c r="N1266" i="1"/>
  <c r="O1266" i="1"/>
  <c r="P1266" i="1"/>
  <c r="N1267" i="1"/>
  <c r="O1267" i="1"/>
  <c r="P1267" i="1"/>
  <c r="N1268" i="1"/>
  <c r="O1268" i="1"/>
  <c r="P1268" i="1"/>
  <c r="N1269" i="1"/>
  <c r="O1269" i="1"/>
  <c r="P1269" i="1"/>
  <c r="N1270" i="1"/>
  <c r="O1270" i="1"/>
  <c r="P1270" i="1"/>
  <c r="N1271" i="1"/>
  <c r="O1271" i="1"/>
  <c r="P1271" i="1"/>
  <c r="N1272" i="1"/>
  <c r="O1272" i="1"/>
  <c r="P1272" i="1"/>
  <c r="N1273" i="1"/>
  <c r="O1273" i="1"/>
  <c r="P1273" i="1"/>
  <c r="N1274" i="1"/>
  <c r="O1274" i="1"/>
  <c r="P1274" i="1"/>
  <c r="N1275" i="1"/>
  <c r="O1275" i="1"/>
  <c r="P1275" i="1"/>
  <c r="N1276" i="1"/>
  <c r="O1276" i="1"/>
  <c r="P1276" i="1"/>
  <c r="N1277" i="1"/>
  <c r="O1277" i="1"/>
  <c r="P1277" i="1"/>
  <c r="N1278" i="1"/>
  <c r="O1278" i="1"/>
  <c r="P1278" i="1"/>
  <c r="N1279" i="1"/>
  <c r="O1279" i="1"/>
  <c r="P1279" i="1"/>
  <c r="N1280" i="1"/>
  <c r="O1280" i="1"/>
  <c r="P1280" i="1"/>
  <c r="N1281" i="1"/>
  <c r="O1281" i="1"/>
  <c r="P1281" i="1"/>
  <c r="N1282" i="1"/>
  <c r="O1282" i="1"/>
  <c r="P1282" i="1"/>
  <c r="N1283" i="1"/>
  <c r="O1283" i="1"/>
  <c r="P1283" i="1"/>
  <c r="N1284" i="1"/>
  <c r="O1284" i="1"/>
  <c r="P1284" i="1"/>
  <c r="N1285" i="1"/>
  <c r="O1285" i="1"/>
  <c r="P1285" i="1"/>
  <c r="N1286" i="1"/>
  <c r="O1286" i="1"/>
  <c r="P1286" i="1"/>
  <c r="N1287" i="1"/>
  <c r="O1287" i="1"/>
  <c r="P1287" i="1"/>
  <c r="N1288" i="1"/>
  <c r="O1288" i="1"/>
  <c r="P1288" i="1"/>
  <c r="N1289" i="1"/>
  <c r="O1289" i="1"/>
  <c r="P1289" i="1"/>
  <c r="N1290" i="1"/>
  <c r="O1290" i="1"/>
  <c r="P1290" i="1"/>
  <c r="N1291" i="1"/>
  <c r="O1291" i="1"/>
  <c r="P1291" i="1"/>
  <c r="N1292" i="1"/>
  <c r="O1292" i="1"/>
  <c r="P1292" i="1"/>
  <c r="N1293" i="1"/>
  <c r="O1293" i="1"/>
  <c r="P1293" i="1"/>
  <c r="N1294" i="1"/>
  <c r="O1294" i="1"/>
  <c r="P1294" i="1"/>
  <c r="N1295" i="1"/>
  <c r="O1295" i="1"/>
  <c r="P1295" i="1"/>
  <c r="N1296" i="1"/>
  <c r="O1296" i="1"/>
  <c r="P1296" i="1"/>
  <c r="N1297" i="1"/>
  <c r="O1297" i="1"/>
  <c r="P1297" i="1"/>
  <c r="N1298" i="1"/>
  <c r="O1298" i="1"/>
  <c r="P1298" i="1"/>
  <c r="N1299" i="1"/>
  <c r="O1299" i="1"/>
  <c r="P1299" i="1"/>
  <c r="N1300" i="1"/>
  <c r="O1300" i="1"/>
  <c r="P1300" i="1"/>
  <c r="N1301" i="1"/>
  <c r="O1301" i="1"/>
  <c r="P1301" i="1"/>
  <c r="N1302" i="1"/>
  <c r="O1302" i="1"/>
  <c r="P1302" i="1"/>
  <c r="N1303" i="1"/>
  <c r="O1303" i="1"/>
  <c r="P1303" i="1"/>
  <c r="N1304" i="1"/>
  <c r="O1304" i="1"/>
  <c r="P1304" i="1"/>
  <c r="N1305" i="1"/>
  <c r="O1305" i="1"/>
  <c r="P1305" i="1"/>
  <c r="N1306" i="1"/>
  <c r="O1306" i="1"/>
  <c r="P1306" i="1"/>
  <c r="N1307" i="1"/>
  <c r="O1307" i="1"/>
  <c r="P1307" i="1"/>
  <c r="N1308" i="1"/>
  <c r="O1308" i="1"/>
  <c r="P1308" i="1"/>
  <c r="N1309" i="1"/>
  <c r="O1309" i="1"/>
  <c r="P1309" i="1"/>
  <c r="N1310" i="1"/>
  <c r="O1310" i="1"/>
  <c r="P1310" i="1"/>
  <c r="N1311" i="1"/>
  <c r="O1311" i="1"/>
  <c r="P1311" i="1"/>
  <c r="N1312" i="1"/>
  <c r="O1312" i="1"/>
  <c r="P1312" i="1"/>
  <c r="N1313" i="1"/>
  <c r="O1313" i="1"/>
  <c r="P1313" i="1"/>
  <c r="N1314" i="1"/>
  <c r="O1314" i="1"/>
  <c r="P1314" i="1"/>
  <c r="N1315" i="1"/>
  <c r="O1315" i="1"/>
  <c r="P1315" i="1"/>
  <c r="N1316" i="1"/>
  <c r="O1316" i="1"/>
  <c r="P1316" i="1"/>
  <c r="N1317" i="1"/>
  <c r="O1317" i="1"/>
  <c r="P1317" i="1"/>
  <c r="N1318" i="1"/>
  <c r="O1318" i="1"/>
  <c r="P1318" i="1"/>
  <c r="N1319" i="1"/>
  <c r="O1319" i="1"/>
  <c r="P1319" i="1"/>
  <c r="N1320" i="1"/>
  <c r="O1320" i="1"/>
  <c r="P1320" i="1"/>
  <c r="N1321" i="1"/>
  <c r="O1321" i="1"/>
  <c r="P1321" i="1"/>
  <c r="N1322" i="1"/>
  <c r="O1322" i="1"/>
  <c r="P1322" i="1"/>
  <c r="N1323" i="1"/>
  <c r="O1323" i="1"/>
  <c r="P1323" i="1"/>
  <c r="N1324" i="1"/>
  <c r="O1324" i="1"/>
  <c r="P1324" i="1"/>
  <c r="N1325" i="1"/>
  <c r="O1325" i="1"/>
  <c r="P1325" i="1"/>
  <c r="N1326" i="1"/>
  <c r="O1326" i="1"/>
  <c r="P1326" i="1"/>
  <c r="N1327" i="1"/>
  <c r="O1327" i="1"/>
  <c r="P1327" i="1"/>
  <c r="N1328" i="1"/>
  <c r="O1328" i="1"/>
  <c r="P1328" i="1"/>
  <c r="N1329" i="1"/>
  <c r="O1329" i="1"/>
  <c r="P1329" i="1"/>
  <c r="N1330" i="1"/>
  <c r="O1330" i="1"/>
  <c r="P1330" i="1"/>
  <c r="N1331" i="1"/>
  <c r="O1331" i="1"/>
  <c r="P1331" i="1"/>
  <c r="N1332" i="1"/>
  <c r="O1332" i="1"/>
  <c r="P1332" i="1"/>
  <c r="N1333" i="1"/>
  <c r="O1333" i="1"/>
  <c r="P1333" i="1"/>
  <c r="N1334" i="1"/>
  <c r="O1334" i="1"/>
  <c r="P1334" i="1"/>
  <c r="N1335" i="1"/>
  <c r="O1335" i="1"/>
  <c r="P1335" i="1"/>
  <c r="N1336" i="1"/>
  <c r="O1336" i="1"/>
  <c r="P1336" i="1"/>
  <c r="N1337" i="1"/>
  <c r="O1337" i="1"/>
  <c r="P1337" i="1"/>
  <c r="N1338" i="1"/>
  <c r="O1338" i="1"/>
  <c r="P1338" i="1"/>
  <c r="N1339" i="1"/>
  <c r="O1339" i="1"/>
  <c r="P1339" i="1"/>
  <c r="N1340" i="1"/>
  <c r="O1340" i="1"/>
  <c r="P1340" i="1"/>
  <c r="N1341" i="1"/>
  <c r="O1341" i="1"/>
  <c r="P1341" i="1"/>
  <c r="N1342" i="1"/>
  <c r="O1342" i="1"/>
  <c r="P1342" i="1"/>
  <c r="N1343" i="1"/>
  <c r="O1343" i="1"/>
  <c r="P1343" i="1"/>
  <c r="N1344" i="1"/>
  <c r="O1344" i="1"/>
  <c r="P1344" i="1"/>
  <c r="N1345" i="1"/>
  <c r="O1345" i="1"/>
  <c r="P1345" i="1"/>
  <c r="N1346" i="1"/>
  <c r="O1346" i="1"/>
  <c r="P1346" i="1"/>
  <c r="N1347" i="1"/>
  <c r="O1347" i="1"/>
  <c r="P1347" i="1"/>
  <c r="N1348" i="1"/>
  <c r="O1348" i="1"/>
  <c r="P1348" i="1"/>
  <c r="N1349" i="1"/>
  <c r="O1349" i="1"/>
  <c r="P1349" i="1"/>
  <c r="N1350" i="1"/>
  <c r="O1350" i="1"/>
  <c r="P1350" i="1"/>
  <c r="N1351" i="1"/>
  <c r="O1351" i="1"/>
  <c r="P1351" i="1"/>
  <c r="N1352" i="1"/>
  <c r="O1352" i="1"/>
  <c r="P1352" i="1"/>
  <c r="N1353" i="1"/>
  <c r="O1353" i="1"/>
  <c r="P1353" i="1"/>
  <c r="N1354" i="1"/>
  <c r="O1354" i="1"/>
  <c r="P1354" i="1"/>
  <c r="N1355" i="1"/>
  <c r="O1355" i="1"/>
  <c r="P1355" i="1"/>
  <c r="N1356" i="1"/>
  <c r="O1356" i="1"/>
  <c r="P1356" i="1"/>
  <c r="N1357" i="1"/>
  <c r="O1357" i="1"/>
  <c r="P1357" i="1"/>
  <c r="N1358" i="1"/>
  <c r="O1358" i="1"/>
  <c r="P1358" i="1"/>
  <c r="N1359" i="1"/>
  <c r="O1359" i="1"/>
  <c r="P1359" i="1"/>
  <c r="N1360" i="1"/>
  <c r="O1360" i="1"/>
  <c r="P1360" i="1"/>
  <c r="N1361" i="1"/>
  <c r="O1361" i="1"/>
  <c r="P1361" i="1"/>
  <c r="N1362" i="1"/>
  <c r="O1362" i="1"/>
  <c r="P1362" i="1"/>
  <c r="N1363" i="1"/>
  <c r="O1363" i="1"/>
  <c r="P1363" i="1"/>
  <c r="N1364" i="1"/>
  <c r="O1364" i="1"/>
  <c r="P1364" i="1"/>
  <c r="N1365" i="1"/>
  <c r="O1365" i="1"/>
  <c r="P1365" i="1"/>
  <c r="N1366" i="1"/>
  <c r="O1366" i="1"/>
  <c r="P1366" i="1"/>
  <c r="N1367" i="1"/>
  <c r="O1367" i="1"/>
  <c r="P1367" i="1"/>
  <c r="N1368" i="1"/>
  <c r="O1368" i="1"/>
  <c r="P1368" i="1"/>
  <c r="N1369" i="1"/>
  <c r="O1369" i="1"/>
  <c r="P1369" i="1"/>
  <c r="N1370" i="1"/>
  <c r="O1370" i="1"/>
  <c r="P1370" i="1"/>
  <c r="N1371" i="1"/>
  <c r="O1371" i="1"/>
  <c r="P1371" i="1"/>
  <c r="N1372" i="1"/>
  <c r="O1372" i="1"/>
  <c r="P1372" i="1"/>
  <c r="N1373" i="1"/>
  <c r="O1373" i="1"/>
  <c r="P1373" i="1"/>
  <c r="N1374" i="1"/>
  <c r="O1374" i="1"/>
  <c r="P1374" i="1"/>
  <c r="N1375" i="1"/>
  <c r="O1375" i="1"/>
  <c r="P1375" i="1"/>
  <c r="N1376" i="1"/>
  <c r="O1376" i="1"/>
  <c r="P1376" i="1"/>
  <c r="N1377" i="1"/>
  <c r="O1377" i="1"/>
  <c r="P1377" i="1"/>
  <c r="N1378" i="1"/>
  <c r="O1378" i="1"/>
  <c r="P1378" i="1"/>
  <c r="N1379" i="1"/>
  <c r="O1379" i="1"/>
  <c r="P1379" i="1"/>
  <c r="N1380" i="1"/>
  <c r="O1380" i="1"/>
  <c r="P1380" i="1"/>
  <c r="N1381" i="1"/>
  <c r="O1381" i="1"/>
  <c r="P1381" i="1"/>
  <c r="N1382" i="1"/>
  <c r="O1382" i="1"/>
  <c r="P1382" i="1"/>
  <c r="N1383" i="1"/>
  <c r="O1383" i="1"/>
  <c r="P1383" i="1"/>
  <c r="N1384" i="1"/>
  <c r="O1384" i="1"/>
  <c r="P1384" i="1"/>
  <c r="N1385" i="1"/>
  <c r="O1385" i="1"/>
  <c r="P1385" i="1"/>
  <c r="N1386" i="1"/>
  <c r="O1386" i="1"/>
  <c r="P1386" i="1"/>
  <c r="N1387" i="1"/>
  <c r="O1387" i="1"/>
  <c r="P1387" i="1"/>
  <c r="N1388" i="1"/>
  <c r="O1388" i="1"/>
  <c r="P1388" i="1"/>
  <c r="N1389" i="1"/>
  <c r="O1389" i="1"/>
  <c r="P1389" i="1"/>
  <c r="N1390" i="1"/>
  <c r="O1390" i="1"/>
  <c r="P1390" i="1"/>
  <c r="N1391" i="1"/>
  <c r="O1391" i="1"/>
  <c r="P1391" i="1"/>
  <c r="N1392" i="1"/>
  <c r="O1392" i="1"/>
  <c r="P1392" i="1"/>
  <c r="N1393" i="1"/>
  <c r="O1393" i="1"/>
  <c r="P1393" i="1"/>
  <c r="N1394" i="1"/>
  <c r="O1394" i="1"/>
  <c r="P1394" i="1"/>
  <c r="N1395" i="1"/>
  <c r="O1395" i="1"/>
  <c r="P1395" i="1"/>
  <c r="N1396" i="1"/>
  <c r="O1396" i="1"/>
  <c r="P1396" i="1"/>
  <c r="N1397" i="1"/>
  <c r="O1397" i="1"/>
  <c r="P1397" i="1"/>
  <c r="N1398" i="1"/>
  <c r="O1398" i="1"/>
  <c r="P1398" i="1"/>
  <c r="N1399" i="1"/>
  <c r="O1399" i="1"/>
  <c r="P1399" i="1"/>
  <c r="N1400" i="1"/>
  <c r="O1400" i="1"/>
  <c r="P1400" i="1"/>
  <c r="N1401" i="1"/>
  <c r="O1401" i="1"/>
  <c r="P1401" i="1"/>
  <c r="N1402" i="1"/>
  <c r="O1402" i="1"/>
  <c r="P1402" i="1"/>
  <c r="N1403" i="1"/>
  <c r="O1403" i="1"/>
  <c r="P1403" i="1"/>
  <c r="N1404" i="1"/>
  <c r="O1404" i="1"/>
  <c r="P1404" i="1"/>
  <c r="N1405" i="1"/>
  <c r="O1405" i="1"/>
  <c r="P1405" i="1"/>
  <c r="N1406" i="1"/>
  <c r="O1406" i="1"/>
  <c r="P1406" i="1"/>
  <c r="N1407" i="1"/>
  <c r="O1407" i="1"/>
  <c r="P1407" i="1"/>
  <c r="N1408" i="1"/>
  <c r="O1408" i="1"/>
  <c r="P1408" i="1"/>
  <c r="N1409" i="1"/>
  <c r="O1409" i="1"/>
  <c r="P1409" i="1"/>
  <c r="N1410" i="1"/>
  <c r="O1410" i="1"/>
  <c r="P1410" i="1"/>
  <c r="N1411" i="1"/>
  <c r="O1411" i="1"/>
  <c r="P1411" i="1"/>
  <c r="N1412" i="1"/>
  <c r="O1412" i="1"/>
  <c r="P1412" i="1"/>
  <c r="N1413" i="1"/>
  <c r="O1413" i="1"/>
  <c r="P1413" i="1"/>
  <c r="N1414" i="1"/>
  <c r="O1414" i="1"/>
  <c r="P1414" i="1"/>
  <c r="N1415" i="1"/>
  <c r="O1415" i="1"/>
  <c r="P1415" i="1"/>
  <c r="N1416" i="1"/>
  <c r="O1416" i="1"/>
  <c r="P1416" i="1"/>
  <c r="N1417" i="1"/>
  <c r="O1417" i="1"/>
  <c r="P1417" i="1"/>
  <c r="N1418" i="1"/>
  <c r="O1418" i="1"/>
  <c r="P1418" i="1"/>
  <c r="N1419" i="1"/>
  <c r="O1419" i="1"/>
  <c r="P1419" i="1"/>
  <c r="N1420" i="1"/>
  <c r="O1420" i="1"/>
  <c r="P1420" i="1"/>
  <c r="N1421" i="1"/>
  <c r="O1421" i="1"/>
  <c r="P1421" i="1"/>
  <c r="N1422" i="1"/>
  <c r="O1422" i="1"/>
  <c r="P1422" i="1"/>
  <c r="N1423" i="1"/>
  <c r="O1423" i="1"/>
  <c r="P1423" i="1"/>
  <c r="N1424" i="1"/>
  <c r="O1424" i="1"/>
  <c r="P1424" i="1"/>
  <c r="N1425" i="1"/>
  <c r="O1425" i="1"/>
  <c r="P1425" i="1"/>
  <c r="N1426" i="1"/>
  <c r="O1426" i="1"/>
  <c r="P1426" i="1"/>
  <c r="N1427" i="1"/>
  <c r="O1427" i="1"/>
  <c r="P1427" i="1"/>
  <c r="N1428" i="1"/>
  <c r="O1428" i="1"/>
  <c r="P1428" i="1"/>
  <c r="N1429" i="1"/>
  <c r="O1429" i="1"/>
  <c r="P1429" i="1"/>
  <c r="N1430" i="1"/>
  <c r="O1430" i="1"/>
  <c r="P1430" i="1"/>
  <c r="N1431" i="1"/>
  <c r="O1431" i="1"/>
  <c r="P1431" i="1"/>
  <c r="N1432" i="1"/>
  <c r="O1432" i="1"/>
  <c r="P1432" i="1"/>
  <c r="N1433" i="1"/>
  <c r="O1433" i="1"/>
  <c r="P1433" i="1"/>
  <c r="N1434" i="1"/>
  <c r="O1434" i="1"/>
  <c r="P1434" i="1"/>
  <c r="N1435" i="1"/>
  <c r="O1435" i="1"/>
  <c r="P1435" i="1"/>
  <c r="N1436" i="1"/>
  <c r="O1436" i="1"/>
  <c r="P1436" i="1"/>
  <c r="N1437" i="1"/>
  <c r="O1437" i="1"/>
  <c r="P1437" i="1"/>
  <c r="N1438" i="1"/>
  <c r="O1438" i="1"/>
  <c r="P1438" i="1"/>
  <c r="N1439" i="1"/>
  <c r="O1439" i="1"/>
  <c r="P1439" i="1"/>
  <c r="N1440" i="1"/>
  <c r="O1440" i="1"/>
  <c r="P1440" i="1"/>
  <c r="N1441" i="1"/>
  <c r="O1441" i="1"/>
  <c r="P1441" i="1"/>
  <c r="N1442" i="1"/>
  <c r="O1442" i="1"/>
  <c r="P1442" i="1"/>
  <c r="N1443" i="1"/>
  <c r="O1443" i="1"/>
  <c r="P1443" i="1"/>
  <c r="N1444" i="1"/>
  <c r="O1444" i="1"/>
  <c r="P1444" i="1"/>
  <c r="N1445" i="1"/>
  <c r="O1445" i="1"/>
  <c r="P1445" i="1"/>
  <c r="N1446" i="1"/>
  <c r="O1446" i="1"/>
  <c r="P1446" i="1"/>
  <c r="N1447" i="1"/>
  <c r="O1447" i="1"/>
  <c r="P1447" i="1"/>
  <c r="N1448" i="1"/>
  <c r="O1448" i="1"/>
  <c r="P1448" i="1"/>
  <c r="N1449" i="1"/>
  <c r="O1449" i="1"/>
  <c r="P1449" i="1"/>
  <c r="N1450" i="1"/>
  <c r="O1450" i="1"/>
  <c r="P1450" i="1"/>
  <c r="N1451" i="1"/>
  <c r="O1451" i="1"/>
  <c r="P1451" i="1"/>
  <c r="N1452" i="1"/>
  <c r="O1452" i="1"/>
  <c r="P1452" i="1"/>
  <c r="N1453" i="1"/>
  <c r="O1453" i="1"/>
  <c r="P1453" i="1"/>
  <c r="N1454" i="1"/>
  <c r="O1454" i="1"/>
  <c r="P1454" i="1"/>
  <c r="N1455" i="1"/>
  <c r="O1455" i="1"/>
  <c r="P1455" i="1"/>
  <c r="N1456" i="1"/>
  <c r="O1456" i="1"/>
  <c r="P1456" i="1"/>
  <c r="N1457" i="1"/>
  <c r="O1457" i="1"/>
  <c r="P1457" i="1"/>
  <c r="N1458" i="1"/>
  <c r="O1458" i="1"/>
  <c r="P1458" i="1"/>
  <c r="N1459" i="1"/>
  <c r="O1459" i="1"/>
  <c r="P1459" i="1"/>
  <c r="N1460" i="1"/>
  <c r="O1460" i="1"/>
  <c r="P1460" i="1"/>
  <c r="N1461" i="1"/>
  <c r="O1461" i="1"/>
  <c r="P1461" i="1"/>
  <c r="N1462" i="1"/>
  <c r="O1462" i="1"/>
  <c r="P1462" i="1"/>
  <c r="N1463" i="1"/>
  <c r="O1463" i="1"/>
  <c r="P1463" i="1"/>
  <c r="N1464" i="1"/>
  <c r="O1464" i="1"/>
  <c r="P1464" i="1"/>
  <c r="N1465" i="1"/>
  <c r="O1465" i="1"/>
  <c r="P1465" i="1"/>
  <c r="N1466" i="1"/>
  <c r="O1466" i="1"/>
  <c r="P1466" i="1"/>
  <c r="N1467" i="1"/>
  <c r="O1467" i="1"/>
  <c r="P1467" i="1"/>
  <c r="N1468" i="1"/>
  <c r="O1468" i="1"/>
  <c r="P1468" i="1"/>
  <c r="N1469" i="1"/>
  <c r="O1469" i="1"/>
  <c r="P1469" i="1"/>
  <c r="N1470" i="1"/>
  <c r="O1470" i="1"/>
  <c r="P1470" i="1"/>
  <c r="N1471" i="1"/>
  <c r="O1471" i="1"/>
  <c r="P1471" i="1"/>
  <c r="N1472" i="1"/>
  <c r="O1472" i="1"/>
  <c r="P1472" i="1"/>
  <c r="N1473" i="1"/>
  <c r="O1473" i="1"/>
  <c r="P1473" i="1"/>
  <c r="N1474" i="1"/>
  <c r="O1474" i="1"/>
  <c r="P1474" i="1"/>
  <c r="N1475" i="1"/>
  <c r="O1475" i="1"/>
  <c r="P1475" i="1"/>
  <c r="N1476" i="1"/>
  <c r="O1476" i="1"/>
  <c r="P1476" i="1"/>
  <c r="N1477" i="1"/>
  <c r="O1477" i="1"/>
  <c r="P1477" i="1"/>
  <c r="N1478" i="1"/>
  <c r="O1478" i="1"/>
  <c r="P1478" i="1"/>
  <c r="N1479" i="1"/>
  <c r="O1479" i="1"/>
  <c r="P1479" i="1"/>
  <c r="N1480" i="1"/>
  <c r="O1480" i="1"/>
  <c r="P1480" i="1"/>
  <c r="N1481" i="1"/>
  <c r="O1481" i="1"/>
  <c r="P1481" i="1"/>
  <c r="N1482" i="1"/>
  <c r="O1482" i="1"/>
  <c r="P1482" i="1"/>
  <c r="N1483" i="1"/>
  <c r="O1483" i="1"/>
  <c r="P1483" i="1"/>
  <c r="N1484" i="1"/>
  <c r="O1484" i="1"/>
  <c r="P1484" i="1"/>
  <c r="N1485" i="1"/>
  <c r="O1485" i="1"/>
  <c r="P1485" i="1"/>
  <c r="N1486" i="1"/>
  <c r="O1486" i="1"/>
  <c r="P1486" i="1"/>
  <c r="N1487" i="1"/>
  <c r="O1487" i="1"/>
  <c r="P1487" i="1"/>
  <c r="N1488" i="1"/>
  <c r="O1488" i="1"/>
  <c r="P1488" i="1"/>
  <c r="N1489" i="1"/>
  <c r="O1489" i="1"/>
  <c r="P1489" i="1"/>
  <c r="N1490" i="1"/>
  <c r="O1490" i="1"/>
  <c r="P1490" i="1"/>
  <c r="N1491" i="1"/>
  <c r="O1491" i="1"/>
  <c r="P1491" i="1"/>
  <c r="N1492" i="1"/>
  <c r="O1492" i="1"/>
  <c r="P1492" i="1"/>
  <c r="N1493" i="1"/>
  <c r="O1493" i="1"/>
  <c r="P1493" i="1"/>
  <c r="N1494" i="1"/>
  <c r="O1494" i="1"/>
  <c r="P1494" i="1"/>
  <c r="N1495" i="1"/>
  <c r="O1495" i="1"/>
  <c r="P1495" i="1"/>
  <c r="N1496" i="1"/>
  <c r="O1496" i="1"/>
  <c r="P1496" i="1"/>
  <c r="N1497" i="1"/>
  <c r="O1497" i="1"/>
  <c r="P1497" i="1"/>
  <c r="N1498" i="1"/>
  <c r="O1498" i="1"/>
  <c r="P1498" i="1"/>
  <c r="N1499" i="1"/>
  <c r="O1499" i="1"/>
  <c r="P1499" i="1"/>
  <c r="N1500" i="1"/>
  <c r="O1500" i="1"/>
  <c r="P1500" i="1"/>
  <c r="N1501" i="1"/>
  <c r="O1501" i="1"/>
  <c r="P1501" i="1"/>
  <c r="N1502" i="1"/>
  <c r="O1502" i="1"/>
  <c r="P1502" i="1"/>
  <c r="N1503" i="1"/>
  <c r="O1503" i="1"/>
  <c r="P1503" i="1"/>
  <c r="N1504" i="1"/>
  <c r="O1504" i="1"/>
  <c r="P1504" i="1"/>
  <c r="N1505" i="1"/>
  <c r="O1505" i="1"/>
  <c r="P1505" i="1"/>
  <c r="N1506" i="1"/>
  <c r="O1506" i="1"/>
  <c r="P1506" i="1"/>
  <c r="N1507" i="1"/>
  <c r="O1507" i="1"/>
  <c r="P1507" i="1"/>
  <c r="N1508" i="1"/>
  <c r="O1508" i="1"/>
  <c r="P1508" i="1"/>
  <c r="N1509" i="1"/>
  <c r="O1509" i="1"/>
  <c r="P1509" i="1"/>
  <c r="N1510" i="1"/>
  <c r="O1510" i="1"/>
  <c r="P1510" i="1"/>
  <c r="N1511" i="1"/>
  <c r="O1511" i="1"/>
  <c r="P1511" i="1"/>
  <c r="N1512" i="1"/>
  <c r="O1512" i="1"/>
  <c r="P1512" i="1"/>
  <c r="N1513" i="1"/>
  <c r="O1513" i="1"/>
  <c r="P1513" i="1"/>
  <c r="N1514" i="1"/>
  <c r="O1514" i="1"/>
  <c r="P1514" i="1"/>
  <c r="N1515" i="1"/>
  <c r="O1515" i="1"/>
  <c r="P1515" i="1"/>
  <c r="N1516" i="1"/>
  <c r="O1516" i="1"/>
  <c r="P1516" i="1"/>
  <c r="N1517" i="1"/>
  <c r="O1517" i="1"/>
  <c r="P1517" i="1"/>
  <c r="N1518" i="1"/>
  <c r="O1518" i="1"/>
  <c r="P1518" i="1"/>
  <c r="N1519" i="1"/>
  <c r="O1519" i="1"/>
  <c r="P1519" i="1"/>
  <c r="N1520" i="1"/>
  <c r="O1520" i="1"/>
  <c r="P1520" i="1"/>
  <c r="N1521" i="1"/>
  <c r="O1521" i="1"/>
  <c r="P1521" i="1"/>
  <c r="N1522" i="1"/>
  <c r="O1522" i="1"/>
  <c r="P1522" i="1"/>
  <c r="N1523" i="1"/>
  <c r="O1523" i="1"/>
  <c r="P1523" i="1"/>
  <c r="N1524" i="1"/>
  <c r="O1524" i="1"/>
  <c r="P1524" i="1"/>
  <c r="N1525" i="1"/>
  <c r="O1525" i="1"/>
  <c r="P1525" i="1"/>
  <c r="N1526" i="1"/>
  <c r="O1526" i="1"/>
  <c r="P1526" i="1"/>
  <c r="N1527" i="1"/>
  <c r="O1527" i="1"/>
  <c r="P1527" i="1"/>
  <c r="N1528" i="1"/>
  <c r="O1528" i="1"/>
  <c r="P1528" i="1"/>
  <c r="N1529" i="1"/>
  <c r="O1529" i="1"/>
  <c r="P1529" i="1"/>
  <c r="N1530" i="1"/>
  <c r="O1530" i="1"/>
  <c r="P1530" i="1"/>
  <c r="N1531" i="1"/>
  <c r="O1531" i="1"/>
  <c r="P1531" i="1"/>
  <c r="N1532" i="1"/>
  <c r="O1532" i="1"/>
  <c r="P1532" i="1"/>
  <c r="N1533" i="1"/>
  <c r="O1533" i="1"/>
  <c r="P1533" i="1"/>
  <c r="N1534" i="1"/>
  <c r="O1534" i="1"/>
  <c r="P1534" i="1"/>
  <c r="N1535" i="1"/>
  <c r="O1535" i="1"/>
  <c r="P1535" i="1"/>
  <c r="N1536" i="1"/>
  <c r="O1536" i="1"/>
  <c r="P1536" i="1"/>
  <c r="N1537" i="1"/>
  <c r="O1537" i="1"/>
  <c r="P1537" i="1"/>
  <c r="N1538" i="1"/>
  <c r="O1538" i="1"/>
  <c r="P1538" i="1"/>
  <c r="N1539" i="1"/>
  <c r="O1539" i="1"/>
  <c r="P1539" i="1"/>
  <c r="N1540" i="1"/>
  <c r="O1540" i="1"/>
  <c r="P1540" i="1"/>
  <c r="N1541" i="1"/>
  <c r="O1541" i="1"/>
  <c r="P1541" i="1"/>
  <c r="N1542" i="1"/>
  <c r="O1542" i="1"/>
  <c r="P1542" i="1"/>
  <c r="N1543" i="1"/>
  <c r="O1543" i="1"/>
  <c r="P1543" i="1"/>
  <c r="N1544" i="1"/>
  <c r="O1544" i="1"/>
  <c r="P1544" i="1"/>
  <c r="N1545" i="1"/>
  <c r="O1545" i="1"/>
  <c r="P1545" i="1"/>
  <c r="N1546" i="1"/>
  <c r="O1546" i="1"/>
  <c r="P1546" i="1"/>
  <c r="N1547" i="1"/>
  <c r="O1547" i="1"/>
  <c r="P1547" i="1"/>
  <c r="N1548" i="1"/>
  <c r="O1548" i="1"/>
  <c r="P1548" i="1"/>
  <c r="N1549" i="1"/>
  <c r="O1549" i="1"/>
  <c r="P1549" i="1"/>
  <c r="N1550" i="1"/>
  <c r="O1550" i="1"/>
  <c r="P1550" i="1"/>
  <c r="N1551" i="1"/>
  <c r="O1551" i="1"/>
  <c r="P1551" i="1"/>
  <c r="N1552" i="1"/>
  <c r="O1552" i="1"/>
  <c r="P1552" i="1"/>
  <c r="N1553" i="1"/>
  <c r="O1553" i="1"/>
  <c r="P1553" i="1"/>
  <c r="N1554" i="1"/>
  <c r="O1554" i="1"/>
  <c r="P1554" i="1"/>
  <c r="N1555" i="1"/>
  <c r="O1555" i="1"/>
  <c r="P1555" i="1"/>
  <c r="N1556" i="1"/>
  <c r="O1556" i="1"/>
  <c r="P1556" i="1"/>
  <c r="N1557" i="1"/>
  <c r="O1557" i="1"/>
  <c r="P1557" i="1"/>
  <c r="N1558" i="1"/>
  <c r="O1558" i="1"/>
  <c r="P1558" i="1"/>
  <c r="N1559" i="1"/>
  <c r="O1559" i="1"/>
  <c r="P1559" i="1"/>
  <c r="N1560" i="1"/>
  <c r="O1560" i="1"/>
  <c r="P1560" i="1"/>
  <c r="N1561" i="1"/>
  <c r="O1561" i="1"/>
  <c r="P1561" i="1"/>
  <c r="N1562" i="1"/>
  <c r="O1562" i="1"/>
  <c r="P1562" i="1"/>
  <c r="N1563" i="1"/>
  <c r="O1563" i="1"/>
  <c r="P1563" i="1"/>
  <c r="N1564" i="1"/>
  <c r="O1564" i="1"/>
  <c r="P1564" i="1"/>
  <c r="N1565" i="1"/>
  <c r="O1565" i="1"/>
  <c r="P1565" i="1"/>
  <c r="N1566" i="1"/>
  <c r="O1566" i="1"/>
  <c r="P1566" i="1"/>
  <c r="N1567" i="1"/>
  <c r="O1567" i="1"/>
  <c r="P1567" i="1"/>
  <c r="N1568" i="1"/>
  <c r="O1568" i="1"/>
  <c r="P1568" i="1"/>
  <c r="N1569" i="1"/>
  <c r="O1569" i="1"/>
  <c r="P1569" i="1"/>
  <c r="N1570" i="1"/>
  <c r="O1570" i="1"/>
  <c r="P1570" i="1"/>
  <c r="N1571" i="1"/>
  <c r="O1571" i="1"/>
  <c r="P1571" i="1"/>
  <c r="N1572" i="1"/>
  <c r="O1572" i="1"/>
  <c r="P1572" i="1"/>
  <c r="N1573" i="1"/>
  <c r="O1573" i="1"/>
  <c r="P1573" i="1"/>
  <c r="N1574" i="1"/>
  <c r="O1574" i="1"/>
  <c r="P1574" i="1"/>
  <c r="N1575" i="1"/>
  <c r="O1575" i="1"/>
  <c r="P1575" i="1"/>
  <c r="N1576" i="1"/>
  <c r="O1576" i="1"/>
  <c r="P1576" i="1"/>
  <c r="N1577" i="1"/>
  <c r="O1577" i="1"/>
  <c r="P1577" i="1"/>
  <c r="N1578" i="1"/>
  <c r="O1578" i="1"/>
  <c r="P1578" i="1"/>
  <c r="N1579" i="1"/>
  <c r="O1579" i="1"/>
  <c r="P1579" i="1"/>
  <c r="N1580" i="1"/>
  <c r="O1580" i="1"/>
  <c r="P1580" i="1"/>
  <c r="N1581" i="1"/>
  <c r="O1581" i="1"/>
  <c r="P1581" i="1"/>
  <c r="N1582" i="1"/>
  <c r="O1582" i="1"/>
  <c r="P1582" i="1"/>
  <c r="N1583" i="1"/>
  <c r="O1583" i="1"/>
  <c r="P1583" i="1"/>
  <c r="N1584" i="1"/>
  <c r="O1584" i="1"/>
  <c r="P1584" i="1"/>
  <c r="N1585" i="1"/>
  <c r="O1585" i="1"/>
  <c r="P1585" i="1"/>
  <c r="N1586" i="1"/>
  <c r="O1586" i="1"/>
  <c r="P1586" i="1"/>
  <c r="N1587" i="1"/>
  <c r="O1587" i="1"/>
  <c r="P1587" i="1"/>
  <c r="N1588" i="1"/>
  <c r="O1588" i="1"/>
  <c r="P1588" i="1"/>
  <c r="N1589" i="1"/>
  <c r="O1589" i="1"/>
  <c r="P1589" i="1"/>
  <c r="N1590" i="1"/>
  <c r="O1590" i="1"/>
  <c r="P1590" i="1"/>
  <c r="N1591" i="1"/>
  <c r="O1591" i="1"/>
  <c r="P1591" i="1"/>
  <c r="N1592" i="1"/>
  <c r="O1592" i="1"/>
  <c r="P1592" i="1"/>
  <c r="N1593" i="1"/>
  <c r="O1593" i="1"/>
  <c r="P1593" i="1"/>
  <c r="N1594" i="1"/>
  <c r="O1594" i="1"/>
  <c r="P1594" i="1"/>
  <c r="N1595" i="1"/>
  <c r="O1595" i="1"/>
  <c r="P1595" i="1"/>
  <c r="N1596" i="1"/>
  <c r="O1596" i="1"/>
  <c r="P1596" i="1"/>
  <c r="N1597" i="1"/>
  <c r="O1597" i="1"/>
  <c r="P1597" i="1"/>
  <c r="N1598" i="1"/>
  <c r="O1598" i="1"/>
  <c r="P1598" i="1"/>
  <c r="N1599" i="1"/>
  <c r="O1599" i="1"/>
  <c r="P1599" i="1"/>
  <c r="N1600" i="1"/>
  <c r="O1600" i="1"/>
  <c r="P1600" i="1"/>
  <c r="N1601" i="1"/>
  <c r="O1601" i="1"/>
  <c r="P1601" i="1"/>
  <c r="N1602" i="1"/>
  <c r="O1602" i="1"/>
  <c r="P1602" i="1"/>
  <c r="N1603" i="1"/>
  <c r="O1603" i="1"/>
  <c r="P1603" i="1"/>
  <c r="N1604" i="1"/>
  <c r="O1604" i="1"/>
  <c r="P1604" i="1"/>
  <c r="N1605" i="1"/>
  <c r="O1605" i="1"/>
  <c r="P1605" i="1"/>
  <c r="N1606" i="1"/>
  <c r="O1606" i="1"/>
  <c r="P1606" i="1"/>
  <c r="N1607" i="1"/>
  <c r="O1607" i="1"/>
  <c r="P1607" i="1"/>
  <c r="N1608" i="1"/>
  <c r="O1608" i="1"/>
  <c r="P1608" i="1"/>
  <c r="N1609" i="1"/>
  <c r="O1609" i="1"/>
  <c r="P1609" i="1"/>
  <c r="N1610" i="1"/>
  <c r="O1610" i="1"/>
  <c r="P1610" i="1"/>
  <c r="N1611" i="1"/>
  <c r="O1611" i="1"/>
  <c r="P1611" i="1"/>
  <c r="N1612" i="1"/>
  <c r="O1612" i="1"/>
  <c r="P1612" i="1"/>
  <c r="N1613" i="1"/>
  <c r="O1613" i="1"/>
  <c r="P1613" i="1"/>
  <c r="N1614" i="1"/>
  <c r="O1614" i="1"/>
  <c r="P1614" i="1"/>
  <c r="N1615" i="1"/>
  <c r="O1615" i="1"/>
  <c r="P1615" i="1"/>
  <c r="N1616" i="1"/>
  <c r="O1616" i="1"/>
  <c r="P1616" i="1"/>
  <c r="N1617" i="1"/>
  <c r="O1617" i="1"/>
  <c r="P1617" i="1"/>
  <c r="N1618" i="1"/>
  <c r="O1618" i="1"/>
  <c r="P1618" i="1"/>
  <c r="N1619" i="1"/>
  <c r="O1619" i="1"/>
  <c r="P1619" i="1"/>
  <c r="N1620" i="1"/>
  <c r="O1620" i="1"/>
  <c r="P1620" i="1"/>
  <c r="N1621" i="1"/>
  <c r="O1621" i="1"/>
  <c r="P1621" i="1"/>
  <c r="N1622" i="1"/>
  <c r="O1622" i="1"/>
  <c r="P1622" i="1"/>
  <c r="N1623" i="1"/>
  <c r="O1623" i="1"/>
  <c r="P1623" i="1"/>
  <c r="N1624" i="1"/>
  <c r="O1624" i="1"/>
  <c r="P1624" i="1"/>
  <c r="N1625" i="1"/>
  <c r="O1625" i="1"/>
  <c r="P1625" i="1"/>
  <c r="N1626" i="1"/>
  <c r="O1626" i="1"/>
  <c r="P1626" i="1"/>
  <c r="N1627" i="1"/>
  <c r="O1627" i="1"/>
  <c r="P1627" i="1"/>
  <c r="N1628" i="1"/>
  <c r="O1628" i="1"/>
  <c r="P1628" i="1"/>
  <c r="N1629" i="1"/>
  <c r="O1629" i="1"/>
  <c r="P1629" i="1"/>
  <c r="N1630" i="1"/>
  <c r="O1630" i="1"/>
  <c r="P1630" i="1"/>
  <c r="N1631" i="1"/>
  <c r="O1631" i="1"/>
  <c r="P1631" i="1"/>
  <c r="N1632" i="1"/>
  <c r="O1632" i="1"/>
  <c r="P1632" i="1"/>
  <c r="N1633" i="1"/>
  <c r="O1633" i="1"/>
  <c r="P1633" i="1"/>
  <c r="N1634" i="1"/>
  <c r="O1634" i="1"/>
  <c r="P1634" i="1"/>
  <c r="N1635" i="1"/>
  <c r="O1635" i="1"/>
  <c r="P1635" i="1"/>
  <c r="N1636" i="1"/>
  <c r="O1636" i="1"/>
  <c r="P1636" i="1"/>
  <c r="N1637" i="1"/>
  <c r="O1637" i="1"/>
  <c r="P1637" i="1"/>
  <c r="N1638" i="1"/>
  <c r="O1638" i="1"/>
  <c r="P1638" i="1"/>
  <c r="N1639" i="1"/>
  <c r="O1639" i="1"/>
  <c r="P1639" i="1"/>
  <c r="N1640" i="1"/>
  <c r="O1640" i="1"/>
  <c r="P1640" i="1"/>
  <c r="N1641" i="1"/>
  <c r="O1641" i="1"/>
  <c r="P1641" i="1"/>
  <c r="N1642" i="1"/>
  <c r="O1642" i="1"/>
  <c r="P1642" i="1"/>
  <c r="N1643" i="1"/>
  <c r="O1643" i="1"/>
  <c r="P1643" i="1"/>
  <c r="N1644" i="1"/>
  <c r="O1644" i="1"/>
  <c r="P1644" i="1"/>
  <c r="N1645" i="1"/>
  <c r="O1645" i="1"/>
  <c r="P1645" i="1"/>
  <c r="N1646" i="1"/>
  <c r="O1646" i="1"/>
  <c r="P1646" i="1"/>
  <c r="N1647" i="1"/>
  <c r="O1647" i="1"/>
  <c r="P1647" i="1"/>
  <c r="N1648" i="1"/>
  <c r="O1648" i="1"/>
  <c r="P1648" i="1"/>
  <c r="N1649" i="1"/>
  <c r="O1649" i="1"/>
  <c r="P1649" i="1"/>
  <c r="N1650" i="1"/>
  <c r="O1650" i="1"/>
  <c r="P1650" i="1"/>
  <c r="N1651" i="1"/>
  <c r="O1651" i="1"/>
  <c r="P1651" i="1"/>
  <c r="N1652" i="1"/>
  <c r="O1652" i="1"/>
  <c r="P1652" i="1"/>
  <c r="N1653" i="1"/>
  <c r="O1653" i="1"/>
  <c r="P1653" i="1"/>
  <c r="N1654" i="1"/>
  <c r="O1654" i="1"/>
  <c r="P1654" i="1"/>
  <c r="N1655" i="1"/>
  <c r="O1655" i="1"/>
  <c r="P1655" i="1"/>
  <c r="N1656" i="1"/>
  <c r="O1656" i="1"/>
  <c r="P1656" i="1"/>
  <c r="N1657" i="1"/>
  <c r="O1657" i="1"/>
  <c r="P1657" i="1"/>
  <c r="N1658" i="1"/>
  <c r="O1658" i="1"/>
  <c r="P1658" i="1"/>
  <c r="N1659" i="1"/>
  <c r="O1659" i="1"/>
  <c r="P1659" i="1"/>
  <c r="N1660" i="1"/>
  <c r="O1660" i="1"/>
  <c r="P1660" i="1"/>
  <c r="N1661" i="1"/>
  <c r="O1661" i="1"/>
  <c r="P1661" i="1"/>
  <c r="N1662" i="1"/>
  <c r="O1662" i="1"/>
  <c r="P1662" i="1"/>
  <c r="N1663" i="1"/>
  <c r="O1663" i="1"/>
  <c r="P1663" i="1"/>
  <c r="N1664" i="1"/>
  <c r="O1664" i="1"/>
  <c r="P1664" i="1"/>
  <c r="N1665" i="1"/>
  <c r="O1665" i="1"/>
  <c r="P1665" i="1"/>
  <c r="N1666" i="1"/>
  <c r="O1666" i="1"/>
  <c r="P1666" i="1"/>
  <c r="N1667" i="1"/>
  <c r="O1667" i="1"/>
  <c r="P1667" i="1"/>
  <c r="N1668" i="1"/>
  <c r="O1668" i="1"/>
  <c r="P1668" i="1"/>
  <c r="N1669" i="1"/>
  <c r="O1669" i="1"/>
  <c r="P1669" i="1"/>
  <c r="N1670" i="1"/>
  <c r="O1670" i="1"/>
  <c r="P1670" i="1"/>
  <c r="N1671" i="1"/>
  <c r="O1671" i="1"/>
  <c r="P1671" i="1"/>
  <c r="N1672" i="1"/>
  <c r="O1672" i="1"/>
  <c r="P1672" i="1"/>
  <c r="N1673" i="1"/>
  <c r="O1673" i="1"/>
  <c r="P1673" i="1"/>
  <c r="N1674" i="1"/>
  <c r="O1674" i="1"/>
  <c r="P1674" i="1"/>
  <c r="N1675" i="1"/>
  <c r="O1675" i="1"/>
  <c r="P1675" i="1"/>
  <c r="N1676" i="1"/>
  <c r="O1676" i="1"/>
  <c r="P1676" i="1"/>
  <c r="N1677" i="1"/>
  <c r="O1677" i="1"/>
  <c r="P1677" i="1"/>
  <c r="N1678" i="1"/>
  <c r="O1678" i="1"/>
  <c r="P1678" i="1"/>
  <c r="N1679" i="1"/>
  <c r="O1679" i="1"/>
  <c r="P1679" i="1"/>
  <c r="N1680" i="1"/>
  <c r="O1680" i="1"/>
  <c r="P1680" i="1"/>
  <c r="N1681" i="1"/>
  <c r="O1681" i="1"/>
  <c r="P1681" i="1"/>
  <c r="N1682" i="1"/>
  <c r="O1682" i="1"/>
  <c r="P1682" i="1"/>
  <c r="N1683" i="1"/>
  <c r="O1683" i="1"/>
  <c r="P1683" i="1"/>
  <c r="N1684" i="1"/>
  <c r="O1684" i="1"/>
  <c r="P1684" i="1"/>
  <c r="N1685" i="1"/>
  <c r="O1685" i="1"/>
  <c r="P1685" i="1"/>
  <c r="N1686" i="1"/>
  <c r="O1686" i="1"/>
  <c r="P1686" i="1"/>
  <c r="N1687" i="1"/>
  <c r="O1687" i="1"/>
  <c r="P1687" i="1"/>
  <c r="N1688" i="1"/>
  <c r="O1688" i="1"/>
  <c r="P1688" i="1"/>
  <c r="N1689" i="1"/>
  <c r="O1689" i="1"/>
  <c r="P1689" i="1"/>
  <c r="N1690" i="1"/>
  <c r="O1690" i="1"/>
  <c r="P1690" i="1"/>
  <c r="N1691" i="1"/>
  <c r="O1691" i="1"/>
  <c r="P1691" i="1"/>
  <c r="N1692" i="1"/>
  <c r="O1692" i="1"/>
  <c r="P1692" i="1"/>
  <c r="N1693" i="1"/>
  <c r="O1693" i="1"/>
  <c r="P1693" i="1"/>
  <c r="N1694" i="1"/>
  <c r="O1694" i="1"/>
  <c r="P1694" i="1"/>
  <c r="N1695" i="1"/>
  <c r="O1695" i="1"/>
  <c r="P1695" i="1"/>
  <c r="N1696" i="1"/>
  <c r="O1696" i="1"/>
  <c r="P1696" i="1"/>
  <c r="N1697" i="1"/>
  <c r="O1697" i="1"/>
  <c r="P1697" i="1"/>
  <c r="N1698" i="1"/>
  <c r="O1698" i="1"/>
  <c r="P1698" i="1"/>
  <c r="N1699" i="1"/>
  <c r="O1699" i="1"/>
  <c r="P1699" i="1"/>
  <c r="N1700" i="1"/>
  <c r="O1700" i="1"/>
  <c r="P1700" i="1"/>
  <c r="N1701" i="1"/>
  <c r="O1701" i="1"/>
  <c r="P1701" i="1"/>
  <c r="N1702" i="1"/>
  <c r="O1702" i="1"/>
  <c r="P1702" i="1"/>
  <c r="N1703" i="1"/>
  <c r="O1703" i="1"/>
  <c r="P1703" i="1"/>
  <c r="N1704" i="1"/>
  <c r="O1704" i="1"/>
  <c r="P1704" i="1"/>
  <c r="N1705" i="1"/>
  <c r="O1705" i="1"/>
  <c r="P1705" i="1"/>
  <c r="N1706" i="1"/>
  <c r="O1706" i="1"/>
  <c r="P1706" i="1"/>
  <c r="N1707" i="1"/>
  <c r="O1707" i="1"/>
  <c r="P1707" i="1"/>
  <c r="N1708" i="1"/>
  <c r="O1708" i="1"/>
  <c r="P1708" i="1"/>
  <c r="N1709" i="1"/>
  <c r="O1709" i="1"/>
  <c r="P1709" i="1"/>
  <c r="N1710" i="1"/>
  <c r="O1710" i="1"/>
  <c r="P1710" i="1"/>
  <c r="N1711" i="1"/>
  <c r="O1711" i="1"/>
  <c r="P1711" i="1"/>
  <c r="N1712" i="1"/>
  <c r="O1712" i="1"/>
  <c r="P1712" i="1"/>
  <c r="N1713" i="1"/>
  <c r="O1713" i="1"/>
  <c r="P1713" i="1"/>
  <c r="N1714" i="1"/>
  <c r="O1714" i="1"/>
  <c r="P1714" i="1"/>
  <c r="N1715" i="1"/>
  <c r="O1715" i="1"/>
  <c r="P1715" i="1"/>
  <c r="N1716" i="1"/>
  <c r="O1716" i="1"/>
  <c r="P1716" i="1"/>
  <c r="N1717" i="1"/>
  <c r="O1717" i="1"/>
  <c r="P1717" i="1"/>
  <c r="N1718" i="1"/>
  <c r="O1718" i="1"/>
  <c r="P1718" i="1"/>
  <c r="N1719" i="1"/>
  <c r="O1719" i="1"/>
  <c r="P1719" i="1"/>
  <c r="N1720" i="1"/>
  <c r="O1720" i="1"/>
  <c r="P1720" i="1"/>
  <c r="N1721" i="1"/>
  <c r="O1721" i="1"/>
  <c r="P1721" i="1"/>
  <c r="N1722" i="1"/>
  <c r="O1722" i="1"/>
  <c r="P1722" i="1"/>
  <c r="N1723" i="1"/>
  <c r="O1723" i="1"/>
  <c r="P1723" i="1"/>
  <c r="N1724" i="1"/>
  <c r="O1724" i="1"/>
  <c r="P1724" i="1"/>
  <c r="N1725" i="1"/>
  <c r="O1725" i="1"/>
  <c r="P1725" i="1"/>
  <c r="N1726" i="1"/>
  <c r="O1726" i="1"/>
  <c r="P1726" i="1"/>
  <c r="N1727" i="1"/>
  <c r="O1727" i="1"/>
  <c r="P1727" i="1"/>
  <c r="N1728" i="1"/>
  <c r="O1728" i="1"/>
  <c r="P1728" i="1"/>
  <c r="N1729" i="1"/>
  <c r="O1729" i="1"/>
  <c r="P1729" i="1"/>
  <c r="N1730" i="1"/>
  <c r="O1730" i="1"/>
  <c r="P1730" i="1"/>
  <c r="N1731" i="1"/>
  <c r="O1731" i="1"/>
  <c r="P1731" i="1"/>
  <c r="N1732" i="1"/>
  <c r="O1732" i="1"/>
  <c r="P1732" i="1"/>
  <c r="N1733" i="1"/>
  <c r="O1733" i="1"/>
  <c r="P1733" i="1"/>
  <c r="N1734" i="1"/>
  <c r="O1734" i="1"/>
  <c r="P1734" i="1"/>
  <c r="N1735" i="1"/>
  <c r="O1735" i="1"/>
  <c r="P1735" i="1"/>
  <c r="N1736" i="1"/>
  <c r="O1736" i="1"/>
  <c r="P1736" i="1"/>
  <c r="N1737" i="1"/>
  <c r="O1737" i="1"/>
  <c r="P1737" i="1"/>
  <c r="N1738" i="1"/>
  <c r="O1738" i="1"/>
  <c r="P1738" i="1"/>
  <c r="N1739" i="1"/>
  <c r="O1739" i="1"/>
  <c r="P1739" i="1"/>
  <c r="N1740" i="1"/>
  <c r="O1740" i="1"/>
  <c r="P1740" i="1"/>
  <c r="N1741" i="1"/>
  <c r="O1741" i="1"/>
  <c r="P1741" i="1"/>
  <c r="N1742" i="1"/>
  <c r="O1742" i="1"/>
  <c r="P1742" i="1"/>
  <c r="N1743" i="1"/>
  <c r="O1743" i="1"/>
  <c r="P1743" i="1"/>
  <c r="N1744" i="1"/>
  <c r="O1744" i="1"/>
  <c r="P1744" i="1"/>
  <c r="N1745" i="1"/>
  <c r="O1745" i="1"/>
  <c r="P1745" i="1"/>
  <c r="N1746" i="1"/>
  <c r="O1746" i="1"/>
  <c r="P1746" i="1"/>
  <c r="N1747" i="1"/>
  <c r="O1747" i="1"/>
  <c r="P1747" i="1"/>
  <c r="N1748" i="1"/>
  <c r="O1748" i="1"/>
  <c r="P1748" i="1"/>
  <c r="N1749" i="1"/>
  <c r="O1749" i="1"/>
  <c r="P1749" i="1"/>
  <c r="N1750" i="1"/>
  <c r="O1750" i="1"/>
  <c r="P1750" i="1"/>
  <c r="N1751" i="1"/>
  <c r="O1751" i="1"/>
  <c r="P1751" i="1"/>
  <c r="N1752" i="1"/>
  <c r="O1752" i="1"/>
  <c r="P1752" i="1"/>
  <c r="N1753" i="1"/>
  <c r="O1753" i="1"/>
  <c r="P1753" i="1"/>
  <c r="N1754" i="1"/>
  <c r="O1754" i="1"/>
  <c r="P1754" i="1"/>
  <c r="N1755" i="1"/>
  <c r="O1755" i="1"/>
  <c r="P1755" i="1"/>
  <c r="N1756" i="1"/>
  <c r="O1756" i="1"/>
  <c r="P1756" i="1"/>
  <c r="N1757" i="1"/>
  <c r="O1757" i="1"/>
  <c r="P1757" i="1"/>
  <c r="N1758" i="1"/>
  <c r="O1758" i="1"/>
  <c r="P1758" i="1"/>
  <c r="N1759" i="1"/>
  <c r="O1759" i="1"/>
  <c r="P1759" i="1"/>
  <c r="N1760" i="1"/>
  <c r="O1760" i="1"/>
  <c r="P1760" i="1"/>
  <c r="N1761" i="1"/>
  <c r="O1761" i="1"/>
  <c r="P1761" i="1"/>
  <c r="N1762" i="1"/>
  <c r="O1762" i="1"/>
  <c r="P1762" i="1"/>
  <c r="N1763" i="1"/>
  <c r="O1763" i="1"/>
  <c r="P1763" i="1"/>
  <c r="N1764" i="1"/>
  <c r="O1764" i="1"/>
  <c r="P1764" i="1"/>
  <c r="N1765" i="1"/>
  <c r="O1765" i="1"/>
  <c r="P1765" i="1"/>
  <c r="N1766" i="1"/>
  <c r="O1766" i="1"/>
  <c r="P1766" i="1"/>
  <c r="N1767" i="1"/>
  <c r="O1767" i="1"/>
  <c r="P1767" i="1"/>
  <c r="N1768" i="1"/>
  <c r="O1768" i="1"/>
  <c r="P1768" i="1"/>
  <c r="N1769" i="1"/>
  <c r="O1769" i="1"/>
  <c r="P1769" i="1"/>
  <c r="N1770" i="1"/>
  <c r="O1770" i="1"/>
  <c r="P1770" i="1"/>
  <c r="N1771" i="1"/>
  <c r="O1771" i="1"/>
  <c r="P1771" i="1"/>
  <c r="N1772" i="1"/>
  <c r="O1772" i="1"/>
  <c r="P1772" i="1"/>
  <c r="N1773" i="1"/>
  <c r="O1773" i="1"/>
  <c r="P1773" i="1"/>
  <c r="N1774" i="1"/>
  <c r="O1774" i="1"/>
  <c r="P1774" i="1"/>
  <c r="N1775" i="1"/>
  <c r="O1775" i="1"/>
  <c r="P1775" i="1"/>
  <c r="N1776" i="1"/>
  <c r="O1776" i="1"/>
  <c r="P1776" i="1"/>
  <c r="N1777" i="1"/>
  <c r="O1777" i="1"/>
  <c r="P1777" i="1"/>
  <c r="N1778" i="1"/>
  <c r="O1778" i="1"/>
  <c r="P1778" i="1"/>
  <c r="N1779" i="1"/>
  <c r="O1779" i="1"/>
  <c r="P1779" i="1"/>
  <c r="N1780" i="1"/>
  <c r="O1780" i="1"/>
  <c r="P1780" i="1"/>
  <c r="N1781" i="1"/>
  <c r="O1781" i="1"/>
  <c r="P1781" i="1"/>
  <c r="N1782" i="1"/>
  <c r="O1782" i="1"/>
  <c r="P1782" i="1"/>
  <c r="N1783" i="1"/>
  <c r="O1783" i="1"/>
  <c r="P1783" i="1"/>
  <c r="N1784" i="1"/>
  <c r="O1784" i="1"/>
  <c r="P1784" i="1"/>
  <c r="N1785" i="1"/>
  <c r="O1785" i="1"/>
  <c r="P1785" i="1"/>
  <c r="N1786" i="1"/>
  <c r="O1786" i="1"/>
  <c r="P1786" i="1"/>
  <c r="N1787" i="1"/>
  <c r="O1787" i="1"/>
  <c r="P1787" i="1"/>
  <c r="N1788" i="1"/>
  <c r="O1788" i="1"/>
  <c r="P1788" i="1"/>
  <c r="N1789" i="1"/>
  <c r="O1789" i="1"/>
  <c r="P1789" i="1"/>
  <c r="N1790" i="1"/>
  <c r="O1790" i="1"/>
  <c r="P1790" i="1"/>
  <c r="N1791" i="1"/>
  <c r="O1791" i="1"/>
  <c r="P1791" i="1"/>
  <c r="N1792" i="1"/>
  <c r="O1792" i="1"/>
  <c r="P1792" i="1"/>
  <c r="N1793" i="1"/>
  <c r="O1793" i="1"/>
  <c r="P1793" i="1"/>
  <c r="N1794" i="1"/>
  <c r="O1794" i="1"/>
  <c r="P1794" i="1"/>
  <c r="N1795" i="1"/>
  <c r="O1795" i="1"/>
  <c r="P1795" i="1"/>
  <c r="N1796" i="1"/>
  <c r="O1796" i="1"/>
  <c r="P1796" i="1"/>
  <c r="N1797" i="1"/>
  <c r="O1797" i="1"/>
  <c r="P1797" i="1"/>
  <c r="N1798" i="1"/>
  <c r="O1798" i="1"/>
  <c r="P1798" i="1"/>
  <c r="N1799" i="1"/>
  <c r="O1799" i="1"/>
  <c r="P1799" i="1"/>
  <c r="N1800" i="1"/>
  <c r="O1800" i="1"/>
  <c r="P1800" i="1"/>
  <c r="N1801" i="1"/>
  <c r="O1801" i="1"/>
  <c r="P1801" i="1"/>
  <c r="N1802" i="1"/>
  <c r="O1802" i="1"/>
  <c r="P1802" i="1"/>
  <c r="N1803" i="1"/>
  <c r="O1803" i="1"/>
  <c r="P1803" i="1"/>
  <c r="N1804" i="1"/>
  <c r="O1804" i="1"/>
  <c r="P1804" i="1"/>
  <c r="N1805" i="1"/>
  <c r="O1805" i="1"/>
  <c r="P1805" i="1"/>
  <c r="N1806" i="1"/>
  <c r="O1806" i="1"/>
  <c r="P1806" i="1"/>
  <c r="N1807" i="1"/>
  <c r="O1807" i="1"/>
  <c r="P1807" i="1"/>
  <c r="N1808" i="1"/>
  <c r="O1808" i="1"/>
  <c r="P1808" i="1"/>
  <c r="N1809" i="1"/>
  <c r="O1809" i="1"/>
  <c r="P1809" i="1"/>
  <c r="N1810" i="1"/>
  <c r="O1810" i="1"/>
  <c r="P1810" i="1"/>
  <c r="N1811" i="1"/>
  <c r="O1811" i="1"/>
  <c r="P1811" i="1"/>
  <c r="N1812" i="1"/>
  <c r="O1812" i="1"/>
  <c r="P1812" i="1"/>
  <c r="N1813" i="1"/>
  <c r="O1813" i="1"/>
  <c r="P1813" i="1"/>
  <c r="N1814" i="1"/>
  <c r="O1814" i="1"/>
  <c r="P1814" i="1"/>
  <c r="N1815" i="1"/>
  <c r="O1815" i="1"/>
  <c r="P1815" i="1"/>
  <c r="N1816" i="1"/>
  <c r="O1816" i="1"/>
  <c r="P1816" i="1"/>
  <c r="N1817" i="1"/>
  <c r="O1817" i="1"/>
  <c r="P1817" i="1"/>
  <c r="N1818" i="1"/>
  <c r="O1818" i="1"/>
  <c r="P1818" i="1"/>
  <c r="N1819" i="1"/>
  <c r="O1819" i="1"/>
  <c r="P1819" i="1"/>
  <c r="N1820" i="1"/>
  <c r="O1820" i="1"/>
  <c r="P1820" i="1"/>
  <c r="N1821" i="1"/>
  <c r="O1821" i="1"/>
  <c r="P1821" i="1"/>
  <c r="N1822" i="1"/>
  <c r="O1822" i="1"/>
  <c r="P1822" i="1"/>
  <c r="N1823" i="1"/>
  <c r="O1823" i="1"/>
  <c r="P1823" i="1"/>
  <c r="N1824" i="1"/>
  <c r="O1824" i="1"/>
  <c r="P1824" i="1"/>
  <c r="N1825" i="1"/>
  <c r="O1825" i="1"/>
  <c r="P1825" i="1"/>
  <c r="N1826" i="1"/>
  <c r="O1826" i="1"/>
  <c r="P1826" i="1"/>
  <c r="N1827" i="1"/>
  <c r="O1827" i="1"/>
  <c r="P1827" i="1"/>
  <c r="N1828" i="1"/>
  <c r="O1828" i="1"/>
  <c r="P1828" i="1"/>
  <c r="N1829" i="1"/>
  <c r="O1829" i="1"/>
  <c r="P1829" i="1"/>
  <c r="N1830" i="1"/>
  <c r="O1830" i="1"/>
  <c r="P1830" i="1"/>
  <c r="N1831" i="1"/>
  <c r="O1831" i="1"/>
  <c r="P1831" i="1"/>
  <c r="N1832" i="1"/>
  <c r="O1832" i="1"/>
  <c r="P1832" i="1"/>
  <c r="N1833" i="1"/>
  <c r="O1833" i="1"/>
  <c r="P1833" i="1"/>
  <c r="N1834" i="1"/>
  <c r="O1834" i="1"/>
  <c r="P1834" i="1"/>
  <c r="N1835" i="1"/>
  <c r="O1835" i="1"/>
  <c r="P1835" i="1"/>
  <c r="N1836" i="1"/>
  <c r="O1836" i="1"/>
  <c r="P1836" i="1"/>
  <c r="N1837" i="1"/>
  <c r="O1837" i="1"/>
  <c r="P1837" i="1"/>
  <c r="N1838" i="1"/>
  <c r="O1838" i="1"/>
  <c r="P1838" i="1"/>
  <c r="N1839" i="1"/>
  <c r="O1839" i="1"/>
  <c r="P1839" i="1"/>
  <c r="N1840" i="1"/>
  <c r="O1840" i="1"/>
  <c r="P1840" i="1"/>
  <c r="N1841" i="1"/>
  <c r="O1841" i="1"/>
  <c r="P1841" i="1"/>
  <c r="N1842" i="1"/>
  <c r="O1842" i="1"/>
  <c r="P1842" i="1"/>
  <c r="N1843" i="1"/>
  <c r="O1843" i="1"/>
  <c r="P1843" i="1"/>
  <c r="N1844" i="1"/>
  <c r="O1844" i="1"/>
  <c r="P1844" i="1"/>
  <c r="N1845" i="1"/>
  <c r="O1845" i="1"/>
  <c r="P1845" i="1"/>
  <c r="N1846" i="1"/>
  <c r="O1846" i="1"/>
  <c r="P1846" i="1"/>
  <c r="N1847" i="1"/>
  <c r="O1847" i="1"/>
  <c r="P1847" i="1"/>
  <c r="N1848" i="1"/>
  <c r="O1848" i="1"/>
  <c r="P1848" i="1"/>
  <c r="N1849" i="1"/>
  <c r="O1849" i="1"/>
  <c r="P1849" i="1"/>
  <c r="N1850" i="1"/>
  <c r="O1850" i="1"/>
  <c r="P1850" i="1"/>
  <c r="N1851" i="1"/>
  <c r="O1851" i="1"/>
  <c r="P1851" i="1"/>
  <c r="N1852" i="1"/>
  <c r="O1852" i="1"/>
  <c r="P1852" i="1"/>
  <c r="N1853" i="1"/>
  <c r="O1853" i="1"/>
  <c r="P1853" i="1"/>
  <c r="N1854" i="1"/>
  <c r="O1854" i="1"/>
  <c r="P1854" i="1"/>
  <c r="N1855" i="1"/>
  <c r="O1855" i="1"/>
  <c r="P1855" i="1"/>
  <c r="N1856" i="1"/>
  <c r="O1856" i="1"/>
  <c r="P1856" i="1"/>
  <c r="N1857" i="1"/>
  <c r="O1857" i="1"/>
  <c r="P1857" i="1"/>
  <c r="N1858" i="1"/>
  <c r="O1858" i="1"/>
  <c r="P1858" i="1"/>
  <c r="N1859" i="1"/>
  <c r="O1859" i="1"/>
  <c r="P1859" i="1"/>
  <c r="N1860" i="1"/>
  <c r="O1860" i="1"/>
  <c r="P1860" i="1"/>
  <c r="N1861" i="1"/>
  <c r="O1861" i="1"/>
  <c r="P1861" i="1"/>
  <c r="N1862" i="1"/>
  <c r="O1862" i="1"/>
  <c r="P1862" i="1"/>
  <c r="N1863" i="1"/>
  <c r="O1863" i="1"/>
  <c r="P1863" i="1"/>
  <c r="N1864" i="1"/>
  <c r="O1864" i="1"/>
  <c r="P1864" i="1"/>
  <c r="N1865" i="1"/>
  <c r="O1865" i="1"/>
  <c r="P1865" i="1"/>
  <c r="N1866" i="1"/>
  <c r="O1866" i="1"/>
  <c r="P1866" i="1"/>
  <c r="N1867" i="1"/>
  <c r="O1867" i="1"/>
  <c r="P1867" i="1"/>
  <c r="N1868" i="1"/>
  <c r="O1868" i="1"/>
  <c r="P1868" i="1"/>
  <c r="N1869" i="1"/>
  <c r="O1869" i="1"/>
  <c r="P1869" i="1"/>
  <c r="N1870" i="1"/>
  <c r="O1870" i="1"/>
  <c r="P1870" i="1"/>
  <c r="N1871" i="1"/>
  <c r="O1871" i="1"/>
  <c r="P1871" i="1"/>
  <c r="N1872" i="1"/>
  <c r="O1872" i="1"/>
  <c r="P1872" i="1"/>
  <c r="N1873" i="1"/>
  <c r="O1873" i="1"/>
  <c r="P1873" i="1"/>
  <c r="N1874" i="1"/>
  <c r="O1874" i="1"/>
  <c r="P1874" i="1"/>
  <c r="N1875" i="1"/>
  <c r="O1875" i="1"/>
  <c r="P1875" i="1"/>
  <c r="N1876" i="1"/>
  <c r="O1876" i="1"/>
  <c r="P1876" i="1"/>
  <c r="N1877" i="1"/>
  <c r="O1877" i="1"/>
  <c r="P1877" i="1"/>
  <c r="N1878" i="1"/>
  <c r="O1878" i="1"/>
  <c r="P1878" i="1"/>
  <c r="N1879" i="1"/>
  <c r="O1879" i="1"/>
  <c r="P1879" i="1"/>
  <c r="N1880" i="1"/>
  <c r="O1880" i="1"/>
  <c r="P1880" i="1"/>
  <c r="N1881" i="1"/>
  <c r="O1881" i="1"/>
  <c r="P1881" i="1"/>
  <c r="N1882" i="1"/>
  <c r="O1882" i="1"/>
  <c r="P1882" i="1"/>
  <c r="N1883" i="1"/>
  <c r="O1883" i="1"/>
  <c r="P1883" i="1"/>
  <c r="N1884" i="1"/>
  <c r="O1884" i="1"/>
  <c r="P1884" i="1"/>
  <c r="N1885" i="1"/>
  <c r="O1885" i="1"/>
  <c r="P1885" i="1"/>
  <c r="N1886" i="1"/>
  <c r="O1886" i="1"/>
  <c r="P1886" i="1"/>
  <c r="N1887" i="1"/>
  <c r="O1887" i="1"/>
  <c r="P1887" i="1"/>
  <c r="N1888" i="1"/>
  <c r="O1888" i="1"/>
  <c r="P1888" i="1"/>
  <c r="N1889" i="1"/>
  <c r="O1889" i="1"/>
  <c r="P1889" i="1"/>
  <c r="N1890" i="1"/>
  <c r="O1890" i="1"/>
  <c r="P1890" i="1"/>
  <c r="N1891" i="1"/>
  <c r="O1891" i="1"/>
  <c r="P1891" i="1"/>
  <c r="N1892" i="1"/>
  <c r="O1892" i="1"/>
  <c r="P1892" i="1"/>
  <c r="N1893" i="1"/>
  <c r="O1893" i="1"/>
  <c r="P1893" i="1"/>
  <c r="N1894" i="1"/>
  <c r="O1894" i="1"/>
  <c r="P1894" i="1"/>
  <c r="N1895" i="1"/>
  <c r="O1895" i="1"/>
  <c r="P1895" i="1"/>
  <c r="N1896" i="1"/>
  <c r="O1896" i="1"/>
  <c r="P1896" i="1"/>
  <c r="N1897" i="1"/>
  <c r="O1897" i="1"/>
  <c r="P1897" i="1"/>
  <c r="N1898" i="1"/>
  <c r="O1898" i="1"/>
  <c r="P1898" i="1"/>
  <c r="N1899" i="1"/>
  <c r="O1899" i="1"/>
  <c r="P1899" i="1"/>
  <c r="N1900" i="1"/>
  <c r="O1900" i="1"/>
  <c r="P1900" i="1"/>
  <c r="N1901" i="1"/>
  <c r="O1901" i="1"/>
  <c r="P1901" i="1"/>
  <c r="N1902" i="1"/>
  <c r="O1902" i="1"/>
  <c r="P1902" i="1"/>
  <c r="N1903" i="1"/>
  <c r="O1903" i="1"/>
  <c r="P1903" i="1"/>
  <c r="N1904" i="1"/>
  <c r="O1904" i="1"/>
  <c r="P1904" i="1"/>
  <c r="N1905" i="1"/>
  <c r="O1905" i="1"/>
  <c r="P1905" i="1"/>
  <c r="N1906" i="1"/>
  <c r="O1906" i="1"/>
  <c r="P1906" i="1"/>
  <c r="N1907" i="1"/>
  <c r="O1907" i="1"/>
  <c r="P1907" i="1"/>
  <c r="N1908" i="1"/>
  <c r="O1908" i="1"/>
  <c r="P1908" i="1"/>
  <c r="N1909" i="1"/>
  <c r="O1909" i="1"/>
  <c r="P1909" i="1"/>
  <c r="N1910" i="1"/>
  <c r="O1910" i="1"/>
  <c r="P1910" i="1"/>
  <c r="N1911" i="1"/>
  <c r="O1911" i="1"/>
  <c r="P1911" i="1"/>
  <c r="N1912" i="1"/>
  <c r="O1912" i="1"/>
  <c r="P1912" i="1"/>
  <c r="N1913" i="1"/>
  <c r="O1913" i="1"/>
  <c r="P1913" i="1"/>
  <c r="N1914" i="1"/>
  <c r="O1914" i="1"/>
  <c r="P1914" i="1"/>
  <c r="N1915" i="1"/>
  <c r="O1915" i="1"/>
  <c r="P1915" i="1"/>
  <c r="N1916" i="1"/>
  <c r="O1916" i="1"/>
  <c r="P1916" i="1"/>
  <c r="N1917" i="1"/>
  <c r="O1917" i="1"/>
  <c r="P1917" i="1"/>
  <c r="N1918" i="1"/>
  <c r="O1918" i="1"/>
  <c r="P1918" i="1"/>
  <c r="N1919" i="1"/>
  <c r="O1919" i="1"/>
  <c r="P1919" i="1"/>
  <c r="N1920" i="1"/>
  <c r="O1920" i="1"/>
  <c r="P1920" i="1"/>
  <c r="N1921" i="1"/>
  <c r="O1921" i="1"/>
  <c r="P1921" i="1"/>
  <c r="N1922" i="1"/>
  <c r="O1922" i="1"/>
  <c r="P1922" i="1"/>
  <c r="N1923" i="1"/>
  <c r="O1923" i="1"/>
  <c r="P1923" i="1"/>
  <c r="N1924" i="1"/>
  <c r="O1924" i="1"/>
  <c r="P1924" i="1"/>
  <c r="N1925" i="1"/>
  <c r="O1925" i="1"/>
  <c r="P1925" i="1"/>
  <c r="N1926" i="1"/>
  <c r="O1926" i="1"/>
  <c r="P1926" i="1"/>
  <c r="N1927" i="1"/>
  <c r="O1927" i="1"/>
  <c r="P1927" i="1"/>
  <c r="N1928" i="1"/>
  <c r="O1928" i="1"/>
  <c r="P1928" i="1"/>
  <c r="N1929" i="1"/>
  <c r="O1929" i="1"/>
  <c r="P1929" i="1"/>
  <c r="N1930" i="1"/>
  <c r="O1930" i="1"/>
  <c r="P1930" i="1"/>
  <c r="N1931" i="1"/>
  <c r="O1931" i="1"/>
  <c r="P1931" i="1"/>
  <c r="N1932" i="1"/>
  <c r="O1932" i="1"/>
  <c r="P1932" i="1"/>
  <c r="N1933" i="1"/>
  <c r="O1933" i="1"/>
  <c r="P1933" i="1"/>
  <c r="N1934" i="1"/>
  <c r="O1934" i="1"/>
  <c r="P1934" i="1"/>
  <c r="N1935" i="1"/>
  <c r="O1935" i="1"/>
  <c r="P1935" i="1"/>
  <c r="N1936" i="1"/>
  <c r="O1936" i="1"/>
  <c r="P1936" i="1"/>
  <c r="N1937" i="1"/>
  <c r="O1937" i="1"/>
  <c r="P1937" i="1"/>
  <c r="N1938" i="1"/>
  <c r="O1938" i="1"/>
  <c r="P1938" i="1"/>
  <c r="N1939" i="1"/>
  <c r="O1939" i="1"/>
  <c r="P1939" i="1"/>
  <c r="N1940" i="1"/>
  <c r="O1940" i="1"/>
  <c r="P1940" i="1"/>
  <c r="N1941" i="1"/>
  <c r="O1941" i="1"/>
  <c r="P1941" i="1"/>
  <c r="N1942" i="1"/>
  <c r="O1942" i="1"/>
  <c r="P1942" i="1"/>
  <c r="N1943" i="1"/>
  <c r="O1943" i="1"/>
  <c r="P1943" i="1"/>
  <c r="N1944" i="1"/>
  <c r="O1944" i="1"/>
  <c r="P1944" i="1"/>
  <c r="N1945" i="1"/>
  <c r="O1945" i="1"/>
  <c r="P1945" i="1"/>
  <c r="N1946" i="1"/>
  <c r="O1946" i="1"/>
  <c r="P1946" i="1"/>
  <c r="N1947" i="1"/>
  <c r="O1947" i="1"/>
  <c r="P1947" i="1"/>
  <c r="N1948" i="1"/>
  <c r="O1948" i="1"/>
  <c r="P1948" i="1"/>
  <c r="N1949" i="1"/>
  <c r="O1949" i="1"/>
  <c r="P1949" i="1"/>
  <c r="N1950" i="1"/>
  <c r="O1950" i="1"/>
  <c r="P1950" i="1"/>
  <c r="N1951" i="1"/>
  <c r="O1951" i="1"/>
  <c r="P1951" i="1"/>
  <c r="N1952" i="1"/>
  <c r="O1952" i="1"/>
  <c r="P1952" i="1"/>
  <c r="N1953" i="1"/>
  <c r="O1953" i="1"/>
  <c r="P1953" i="1"/>
  <c r="N1954" i="1"/>
  <c r="O1954" i="1"/>
  <c r="P1954" i="1"/>
  <c r="N1955" i="1"/>
  <c r="O1955" i="1"/>
  <c r="P1955" i="1"/>
  <c r="N1956" i="1"/>
  <c r="O1956" i="1"/>
  <c r="P1956" i="1"/>
  <c r="N1957" i="1"/>
  <c r="O1957" i="1"/>
  <c r="P1957" i="1"/>
  <c r="N1958" i="1"/>
  <c r="O1958" i="1"/>
  <c r="P1958" i="1"/>
  <c r="N1959" i="1"/>
  <c r="O1959" i="1"/>
  <c r="P1959" i="1"/>
  <c r="N1960" i="1"/>
  <c r="O1960" i="1"/>
  <c r="P1960" i="1"/>
  <c r="N1961" i="1"/>
  <c r="O1961" i="1"/>
  <c r="P1961" i="1"/>
  <c r="N1962" i="1"/>
  <c r="O1962" i="1"/>
  <c r="P1962" i="1"/>
  <c r="N1963" i="1"/>
  <c r="O1963" i="1"/>
  <c r="P1963" i="1"/>
  <c r="N1964" i="1"/>
  <c r="O1964" i="1"/>
  <c r="P1964" i="1"/>
  <c r="N1965" i="1"/>
  <c r="O1965" i="1"/>
  <c r="P1965" i="1"/>
  <c r="N1966" i="1"/>
  <c r="O1966" i="1"/>
  <c r="P1966" i="1"/>
  <c r="N1967" i="1"/>
  <c r="O1967" i="1"/>
  <c r="P1967" i="1"/>
  <c r="N1968" i="1"/>
  <c r="O1968" i="1"/>
  <c r="P1968" i="1"/>
  <c r="N1969" i="1"/>
  <c r="O1969" i="1"/>
  <c r="P1969" i="1"/>
  <c r="N1970" i="1"/>
  <c r="O1970" i="1"/>
  <c r="P1970" i="1"/>
  <c r="N1971" i="1"/>
  <c r="O1971" i="1"/>
  <c r="P1971" i="1"/>
  <c r="N1972" i="1"/>
  <c r="O1972" i="1"/>
  <c r="P1972" i="1"/>
  <c r="N1973" i="1"/>
  <c r="O1973" i="1"/>
  <c r="P1973" i="1"/>
  <c r="N1974" i="1"/>
  <c r="O1974" i="1"/>
  <c r="P1974" i="1"/>
  <c r="N1975" i="1"/>
  <c r="O1975" i="1"/>
  <c r="P1975" i="1"/>
  <c r="N1976" i="1"/>
  <c r="O1976" i="1"/>
  <c r="P1976" i="1"/>
  <c r="N1977" i="1"/>
  <c r="O1977" i="1"/>
  <c r="P1977" i="1"/>
  <c r="N1978" i="1"/>
  <c r="O1978" i="1"/>
  <c r="P1978" i="1"/>
  <c r="N1979" i="1"/>
  <c r="O1979" i="1"/>
  <c r="P1979" i="1"/>
  <c r="N1980" i="1"/>
  <c r="O1980" i="1"/>
  <c r="P1980" i="1"/>
  <c r="N1981" i="1"/>
  <c r="O1981" i="1"/>
  <c r="P1981" i="1"/>
  <c r="N1982" i="1"/>
  <c r="O1982" i="1"/>
  <c r="P1982" i="1"/>
  <c r="N1983" i="1"/>
  <c r="O1983" i="1"/>
  <c r="P1983" i="1"/>
  <c r="N1984" i="1"/>
  <c r="O1984" i="1"/>
  <c r="P1984" i="1"/>
  <c r="N1985" i="1"/>
  <c r="O1985" i="1"/>
  <c r="P1985" i="1"/>
  <c r="N1986" i="1"/>
  <c r="O1986" i="1"/>
  <c r="P1986" i="1"/>
  <c r="N1987" i="1"/>
  <c r="O1987" i="1"/>
  <c r="P1987" i="1"/>
  <c r="N1988" i="1"/>
  <c r="O1988" i="1"/>
  <c r="P1988" i="1"/>
  <c r="N1989" i="1"/>
  <c r="O1989" i="1"/>
  <c r="P1989" i="1"/>
  <c r="N1990" i="1"/>
  <c r="O1990" i="1"/>
  <c r="P1990" i="1"/>
  <c r="N1991" i="1"/>
  <c r="O1991" i="1"/>
  <c r="P1991" i="1"/>
  <c r="N1992" i="1"/>
  <c r="O1992" i="1"/>
  <c r="P1992" i="1"/>
  <c r="N1993" i="1"/>
  <c r="O1993" i="1"/>
  <c r="P1993" i="1"/>
  <c r="N1994" i="1"/>
  <c r="O1994" i="1"/>
  <c r="P1994" i="1"/>
  <c r="N1995" i="1"/>
  <c r="O1995" i="1"/>
  <c r="P1995" i="1"/>
  <c r="N1996" i="1"/>
  <c r="O1996" i="1"/>
  <c r="P1996" i="1"/>
  <c r="N1997" i="1"/>
  <c r="O1997" i="1"/>
  <c r="P1997" i="1"/>
  <c r="N1998" i="1"/>
  <c r="O1998" i="1"/>
  <c r="P1998" i="1"/>
  <c r="N1999" i="1"/>
  <c r="O1999" i="1"/>
  <c r="P1999" i="1"/>
  <c r="N2000" i="1"/>
  <c r="O2000" i="1"/>
  <c r="P2000" i="1"/>
  <c r="N2001" i="1"/>
  <c r="O2001" i="1"/>
  <c r="P2001" i="1"/>
  <c r="N2002" i="1"/>
  <c r="O2002" i="1"/>
  <c r="P2002" i="1"/>
  <c r="N2003" i="1"/>
  <c r="O2003" i="1"/>
  <c r="P2003" i="1"/>
  <c r="N2004" i="1"/>
  <c r="O2004" i="1"/>
  <c r="P2004" i="1"/>
  <c r="N2005" i="1"/>
  <c r="O2005" i="1"/>
  <c r="P2005" i="1"/>
  <c r="N2006" i="1"/>
  <c r="O2006" i="1"/>
  <c r="P2006" i="1"/>
  <c r="N2007" i="1"/>
  <c r="O2007" i="1"/>
  <c r="P2007" i="1"/>
  <c r="N2008" i="1"/>
  <c r="O2008" i="1"/>
  <c r="P2008" i="1"/>
  <c r="N2009" i="1"/>
  <c r="O2009" i="1"/>
  <c r="P2009" i="1"/>
  <c r="N2010" i="1"/>
  <c r="O2010" i="1"/>
  <c r="P2010" i="1"/>
  <c r="N2011" i="1"/>
  <c r="O2011" i="1"/>
  <c r="P2011" i="1"/>
  <c r="N2012" i="1"/>
  <c r="O2012" i="1"/>
  <c r="P2012" i="1"/>
  <c r="N2013" i="1"/>
  <c r="O2013" i="1"/>
  <c r="P2013" i="1"/>
  <c r="N2014" i="1"/>
  <c r="O2014" i="1"/>
  <c r="P2014" i="1"/>
  <c r="N2015" i="1"/>
  <c r="O2015" i="1"/>
  <c r="P2015" i="1"/>
  <c r="N2016" i="1"/>
  <c r="O2016" i="1"/>
  <c r="P2016" i="1"/>
  <c r="N2017" i="1"/>
  <c r="O2017" i="1"/>
  <c r="P2017" i="1"/>
  <c r="N2018" i="1"/>
  <c r="O2018" i="1"/>
  <c r="P2018" i="1"/>
  <c r="N2019" i="1"/>
  <c r="O2019" i="1"/>
  <c r="P2019" i="1"/>
  <c r="N2020" i="1"/>
  <c r="O2020" i="1"/>
  <c r="P2020" i="1"/>
  <c r="N2021" i="1"/>
  <c r="O2021" i="1"/>
  <c r="P2021" i="1"/>
  <c r="N2022" i="1"/>
  <c r="O2022" i="1"/>
  <c r="P2022" i="1"/>
  <c r="N2023" i="1"/>
  <c r="O2023" i="1"/>
  <c r="P2023" i="1"/>
  <c r="N2024" i="1"/>
  <c r="O2024" i="1"/>
  <c r="P2024" i="1"/>
  <c r="N2025" i="1"/>
  <c r="O2025" i="1"/>
  <c r="P2025" i="1"/>
  <c r="N2026" i="1"/>
  <c r="O2026" i="1"/>
  <c r="P2026" i="1"/>
  <c r="N2027" i="1"/>
  <c r="O2027" i="1"/>
  <c r="P2027" i="1"/>
  <c r="N2028" i="1"/>
  <c r="O2028" i="1"/>
  <c r="P2028" i="1"/>
  <c r="N2029" i="1"/>
  <c r="O2029" i="1"/>
  <c r="P2029" i="1"/>
  <c r="N2030" i="1"/>
  <c r="O2030" i="1"/>
  <c r="P2030" i="1"/>
  <c r="N2031" i="1"/>
  <c r="O2031" i="1"/>
  <c r="P2031" i="1"/>
  <c r="N2032" i="1"/>
  <c r="O2032" i="1"/>
  <c r="P2032" i="1"/>
  <c r="N2033" i="1"/>
  <c r="O2033" i="1"/>
  <c r="P2033" i="1"/>
  <c r="N2034" i="1"/>
  <c r="O2034" i="1"/>
  <c r="P2034" i="1"/>
  <c r="N2035" i="1"/>
  <c r="O2035" i="1"/>
  <c r="P2035" i="1"/>
  <c r="N2036" i="1"/>
  <c r="O2036" i="1"/>
  <c r="P2036" i="1"/>
  <c r="N2037" i="1"/>
  <c r="O2037" i="1"/>
  <c r="P2037" i="1"/>
  <c r="N2038" i="1"/>
  <c r="O2038" i="1"/>
  <c r="P2038" i="1"/>
  <c r="N2039" i="1"/>
  <c r="O2039" i="1"/>
  <c r="P2039" i="1"/>
  <c r="N2040" i="1"/>
  <c r="O2040" i="1"/>
  <c r="P2040" i="1"/>
  <c r="N2041" i="1"/>
  <c r="O2041" i="1"/>
  <c r="P2041" i="1"/>
  <c r="N2042" i="1"/>
  <c r="O2042" i="1"/>
  <c r="P2042" i="1"/>
  <c r="N2043" i="1"/>
  <c r="O2043" i="1"/>
  <c r="P2043" i="1"/>
  <c r="D7" i="3"/>
  <c r="B7" i="3"/>
  <c r="J7" i="3"/>
  <c r="G7" i="3"/>
  <c r="G8" i="3" l="1"/>
  <c r="G9" i="3" s="1"/>
  <c r="J8" i="3"/>
  <c r="J9" i="3" s="1"/>
  <c r="D8" i="3"/>
  <c r="D9"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0ECD99-ED6F-40A3-B198-9C9CB1D196B8}"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F76A1E2-B5E1-439C-A60B-8BB1DF597B2B}" name="WorksheetConnection_Proyecto Dashboard &amp; Análisis de Datos.xlsx!Tabla2" type="102" refreshedVersion="8" minRefreshableVersion="5">
    <extLst>
      <ext xmlns:x15="http://schemas.microsoft.com/office/spreadsheetml/2010/11/main" uri="{DE250136-89BD-433C-8126-D09CA5730AF9}">
        <x15:connection id="Tabla2" autoDelete="1">
          <x15:rangePr sourceName="_xlcn.WorksheetConnection_ProyectoDashboardAnálisisdeDatos.xlsxTabla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Tabla2].[Estado del curso].&amp;[Realizado]}"/>
    <s v="{[Tabla2].[Estado del curso].&amp;[Aprobado]}"/>
    <s v="{[Tabla2].[Estado del curso].&amp;[Cancelado]}"/>
    <s v="{[Tabla2].[Año de inicio].&amp;[2025]}"/>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<sst xmlns="http://schemas.openxmlformats.org/spreadsheetml/2006/main" count="18495" uniqueCount="889">
  <si>
    <t>Unidad de Gestión</t>
  </si>
  <si>
    <t>TTES-Transf. y Procesos</t>
  </si>
  <si>
    <t>SGE</t>
  </si>
  <si>
    <t>Producto CNS</t>
  </si>
  <si>
    <t>DIC</t>
  </si>
  <si>
    <t>Proyectos y Aplicaciones</t>
  </si>
  <si>
    <t>Ingeniería Air Def.</t>
  </si>
  <si>
    <t>Producción Gijón</t>
  </si>
  <si>
    <t>TTES-Operaciones Transit</t>
  </si>
  <si>
    <t>Transporte Ferroviario</t>
  </si>
  <si>
    <t>Entrega Soluciones CNS</t>
  </si>
  <si>
    <t>Servicios Comunes Trans</t>
  </si>
  <si>
    <t>ATM</t>
  </si>
  <si>
    <t>BPO</t>
  </si>
  <si>
    <t>Other solutions ATM</t>
  </si>
  <si>
    <t>Centro Produc. Aranjuez</t>
  </si>
  <si>
    <t>Producción-Supply Chain</t>
  </si>
  <si>
    <t>Administraciones Públicas</t>
  </si>
  <si>
    <t>Centro de Mantenimiento</t>
  </si>
  <si>
    <t>Servicios Financieros</t>
  </si>
  <si>
    <t>Gestión de Usuarios</t>
  </si>
  <si>
    <t>Auditoría Interna</t>
  </si>
  <si>
    <t>Medios de Pago</t>
  </si>
  <si>
    <t>Áreas de Producto</t>
  </si>
  <si>
    <t>Datos, Intelig. y Robots</t>
  </si>
  <si>
    <t>Desarrollo de Soluciones</t>
  </si>
  <si>
    <t>Ingeniería Naval</t>
  </si>
  <si>
    <t>Consultoría</t>
  </si>
  <si>
    <t>Centros Tecnológicos</t>
  </si>
  <si>
    <t>Centro Produc. Torrejón</t>
  </si>
  <si>
    <t>Transversalización</t>
  </si>
  <si>
    <t>Ciberseguridad</t>
  </si>
  <si>
    <t>iTEC &amp; Internal Solutions</t>
  </si>
  <si>
    <t>Programs / Ops ISS</t>
  </si>
  <si>
    <t>Space Engineering</t>
  </si>
  <si>
    <t>Compras D&amp;S</t>
  </si>
  <si>
    <t>Engineering ISS</t>
  </si>
  <si>
    <t>Engineering Sim</t>
  </si>
  <si>
    <t>BP International&amp;Mobility</t>
  </si>
  <si>
    <t>Energía</t>
  </si>
  <si>
    <t>CD Business Development</t>
  </si>
  <si>
    <t>Compras Mobility</t>
  </si>
  <si>
    <t>Cross Activities ATM</t>
  </si>
  <si>
    <t>Category Management</t>
  </si>
  <si>
    <t>Aeronautics and Maritime</t>
  </si>
  <si>
    <t>Industria y Consumo</t>
  </si>
  <si>
    <t>Sanidad</t>
  </si>
  <si>
    <t>Xtudio</t>
  </si>
  <si>
    <t>Proyectos CNS</t>
  </si>
  <si>
    <t>TA &amp; Internal Mobility</t>
  </si>
  <si>
    <t>Dirección de Calidad</t>
  </si>
  <si>
    <t>Programas Air Def.</t>
  </si>
  <si>
    <t>Gobierno SSII 360</t>
  </si>
  <si>
    <t>Procesos Electorales</t>
  </si>
  <si>
    <t>Ing. Procesos Prod/Prot</t>
  </si>
  <si>
    <t>TTES-Tecn.Comunic.y Prod</t>
  </si>
  <si>
    <t>TTES-Desarrollo Producto</t>
  </si>
  <si>
    <t>PRG NGWS/FCAS</t>
  </si>
  <si>
    <t>Compras TI y Alianzas</t>
  </si>
  <si>
    <t>Ciberdefensa</t>
  </si>
  <si>
    <t>Startical</t>
  </si>
  <si>
    <t>TTES-Operaciones Safety</t>
  </si>
  <si>
    <t>PROINTEC</t>
  </si>
  <si>
    <t>CP Guarnicioneros Córdoba</t>
  </si>
  <si>
    <t>Interno Empresa</t>
  </si>
  <si>
    <t>Control Mobility</t>
  </si>
  <si>
    <t>TTES-OperSist.Operacional</t>
  </si>
  <si>
    <t>Programas Land</t>
  </si>
  <si>
    <t>CD Programs Cyber + CCII</t>
  </si>
  <si>
    <t>Definition &amp; Validation</t>
  </si>
  <si>
    <t>ING Desarrollo y Producto</t>
  </si>
  <si>
    <t>TTES-Delivery Servicios</t>
  </si>
  <si>
    <t>Administración</t>
  </si>
  <si>
    <t>Training Services</t>
  </si>
  <si>
    <t>Linea de Negocio Land</t>
  </si>
  <si>
    <t>Telecom y Media</t>
  </si>
  <si>
    <t>Programas Naval</t>
  </si>
  <si>
    <t>ING Sist. Aeroespaciales</t>
  </si>
  <si>
    <t>Ingenieria Land</t>
  </si>
  <si>
    <t>TTES-Operaciones Tráfico</t>
  </si>
  <si>
    <t>Seguridad Corporativa</t>
  </si>
  <si>
    <t>Programa ENAIRE</t>
  </si>
  <si>
    <t>Desarrollo Negocio Air-D</t>
  </si>
  <si>
    <t>Ing. Proyecto W&amp;A</t>
  </si>
  <si>
    <t>Project Procurement</t>
  </si>
  <si>
    <t>Marketing Minsait</t>
  </si>
  <si>
    <t>Entry Level Simulation</t>
  </si>
  <si>
    <t>Governance Compras</t>
  </si>
  <si>
    <t>DN y Portfolio Air-Def</t>
  </si>
  <si>
    <t>CD Engineering</t>
  </si>
  <si>
    <t>SESAR</t>
  </si>
  <si>
    <t>Soporte Transversal CNS</t>
  </si>
  <si>
    <t>PRG Eurofighter</t>
  </si>
  <si>
    <t>IndraMind</t>
  </si>
  <si>
    <t>Oficina de Ofertas</t>
  </si>
  <si>
    <t>Control Ofertas</t>
  </si>
  <si>
    <t>Control ATM</t>
  </si>
  <si>
    <t>Ingeniería y Operación</t>
  </si>
  <si>
    <t>Estrategia y M&amp;A (CSO)</t>
  </si>
  <si>
    <t>Space Missions</t>
  </si>
  <si>
    <t>Centro de Innov. Tech.</t>
  </si>
  <si>
    <t>Supply Chain</t>
  </si>
  <si>
    <t>Organization &amp; Rewards</t>
  </si>
  <si>
    <t>Ases. Jurídica Mobility</t>
  </si>
  <si>
    <t>Plan Estratégico y SSGG</t>
  </si>
  <si>
    <t>Program Operations Sim</t>
  </si>
  <si>
    <t>Minsait</t>
  </si>
  <si>
    <t>Mercados Vertical Minsait</t>
  </si>
  <si>
    <t>Operaciones W&amp;A</t>
  </si>
  <si>
    <t>BP Minsait,Op Tech &amp; Mind</t>
  </si>
  <si>
    <t>Procurement Strategy</t>
  </si>
  <si>
    <t>Control Merc.TI y Minsait</t>
  </si>
  <si>
    <t>TTES - Oficina de Ofertas</t>
  </si>
  <si>
    <t>Tráfico e Infraestruct.</t>
  </si>
  <si>
    <t>Business Operations Air-D</t>
  </si>
  <si>
    <t>Relac. Institucionales</t>
  </si>
  <si>
    <t>Oficina Presidente</t>
  </si>
  <si>
    <t>Operaciones Tech.</t>
  </si>
  <si>
    <t>Indra Design Way</t>
  </si>
  <si>
    <t>Control Defensa&amp;Seguridad</t>
  </si>
  <si>
    <t>AJ Corporativa</t>
  </si>
  <si>
    <t>Compras Globales</t>
  </si>
  <si>
    <t>TTES-Mobility Bid Office</t>
  </si>
  <si>
    <t>Personnel Administration</t>
  </si>
  <si>
    <t>Gestión de Aplicaciones</t>
  </si>
  <si>
    <t>Funciones Corporativas</t>
  </si>
  <si>
    <t>Internacional</t>
  </si>
  <si>
    <t>Talent Development</t>
  </si>
  <si>
    <t>UK &amp; Baltic ATM</t>
  </si>
  <si>
    <t>Asesoría Jurídica Minsait</t>
  </si>
  <si>
    <t>Portfolio &amp; Gob. Innov.</t>
  </si>
  <si>
    <t>Nuevo Negocio Air-D</t>
  </si>
  <si>
    <t>OrienteMedio-Norte África</t>
  </si>
  <si>
    <t>Naval</t>
  </si>
  <si>
    <t>M&amp;A</t>
  </si>
  <si>
    <t>Gestión Rel. Negocios</t>
  </si>
  <si>
    <t>Soporte</t>
  </si>
  <si>
    <t>Juniors</t>
  </si>
  <si>
    <t>Técnicos</t>
  </si>
  <si>
    <t>Gestión</t>
  </si>
  <si>
    <t>Dirección</t>
  </si>
  <si>
    <t>Expertos</t>
  </si>
  <si>
    <t>Título de la formación</t>
  </si>
  <si>
    <t>Renovación PMI PMP (Project Management Professional) 2025</t>
  </si>
  <si>
    <t>Defensa Electrónica Electroóptica II</t>
  </si>
  <si>
    <t>Certificación Scrum PSM I</t>
  </si>
  <si>
    <t>Dirección de equipos y coaching</t>
  </si>
  <si>
    <t>Jumping skills - Parte I</t>
  </si>
  <si>
    <t>Examen ISTQB Software Testing Foundation</t>
  </si>
  <si>
    <t>Desarrollo de habilidades comerciales</t>
  </si>
  <si>
    <t>Design Thinking - Versión Extendida</t>
  </si>
  <si>
    <t>Gestión del trabajo y del estrés</t>
  </si>
  <si>
    <t>Examen DP-600: Implementar soluciones de análisis con Microsoft Fabric</t>
  </si>
  <si>
    <t>Certified Scrum Master</t>
  </si>
  <si>
    <t>Microfronts con Angular</t>
  </si>
  <si>
    <t>Estimar esfuerzo y coste proyectos nivel 1</t>
  </si>
  <si>
    <t>Introducción Metodologías Agile</t>
  </si>
  <si>
    <t>AWS Certified Solutions Architect - Professional</t>
  </si>
  <si>
    <t>One to One Inglés Pack parcial</t>
  </si>
  <si>
    <t>Teórico-práctico Lucha contra incendios</t>
  </si>
  <si>
    <t>Trabajos en Altura</t>
  </si>
  <si>
    <t>Smart Start: Resolución de problemas en entornos VUCA (eSports)</t>
  </si>
  <si>
    <t>certificación fhir examen</t>
  </si>
  <si>
    <t>Talent Camp - Habilidades</t>
  </si>
  <si>
    <t>Liderazgo 4.0 - Versión Extendida</t>
  </si>
  <si>
    <t>Cómo mejorar la productividad en tu equipo</t>
  </si>
  <si>
    <t>Los 7 Hábitos de las Personas Altamente Efectivas | Franklincovey</t>
  </si>
  <si>
    <t>Certificacion PMP (sólo examen)</t>
  </si>
  <si>
    <t>Bases y Claves de la Gestión de Proyectos</t>
  </si>
  <si>
    <t>ITIL 4 Fundamentos Formación</t>
  </si>
  <si>
    <t>Operador de carretilla de manutención hasta 10.000 kg según UNE 58451.Categoría I (tipo 1) y Categoría II (tipo 4)</t>
  </si>
  <si>
    <t>Curso avanzado de CHAT GPT y microsoft copilot para profesionales</t>
  </si>
  <si>
    <t>Jornadas de Auditoría Interna 2025 Modalidad Presencial</t>
  </si>
  <si>
    <t>Liderazgo y Gestión de Personas</t>
  </si>
  <si>
    <t>Certificación HCMBOK</t>
  </si>
  <si>
    <t>Angular 13</t>
  </si>
  <si>
    <t>DO180VT - Red Hat OpenShift Administration I: Operating a Production Cluster Virtual Training</t>
  </si>
  <si>
    <t>Power Bi</t>
  </si>
  <si>
    <t>Gestión del estrés y de la energía personal</t>
  </si>
  <si>
    <t>DP 203 - Azure Data Engineer Associate</t>
  </si>
  <si>
    <t>Jira Intermedio</t>
  </si>
  <si>
    <t>Troubleshooting de sistemas Linux.</t>
  </si>
  <si>
    <t>One to One Inglés Pack completo</t>
  </si>
  <si>
    <t>Google Cloud Fundamentals: Core Infrastructure</t>
  </si>
  <si>
    <t>DP-600: Implementar soluciones de análisis con Microsoft Fabric</t>
  </si>
  <si>
    <t>Kafka.</t>
  </si>
  <si>
    <t>Desempeño de funciones de nivel básico en PRL- Delegados de Prevención (50H)</t>
  </si>
  <si>
    <t>Realizado</t>
  </si>
  <si>
    <t>Cancelado</t>
  </si>
  <si>
    <t>Grupal Inglés Pack completo</t>
  </si>
  <si>
    <t>Embedded System Security for C/C++ Developers</t>
  </si>
  <si>
    <t>Máster Ejecutivo en Inteligencia Artificial</t>
  </si>
  <si>
    <t>ISTQB® Certified Tester Foundation Level 4.0 (CTFL)</t>
  </si>
  <si>
    <t>Desarrollo de Aplicaciones con .Net 8</t>
  </si>
  <si>
    <t>ECSE Design</t>
  </si>
  <si>
    <t>Operador de Plataformas Elevadoras Móviles de Personal UNE 58923</t>
  </si>
  <si>
    <t>Strong Ties</t>
  </si>
  <si>
    <t>AWS- Cloud Practitioner</t>
  </si>
  <si>
    <t>Scrum Master</t>
  </si>
  <si>
    <t>Curso + certificación: ITIL 4 Fundamentos</t>
  </si>
  <si>
    <t>Ekahau ECSE Design</t>
  </si>
  <si>
    <t>One to One Italiano_40 horas</t>
  </si>
  <si>
    <t>TR-01 La Norma ISO 31000 para la gestión del riesgo</t>
  </si>
  <si>
    <t>ITIL 4 Fundamentos Formación y certificación (examen)</t>
  </si>
  <si>
    <t>Virtual FHIR</t>
  </si>
  <si>
    <t>TC Java</t>
  </si>
  <si>
    <t>Tc c++</t>
  </si>
  <si>
    <t>Sesión Networking TC</t>
  </si>
  <si>
    <t>Curso Inicial de teoría radar</t>
  </si>
  <si>
    <t>Doors</t>
  </si>
  <si>
    <t>Nivel básico de prevención en construcción</t>
  </si>
  <si>
    <t>Certificación Cegid Peoplenet tecniaRH 202503</t>
  </si>
  <si>
    <t>Riesgo Eléctrico Telco</t>
  </si>
  <si>
    <t>Power automate</t>
  </si>
  <si>
    <t>Extreme Switching - Advanced Configuration and Troubleshooting</t>
  </si>
  <si>
    <t>Extreme Switching - Installation and Configuration and Management</t>
  </si>
  <si>
    <t>Extreme Cloud IQ Controller - Installation and Configuration</t>
  </si>
  <si>
    <t>Extreme Cloud IQ Controller - Advanced Configuration</t>
  </si>
  <si>
    <t>Linux Avanzado</t>
  </si>
  <si>
    <t>Subsistemas Estructurales del Ferrocarril</t>
  </si>
  <si>
    <t>Actualización diseño espacio aéreo y vuelo</t>
  </si>
  <si>
    <t>Extreme Fabric Installation and Configuration</t>
  </si>
  <si>
    <t>EMI/EMC en Diseños Electrónicos</t>
  </si>
  <si>
    <t>Riesgo eléctrico, alta y baja tensión: riesgos y medidas preventivas RD 614/2001 (6h)</t>
  </si>
  <si>
    <t>Public speaking</t>
  </si>
  <si>
    <t>Public Speaking</t>
  </si>
  <si>
    <t>Team Management</t>
  </si>
  <si>
    <t>Prince2 nivel Fundamentos Formación y certificación</t>
  </si>
  <si>
    <t>Jumping - Engineering yourself</t>
  </si>
  <si>
    <t>QlikView. Sense.</t>
  </si>
  <si>
    <t>DO378 - Red Hat Cloud-native Microservices Development with Quarkus Classroom Training</t>
  </si>
  <si>
    <t>Operador de Carretillas de Manutención Norma UNE 58451</t>
  </si>
  <si>
    <t>Productividad y Gestión del Tiempo</t>
  </si>
  <si>
    <t>Elevate your Sales: Nivel Experto</t>
  </si>
  <si>
    <t>ADA Extendido</t>
  </si>
  <si>
    <t>Monográfico sobre Práctica Societaria. Derecho de Sociedades Mercantiles</t>
  </si>
  <si>
    <t>TC Introducción a Habilidades</t>
  </si>
  <si>
    <t>Indracode</t>
  </si>
  <si>
    <t>TC Habilidades</t>
  </si>
  <si>
    <t>Mercancías peligrosas</t>
  </si>
  <si>
    <t>Smart Start: Abriendo puertas para tu próximo destino</t>
  </si>
  <si>
    <t>Examen AWS Certified DevOps Engineer - Professional</t>
  </si>
  <si>
    <t>Comunicación - Crear presentaciones influyentes</t>
  </si>
  <si>
    <t>Operador de Carretillas de Manutención Norma UNE 58451 Tipo 4</t>
  </si>
  <si>
    <t>SoC-Adv: Sistemas Empotrados en AMD-Xilinx con MPSoC y Zynq: Advanced Embedded</t>
  </si>
  <si>
    <t>Employer branding y comunicación</t>
  </si>
  <si>
    <t>AZ-900 Azure Fundamentals</t>
  </si>
  <si>
    <t>SC-900-Security, Compliance, and Identity Fundamentals</t>
  </si>
  <si>
    <t>Renovación clases Inglés - 44 h</t>
  </si>
  <si>
    <t>Storytelling - Versión Extendida</t>
  </si>
  <si>
    <t>Instrucción técnica - responsable técnico</t>
  </si>
  <si>
    <t>Formación y certificación IPC-A- 610 CIS</t>
  </si>
  <si>
    <t>Herramientas básicas de LEAN</t>
  </si>
  <si>
    <t>Análisis de causa raíz</t>
  </si>
  <si>
    <t>Norma ISO 19011</t>
  </si>
  <si>
    <t>Implantación de un sistema de gestión de la innovación según ISO 56001</t>
  </si>
  <si>
    <t>Auditorías de sistemas de gestión de la innovación según ISO 56001 (Curso I-05)</t>
  </si>
  <si>
    <t>Normativa europea de uas de alto nivel</t>
  </si>
  <si>
    <t>Master en Data Strategy y Analytics</t>
  </si>
  <si>
    <t>One to One Inglés Pack parcial (48h)</t>
  </si>
  <si>
    <t>Apple Deployment and Management</t>
  </si>
  <si>
    <t>Desarrollo aplicaciones con Spring</t>
  </si>
  <si>
    <t>Gestión de proyectos y Certificacion PMP</t>
  </si>
  <si>
    <t>Trabajos en Espacios Confinados</t>
  </si>
  <si>
    <t>TRABAJOS EN CALIENTE: Riesgos y medidas preventivas</t>
  </si>
  <si>
    <t>Radiaciones Ionizantes: Riesgos y medidas preventivas</t>
  </si>
  <si>
    <t>Nivel básico de prevención en la construcción</t>
  </si>
  <si>
    <t>Radiaciones No Ionizantes: Riesgos y medidas preventivas</t>
  </si>
  <si>
    <t>Seguridad Vial: Riesgos y medidas preventivas</t>
  </si>
  <si>
    <t>Docker, Kubernetes y Microservicios</t>
  </si>
  <si>
    <t>Linux LPIC-1: Linux Administrator</t>
  </si>
  <si>
    <t>Hablar en público - Versión Express</t>
  </si>
  <si>
    <t>Jumping - Tolerancia a la presión</t>
  </si>
  <si>
    <t>Grupal inglés pack parcial</t>
  </si>
  <si>
    <t>Certified Scrum Master: curso preparación + examen</t>
  </si>
  <si>
    <t>Programa preparación examen certificación Project Management Professional (PMP)®</t>
  </si>
  <si>
    <t>Programa de Especialización Valoración de Empresas</t>
  </si>
  <si>
    <t>AZ 104 - Azure Administrator Associate</t>
  </si>
  <si>
    <t>AZ 400 - DEVOPS Engineer Expert</t>
  </si>
  <si>
    <t>PL-200T00: Microsoft Power Platform Functional Consultant</t>
  </si>
  <si>
    <t>Beliquid online: Adaptación al cambio</t>
  </si>
  <si>
    <t>Jumping skills - Parte II</t>
  </si>
  <si>
    <t>SI-05 Lead Auditor en sistemas de gestión de privacidad de la información según ISO 27701:2022</t>
  </si>
  <si>
    <t>Introducción a GIT</t>
  </si>
  <si>
    <t>Técnico de Campo Norma AIS 1/2023</t>
  </si>
  <si>
    <t>Técnico Homologado Norma AIS 1/2023</t>
  </si>
  <si>
    <t>DP 900 - Azure Data Fundamentals</t>
  </si>
  <si>
    <t>PL-900T00: Microsoft Power Platform Fundamentals</t>
  </si>
  <si>
    <t>I-99 de AENOR: Técnicas vigilancia e inteligencia estratégica para Organizaciones Innovadoras</t>
  </si>
  <si>
    <t>PostgreSQL. Lenguaje SQL.</t>
  </si>
  <si>
    <t>Certificación Integración de Infraestructura SealPath</t>
  </si>
  <si>
    <t>Luna HSM Professional Engineer</t>
  </si>
  <si>
    <t>SI-10 LEAD AUDITOR EN SISTEMAS DE GESTIÓN DE CONTINUIDAD EN EL NEGOCIO ISO 22301:2019</t>
  </si>
  <si>
    <t>Análisis de Problemas y Toma de Decisiones</t>
  </si>
  <si>
    <t>Inbound recruiting 3</t>
  </si>
  <si>
    <t>Inbound recruiting 5</t>
  </si>
  <si>
    <t>Inbound recruiting 4</t>
  </si>
  <si>
    <t>Smart Start: Introducción a metodologías Agile</t>
  </si>
  <si>
    <t>Check Point Certified Security Administrator (CCSA) R81.20</t>
  </si>
  <si>
    <t>AWS Technical Essentials</t>
  </si>
  <si>
    <t>PMI - PMP Exam Prep Course + Garantía IT Institute + Simulador de exámenes RMC</t>
  </si>
  <si>
    <t>CrowdStrike Certified Falcon Hunter (CCFH)</t>
  </si>
  <si>
    <t>CrowdStrike Certified Falcon Responder (CCFR)</t>
  </si>
  <si>
    <t>Articulate 360</t>
  </si>
  <si>
    <t>Coaching individual</t>
  </si>
  <si>
    <t>Green Software. Desarrollo software sostenible - Sesión Inicial</t>
  </si>
  <si>
    <t>ESPACIOS CONFINADOS TELCO 1</t>
  </si>
  <si>
    <t>Seguridad Vial en el entorno laboral</t>
  </si>
  <si>
    <t>Genesys Cloud CX (Beyond) training program</t>
  </si>
  <si>
    <t>Productos Químicos: Riesgos y medidas preventivas</t>
  </si>
  <si>
    <t>One to One Francés Pack parcial</t>
  </si>
  <si>
    <t>Liderazgo 4.0 - Líder en acción</t>
  </si>
  <si>
    <t>Lean Six Sigma Green Belt</t>
  </si>
  <si>
    <t>Control de Versiones con GitLab</t>
  </si>
  <si>
    <t>MD-102T00 : Microsoft 365 Endpoint Administrator</t>
  </si>
  <si>
    <t>PL-400 - Microsoft Power Platform Developer</t>
  </si>
  <si>
    <t>PL-300 Microsoft Certified: Power BI Data Analyst Associate</t>
  </si>
  <si>
    <t>Introduction to Data Engineering on Google Cloud</t>
  </si>
  <si>
    <t>SAP SD (Sales and Distribution) – Módulo de Ventas y Distribución (1)</t>
  </si>
  <si>
    <t>SAP FI (Financial Accounting) – Módulo de Gestión Financiera (1)</t>
  </si>
  <si>
    <t>CSAM – IAITAM – Certified Software Asset Manager</t>
  </si>
  <si>
    <t>Implantación de un sistema de gestión de seguridad de la información (SGSI) según ISO 27001:2023</t>
  </si>
  <si>
    <t>AZ 204 - Azure Developer Associate</t>
  </si>
  <si>
    <t>IA para profesionales de Ciberseguridad y Privacidad ISMS Forum</t>
  </si>
  <si>
    <t>Auditor Interno de Sistemas de Gestión de Seguridad de la Información ISO 27001:2022</t>
  </si>
  <si>
    <t>Gestión del cambio</t>
  </si>
  <si>
    <t>Mentoring - Parte I: iniciación para mentores</t>
  </si>
  <si>
    <t>Lead auditor en sistemas de gestión de seguridad de la información (sgsi) según iso 27001</t>
  </si>
  <si>
    <t>Curso GIT</t>
  </si>
  <si>
    <t>MS 900 - Microsoft 365 Certified: Fundamentals</t>
  </si>
  <si>
    <t>Data Engineering on Google Cloud Platform</t>
  </si>
  <si>
    <t>Associate cloud engineer getting started with google kubernetes engine</t>
  </si>
  <si>
    <t>Architecting with Google Compute Engine</t>
  </si>
  <si>
    <t>Riesgo eléctrico telco (reciclaje)</t>
  </si>
  <si>
    <t>PRL para trabajos de construcción, reparación y mantenimiento naval en astilleros y muelles. Parte especifica.</t>
  </si>
  <si>
    <t>OFFSITE Madrid</t>
  </si>
  <si>
    <t>Renovación Trabajos en Altura. Telco I.</t>
  </si>
  <si>
    <t>Estimar esfuerzo y coste proyectos nivel 2</t>
  </si>
  <si>
    <t>AI-102T00: Designing and Implementing a Microsoft Azure AI Solution</t>
  </si>
  <si>
    <t>MS 700 -Microsoft 365 Teams Administrator Associate</t>
  </si>
  <si>
    <t>Cisco Certified Network Associate (CCNA) + 200-301: Cisco Certified Network Associate (CCNA)</t>
  </si>
  <si>
    <t>Professional cloud architect design and process</t>
  </si>
  <si>
    <t>MB-230T01: Microsoft Dynamics 365 Customer Service</t>
  </si>
  <si>
    <t>Hábitos saludables</t>
  </si>
  <si>
    <t>Desarrollo de la automotivación y gestión de las emociones</t>
  </si>
  <si>
    <t>GTD (Gestión del Tiempo), Proactividad y Procrastinación</t>
  </si>
  <si>
    <t>Track Comunicación</t>
  </si>
  <si>
    <t>Preparación a medida - Professional Cloud Architect</t>
  </si>
  <si>
    <t>Introduction to AI and Machine Learning on Google Cloud</t>
  </si>
  <si>
    <t>Google Cloud Digital Leader</t>
  </si>
  <si>
    <t>Prevención de incendios y normas de actuación ante emergencias</t>
  </si>
  <si>
    <t>Examen AWS Certified Solutions Architect - Professional</t>
  </si>
  <si>
    <t>Examen AWS Certified Machine Learning - Specialty</t>
  </si>
  <si>
    <t>Inteligencia Artificial, Machine Learning y Deep Learning</t>
  </si>
  <si>
    <t>Cómo estructurar un informe</t>
  </si>
  <si>
    <t>Comunicación persuasiva</t>
  </si>
  <si>
    <t>Desarrollo de competencias de comunicación escrita</t>
  </si>
  <si>
    <t>Dirección de equipos presenciales y virtuales</t>
  </si>
  <si>
    <t>Gestión positiva de conflictos</t>
  </si>
  <si>
    <t>Orientación a resultados y fijación de objetivos</t>
  </si>
  <si>
    <t>Prevención blanqueo capitales y Financiación del Terrorismo (actual.)</t>
  </si>
  <si>
    <t>Trabajo en equipo</t>
  </si>
  <si>
    <t>Introducción al análisis de estados financieros</t>
  </si>
  <si>
    <t>GESTIÓN Y MOTIVACIÓN DE EQUIPOS EN REMOTO</t>
  </si>
  <si>
    <t>AI 900 - Azure AI Fundamentals</t>
  </si>
  <si>
    <t>Archivo y Clasificación de Documentos</t>
  </si>
  <si>
    <t>Herramientas para la optimización del tiempo a nivel individual</t>
  </si>
  <si>
    <t>Herramientas para la optimización del tiempo en equipos de trabajo</t>
  </si>
  <si>
    <t>Planificación y organización</t>
  </si>
  <si>
    <t>DP-700 Microsoft Fabric Data Engineer</t>
  </si>
  <si>
    <t>PL-600T00: Microsoft Power Platform Solution Architect</t>
  </si>
  <si>
    <t>Programación reactiva en JAVA</t>
  </si>
  <si>
    <t>Repaso + Certificación ITIL 4 Fundamentos</t>
  </si>
  <si>
    <t>Preparación examen certificación Associate Cloud Engineer</t>
  </si>
  <si>
    <t>Atex - Atmósferas Explosivas: Riesgos y medidas preventivas</t>
  </si>
  <si>
    <t>Conectar para liderar: estrategias de influencia y marca en alta dirección</t>
  </si>
  <si>
    <t>CCSP – Certified Cloud Security Professional</t>
  </si>
  <si>
    <t>La Fiscalidad en las operaciones inmobiliarias</t>
  </si>
  <si>
    <t>Introducción a la inteligencia artificial</t>
  </si>
  <si>
    <t>Técnicas para afrontar la atención telefónica con el cliente</t>
  </si>
  <si>
    <t>Examen AWS Certified Advanced Networking - Specialty</t>
  </si>
  <si>
    <t>Comunicación 4.0</t>
  </si>
  <si>
    <t>Diseño de Pieza con Solid Edge</t>
  </si>
  <si>
    <t>Management of Risk (MoR) Practitioner</t>
  </si>
  <si>
    <t>Programas de mantenimiento programado MSG3</t>
  </si>
  <si>
    <t>AZ-305: Designing Microsoft Azure Infrastructure Solutions</t>
  </si>
  <si>
    <t>DP 100 - Azure Data Scientist Associate</t>
  </si>
  <si>
    <t>Track datos para diseñar</t>
  </si>
  <si>
    <t>Examen de re-certificación IPC J-STD-001 CIT</t>
  </si>
  <si>
    <t>Primeros auxilios</t>
  </si>
  <si>
    <t>Zabbix Certified Professional (ZCP)</t>
  </si>
  <si>
    <t>Zabbix Certified Specialist (ZCS)</t>
  </si>
  <si>
    <t>RH415VT - Red Hat Security: Linux in Physical, Virtual, and Cloud Virtual Training</t>
  </si>
  <si>
    <t>React</t>
  </si>
  <si>
    <t>Macros con Excel</t>
  </si>
  <si>
    <t>PL-500 Microsoft Power Automate RPA Developer</t>
  </si>
  <si>
    <t>Professional Cloud Developer - Developing Applications with Google Cloud Platform</t>
  </si>
  <si>
    <t>Preparación examen certificación Professional Machine Learning Engineer</t>
  </si>
  <si>
    <t>Preparing for the Professional Data Engineer Examination</t>
  </si>
  <si>
    <t>CCISO – Certified Chief Information Security Officer</t>
  </si>
  <si>
    <t>Teambuilding Auditoría</t>
  </si>
  <si>
    <t>ANÁLISIS DE DATOS CON EXCEL: POWER QUERY, POWER PIVOT Y POWER BI</t>
  </si>
  <si>
    <t>AZ-140T00: Configuring and Operating Microsoft Azure Virtual Desktop</t>
  </si>
  <si>
    <t>MB-910T00: Microsoft Dynamics 365 Fundamentals (CRM)</t>
  </si>
  <si>
    <t>MB-280: Microsoft Certified: Dynamics 365 Customer Experience Analyst Associate</t>
  </si>
  <si>
    <t>DevOps Engineering on AWS</t>
  </si>
  <si>
    <t>Developing Generative AI Applications on AWS</t>
  </si>
  <si>
    <t>Preparación a examen certificación Professional Cloud Developer</t>
  </si>
  <si>
    <t>Análisis contable y financiero</t>
  </si>
  <si>
    <t>Inteligencia Artificial para la Ingeniería Aeroespacial</t>
  </si>
  <si>
    <t>JAVA-Springboot</t>
  </si>
  <si>
    <t>Conferencias Beyond Skills</t>
  </si>
  <si>
    <t>Inteligencia Artificial responsable. Implantación de ISO 42001</t>
  </si>
  <si>
    <t>Defensa Electrónica Comunicaciones II</t>
  </si>
  <si>
    <t>Curso para ingeniero de ensayos en vuelo Nivel de Competencia 2 según Parte 21</t>
  </si>
  <si>
    <t>Architecting on AWS</t>
  </si>
  <si>
    <t>Como convertir el feedback en desarrollo profesional</t>
  </si>
  <si>
    <t>Tablas Dinámicas</t>
  </si>
  <si>
    <t>Formación de acceso a la distribución de seguros nivel 3</t>
  </si>
  <si>
    <t>Inglés (Nivel A1 A C2)</t>
  </si>
  <si>
    <t>Fuel Tank Safety FASE 1 Nivel 1-FTS</t>
  </si>
  <si>
    <t>EWIS, sistemas de interconexión del cableado eléctrico grupo 1&amp;2</t>
  </si>
  <si>
    <t>2V0-21.23: VMware vSphere 8.x Professional</t>
  </si>
  <si>
    <t>Business Intelligence con Excel: Power BI</t>
  </si>
  <si>
    <t>Contabilidad General</t>
  </si>
  <si>
    <t>MDM Intune</t>
  </si>
  <si>
    <t>USU Software Asset Management Partner Bootcamp</t>
  </si>
  <si>
    <t>Oratoria en acción: El arte de hablar en público</t>
  </si>
  <si>
    <t>Conversaciones de valor, conversaciones difíciles</t>
  </si>
  <si>
    <t>Habilidades directivas</t>
  </si>
  <si>
    <t>Técnicas comerciales</t>
  </si>
  <si>
    <t>Storytelling - Data</t>
  </si>
  <si>
    <t>Prevención de riesgos laborales en espacios confinados</t>
  </si>
  <si>
    <t>OPERADORES DE CARRETILLAS DE MANUTENCIÓN HASTA 10.000 KG (CATEGORIA 1: Tipo 1, Tipo 3 CATEGORÍA 2: Tipo 6)</t>
  </si>
  <si>
    <t>Business Intelligence con Power BI Desktop, Service y Mobile</t>
  </si>
  <si>
    <t>GIT Avanzado</t>
  </si>
  <si>
    <t>Microservicios con Java y Spring Boot</t>
  </si>
  <si>
    <t>Forescout Certified Associate (FSCA)</t>
  </si>
  <si>
    <t>FALCON 200: Falcon Platform for administrators (Crowdstrike)</t>
  </si>
  <si>
    <t>Auditoría Continua</t>
  </si>
  <si>
    <t>Programa Acreditación COSO CI</t>
  </si>
  <si>
    <t>Cisco Certified Network Associate Fast Track (CCNA)</t>
  </si>
  <si>
    <t>Excelencia en la Atención al Cliente</t>
  </si>
  <si>
    <t>Trabajos en altura</t>
  </si>
  <si>
    <t>Operador de Puente Grúa &amp; Polipastos</t>
  </si>
  <si>
    <t>Implementing and Operating Cisco Security Core Technologies</t>
  </si>
  <si>
    <t>Liderazgo 360</t>
  </si>
  <si>
    <t>Comunicación Efectiva y Asertividad</t>
  </si>
  <si>
    <t>Auto Gestión Emocional Eficaz</t>
  </si>
  <si>
    <t>Jira Fundamentals</t>
  </si>
  <si>
    <t>C.14 Trabajos de instalación, mantenimiento y reparación de equipos informáticos, automatismos, ordenadores y sus periféricos; equipos y tecnologías de telecomunicaciones y de la información, redes de información y datos (TICS)</t>
  </si>
  <si>
    <t>Resolución de Problemas</t>
  </si>
  <si>
    <t>Resiliencia y serenidad ante la incertidumbre- Aikido Mindset</t>
  </si>
  <si>
    <t>Analítica descriptiva y Analítica Predictiva</t>
  </si>
  <si>
    <t>Ansible</t>
  </si>
  <si>
    <t>Introducción y fundamentos de inteligencia artificial y Aprendizaje Automático</t>
  </si>
  <si>
    <t>Optimización del rendimiento de aplicaciones Java</t>
  </si>
  <si>
    <t>Administración automatizada avanzada con Windows PowerShell</t>
  </si>
  <si>
    <t>Administración de Sistemas Red Hat Enterprise Linux 8 y 9. Nivel Avanzado.</t>
  </si>
  <si>
    <t>Innovación y disrupción en IA</t>
  </si>
  <si>
    <t>Inteligencia artificial generativa</t>
  </si>
  <si>
    <t>Principios de ingeniería de prompts</t>
  </si>
  <si>
    <t>Data Science, Deep Learning and Machine Learning with Python</t>
  </si>
  <si>
    <t>Herramientas y plataformas para el desarrollo de IA</t>
  </si>
  <si>
    <t>Programación Java</t>
  </si>
  <si>
    <t>API Testing. Postman y SoapUI.</t>
  </si>
  <si>
    <t>Optimización del rendimiento de aplicaciones Java.</t>
  </si>
  <si>
    <t>Control de versiones con GitLab</t>
  </si>
  <si>
    <t>Introducción a Ciberseguridad</t>
  </si>
  <si>
    <t>Oracle. SQL Avanzado</t>
  </si>
  <si>
    <t>Introducción a la inteligencia artificial con Python</t>
  </si>
  <si>
    <t>Conversaciones constructivas</t>
  </si>
  <si>
    <t>Adaptación al cambio</t>
  </si>
  <si>
    <t>Trabajo en Equipo</t>
  </si>
  <si>
    <t>Productividad</t>
  </si>
  <si>
    <t>6 Prácticas Críticas para Liderar Equipos</t>
  </si>
  <si>
    <t>Liderazgo Ágil en la Gestión de Equipos</t>
  </si>
  <si>
    <t>Organiza Ideas con Mapas Mentales</t>
  </si>
  <si>
    <t>Toma de Decisiones</t>
  </si>
  <si>
    <t>Gestión del Cambio: Growth Mindset</t>
  </si>
  <si>
    <t>Feedback Efectivo y Constructivo</t>
  </si>
  <si>
    <t>Análisis de datos con MS Power BI</t>
  </si>
  <si>
    <t>Certified Ethical Hacker (CEH)</t>
  </si>
  <si>
    <t>Grupo Avanzado Inglés</t>
  </si>
  <si>
    <t>Grupo nivel Medio – Medio/Avanzado Inglés</t>
  </si>
  <si>
    <t>Grupo nivel Medio – Medio/Bajo Inglés</t>
  </si>
  <si>
    <t>Clase individual inglés</t>
  </si>
  <si>
    <t>Operador de plataformas moviles de personal. Según UNE 58923. Categorias 1A , 1B, 3A, 3B</t>
  </si>
  <si>
    <t>TR-T0109 Visum 4-Step Model</t>
  </si>
  <si>
    <t>Esquema Nacional de Seguridad. Conceptos, implantación, evaluación y auditoría (S-29)</t>
  </si>
  <si>
    <t>Refrescamiento en Diseño de Procedimientos por Instrumentos</t>
  </si>
  <si>
    <t>ITIL4 Fundamentos Formación y certificación (Elearning)</t>
  </si>
  <si>
    <t>Lenguaje Inclusivo</t>
  </si>
  <si>
    <t>Formación en igualdad de género y conciliación</t>
  </si>
  <si>
    <t>Confluence Fundamentals</t>
  </si>
  <si>
    <t>Normativa PERAM-66 – Licencias de Mantenimiento de Aeronaves Militares</t>
  </si>
  <si>
    <t>METAL: OFICIO- Trabajos de mecánica, mantenimiento y reparación de máquinas, equipos industriales y/o equipos electromecánicos (industria aeroespacial, etc.).</t>
  </si>
  <si>
    <t>METAL: OFICIO- "C.25 - TRABAJOS DE CONTROL DE CALIDAD, VERIFICACIÓN E INSPECCIÓN DE MATERIAS EN CURSO DE FABRICACIÓN Y EN PRODUCTOS TERMINADOS DEL SECTOR "</t>
  </si>
  <si>
    <t>Simulador de Examen PMP - 12 meses</t>
  </si>
  <si>
    <t>CERTIFICADO ASG - UE</t>
  </si>
  <si>
    <t>Jornadas de Auditoría Interna 2025 Modalidad Virtual</t>
  </si>
  <si>
    <t>Certificacion Professional Scrum Product Owner I</t>
  </si>
  <si>
    <t>Experto en consultoría y dirección inmobiliaria</t>
  </si>
  <si>
    <t>Micro soldadura electronica smd y conectores tht</t>
  </si>
  <si>
    <t>Fundamentos y Desarrollo de Microservicios</t>
  </si>
  <si>
    <t>Refresco Factores Humanos</t>
  </si>
  <si>
    <t>Iniciación al Project Management</t>
  </si>
  <si>
    <t>Curso de Patrones de Diseño y Principios Solidos</t>
  </si>
  <si>
    <t>ITIL4 MSF (Monitor Support and Fulfil) Elearning</t>
  </si>
  <si>
    <t>Fundamentos de comunicación y fidelización con el cliente</t>
  </si>
  <si>
    <t>FinOps Certified Practitioner course + Exam</t>
  </si>
  <si>
    <t>SAFe® Scrum Master</t>
  </si>
  <si>
    <t>Hipotecario: Ley de contrato de crédito inmobiliario</t>
  </si>
  <si>
    <t>Ecodiseño y Circularidad</t>
  </si>
  <si>
    <t>Green Software. Desarrollo software sostenible - Sesión Dudas (opcional)</t>
  </si>
  <si>
    <t>Trabajos de electricidad, montaje y mantenimiento de instalaciones eléctricas de alta y baja tensión</t>
  </si>
  <si>
    <t>Ciberseguridad digital en entornos de misión crítica</t>
  </si>
  <si>
    <t>Usabilidad y accesibilidad Web</t>
  </si>
  <si>
    <t>Arquitectura de Microservicios Avanzada</t>
  </si>
  <si>
    <t>Docker y Contenedores</t>
  </si>
  <si>
    <t>Fundamentos UNIX/LINUX</t>
  </si>
  <si>
    <t>Bash Scripting</t>
  </si>
  <si>
    <t>Jenkins</t>
  </si>
  <si>
    <t>Fundamentos desarrollo Java con Spring Framework.</t>
  </si>
  <si>
    <t>Spring Avanzado</t>
  </si>
  <si>
    <t>M-34 Huella de Carbono y su neutralidad. Gestión del Carbono</t>
  </si>
  <si>
    <t>Microservicios con .NET</t>
  </si>
  <si>
    <t>Gestión de Proyectos Cloud</t>
  </si>
  <si>
    <t>Generative AI Essentials on AWS</t>
  </si>
  <si>
    <t>Ecodiseño Software (Green Software. Desarrollo software sostenible) - parte online</t>
  </si>
  <si>
    <t>Gestión de equipos y liderazgo</t>
  </si>
  <si>
    <t>Protección de Datos: Reglamento Europeo de Protección de Datos y Actualización LOPDGDD</t>
  </si>
  <si>
    <t>Ciberseguridad Esencial y Ciberterrorismo</t>
  </si>
  <si>
    <t>Captura y gestión de Requisitos en proyectos IT</t>
  </si>
  <si>
    <t>Atención telefónica (Call Center) - Riesgos y medidas preventivas</t>
  </si>
  <si>
    <t>Emergencias y Primeros Auxilios</t>
  </si>
  <si>
    <t>Gestión de riesgos en Proyectos IT</t>
  </si>
  <si>
    <t>PRL PARA RESPONSABLES DE OBRA Y TECNICOS DE EJECUCION EN EMPRESAS DE CONSTRUCCION</t>
  </si>
  <si>
    <t>Diseña tu propio Plan Individual de Desarrollo (PID)</t>
  </si>
  <si>
    <t>Programa de Asesor Hipotecario (LCCI)</t>
  </si>
  <si>
    <t>C.12 - Trabajos de mecánica, mantenimiento y reparación de máquinas, equipos industriales y/o equipos electromecánicos (industria aeroespacial, etc.)</t>
  </si>
  <si>
    <t>Trabajos en espacios confinados</t>
  </si>
  <si>
    <t>Linux LPIC-2: Linux Engineer</t>
  </si>
  <si>
    <t>Microservicios en la Nube (AWS, Azure, GCP)</t>
  </si>
  <si>
    <t>Kubernetes y Orquestación</t>
  </si>
  <si>
    <t>Lenguaje JavaScript</t>
  </si>
  <si>
    <t>Introducción metodología Agile</t>
  </si>
  <si>
    <t>Análisis de Datos con el Stack ELK: Elasticsearch, Logstash y Kibana</t>
  </si>
  <si>
    <t>Comunicación Total. Pensar, escribir y hablar</t>
  </si>
  <si>
    <t>Automatización Eficiente con Macros y VBA</t>
  </si>
  <si>
    <t>Atención a las reclamaciones</t>
  </si>
  <si>
    <t>ChatGPT aplicado a Microsoft 365</t>
  </si>
  <si>
    <t>ChatGPT, Gemini, Copilot y otras herramientas de IA</t>
  </si>
  <si>
    <t>Ciberseguridad para usuarios</t>
  </si>
  <si>
    <t>Escucha activa, empatía y asertividad</t>
  </si>
  <si>
    <t>Gestión Eficaz del Tiempo y Gestión del estrés y de la energía personal</t>
  </si>
  <si>
    <t>Habilidades sociales: comunicación, inteligencia emocional y trabajo en equipo</t>
  </si>
  <si>
    <t>MB-820 Dynamics 365 Business Central Developer</t>
  </si>
  <si>
    <t>Ciencia e ingeniería de grandes conjuntos de datos (Big Data) para IA</t>
  </si>
  <si>
    <t>Normativa integral en materia de Protección de datos personales</t>
  </si>
  <si>
    <t>Novedades RD 11/2018 Prevención de Blanqueo de Capitales y Financiación del Terrorismo</t>
  </si>
  <si>
    <t>Teletrabajo, habitos correctos</t>
  </si>
  <si>
    <t>Java TDD Patrones y Buenas Prácticas</t>
  </si>
  <si>
    <t>Auto-conocimiento</t>
  </si>
  <si>
    <t>Hardening básico de Infraestructuras Windows</t>
  </si>
  <si>
    <t>Recertificación por Challenge Test IPC-A-610 CIS</t>
  </si>
  <si>
    <t>Curso Especializado en Tributación Mínima Societaria en España (Pilar 2 - Directiva 2022/2523) | CEF</t>
  </si>
  <si>
    <t>Azure AI Engineer Associate</t>
  </si>
  <si>
    <t>Git, Github y Gitlab</t>
  </si>
  <si>
    <t>Enterprise Architect avanzado</t>
  </si>
  <si>
    <t>Jira Avanzado</t>
  </si>
  <si>
    <t>Introducción práctica a Docker y Kubernetes</t>
  </si>
  <si>
    <t>Storytelling</t>
  </si>
  <si>
    <t>PRL PARA TRABAJOS DE MONTAJE Y MANTENIMIENTO DE INSTALACIONES ELÉCTRICAS DE ALTA Y BAJA TENSIÓN. PARTE ESPECIFICA.</t>
  </si>
  <si>
    <t>Gestión de proyectos complejos. Impacto complejidad</t>
  </si>
  <si>
    <t>DevOps Fundamentals: curso preparación</t>
  </si>
  <si>
    <t>Resolución de problemas en entornos VUCA (eSports)</t>
  </si>
  <si>
    <t>Helm</t>
  </si>
  <si>
    <t>Programación Shell Script.</t>
  </si>
  <si>
    <t>UX/UI para desarrolladores</t>
  </si>
  <si>
    <t>Oracle. Optimización de aplicaciones con Oracle</t>
  </si>
  <si>
    <t>Oracle. Lenguaje PL/SQL.</t>
  </si>
  <si>
    <t>Spring Batch</t>
  </si>
  <si>
    <t>Openshift para Desarrolladores</t>
  </si>
  <si>
    <t>Tuning Java</t>
  </si>
  <si>
    <t>Hacking ético de Sistemas</t>
  </si>
  <si>
    <t>Testing Automation - Selenium, Cucumber</t>
  </si>
  <si>
    <t>ITIL® 4 Fundamentos</t>
  </si>
  <si>
    <t>Feedback Sistémico</t>
  </si>
  <si>
    <t>Liferay Application Developer</t>
  </si>
  <si>
    <t>Zabbix</t>
  </si>
  <si>
    <t>Getting Started with Google Kubernetes Engine</t>
  </si>
  <si>
    <t>Productividad y gestión del tiempo</t>
  </si>
  <si>
    <t>Certification Exam Attempt Voucher - PARTNER</t>
  </si>
  <si>
    <t>Señalización en carreteras</t>
  </si>
  <si>
    <t>Curso de especialización en protección contra incendios en data centers y centros de procesamiento de datos (CPD)</t>
  </si>
  <si>
    <t>Migración a VSCode y Uso de Github Copilot para Desarrolladores Java</t>
  </si>
  <si>
    <t>Jira Reporting and Dashboards</t>
  </si>
  <si>
    <t>Atención y gestión telefónica</t>
  </si>
  <si>
    <t>Atención presencial, telefónica y por internet al cliente</t>
  </si>
  <si>
    <t>Principios y Prácticas de las Metodologías Ágiles</t>
  </si>
  <si>
    <t>Contabilidad financiera</t>
  </si>
  <si>
    <t>Project management: gestión integrada de proyectos</t>
  </si>
  <si>
    <t>Cómo desarrollar la habilidad de comunicar y tener relaciones interpersonales efectivas</t>
  </si>
  <si>
    <t>Gestión emocional y habilidades clave a nivel profesional</t>
  </si>
  <si>
    <t>Comunicación de Alto Impacto</t>
  </si>
  <si>
    <t>Hardening avanzado de Infraestructuras Windows</t>
  </si>
  <si>
    <t>Q-34 Norma PECAL 2110</t>
  </si>
  <si>
    <t>Master en Data Analystics</t>
  </si>
  <si>
    <t>Gestion del Tiempo</t>
  </si>
  <si>
    <t>Desarrollo web y microservicios Spring y Spring Boot</t>
  </si>
  <si>
    <t>Gobierno de API’s. (API Owner)</t>
  </si>
  <si>
    <t>La voz de los Jefes de Proyecto</t>
  </si>
  <si>
    <t>LQUIDOS PENETRANTES NIVEL 2</t>
  </si>
  <si>
    <t>Introducción a Microservicios, despliegue y automatización</t>
  </si>
  <si>
    <t>Actualización a Java 21</t>
  </si>
  <si>
    <t>Reglamento de Aeronavegabilidad de la Defensa_RAD</t>
  </si>
  <si>
    <t>RH124 - Red Hat System Administration I Classroom Training</t>
  </si>
  <si>
    <t>DO188 - Red Hat OpenShift Development I: Introduction to Containers with Podman Classroom Training</t>
  </si>
  <si>
    <t>SonarQube</t>
  </si>
  <si>
    <t>Gestión de Stakeholder de Proyectos</t>
  </si>
  <si>
    <t>Spring Boot - Data JP</t>
  </si>
  <si>
    <t>Igualdad y Prevención del Acoso</t>
  </si>
  <si>
    <t>Mentoring y Liderazgo- FTM</t>
  </si>
  <si>
    <t>Hacking ético web</t>
  </si>
  <si>
    <t>Curso Avanzado de Preparación del Examen de Certificación de CESCOM</t>
  </si>
  <si>
    <t>Formador de Formadores</t>
  </si>
  <si>
    <t>Voucher Project Management Professional (PMP)®</t>
  </si>
  <si>
    <t>Developing on AWS</t>
  </si>
  <si>
    <t>Ofimática Avanzada</t>
  </si>
  <si>
    <t>Prince2 Agile Foundation Formación y certificación</t>
  </si>
  <si>
    <t>Dockers Fundamentals</t>
  </si>
  <si>
    <t>Liderazgo humanista en la era Digital</t>
  </si>
  <si>
    <t>Comunicación Estratégica</t>
  </si>
  <si>
    <t>PROSCI - ADKAR</t>
  </si>
  <si>
    <t>SAP Business Data Cloud workshops for partners</t>
  </si>
  <si>
    <t>Formacion ZEU UX Automoción</t>
  </si>
  <si>
    <t>Planificación de proyectos(camino crítico, optimización tareas, recursos…)</t>
  </si>
  <si>
    <t>DevOps Fundamentals: curso preparación + examen</t>
  </si>
  <si>
    <t>Curso para desempeño de funciones de Nivel Básico en PRL- Delegados de Prevención (50H)</t>
  </si>
  <si>
    <t>Fortigate Administrator</t>
  </si>
  <si>
    <t>Microfronts con React</t>
  </si>
  <si>
    <t>Reporting con Jasper Reports Library y Jaspersoft Studio</t>
  </si>
  <si>
    <t>Certificate of the Business Continuity Institute (CBCI)</t>
  </si>
  <si>
    <t>Nuevas tecnologías en redes de comunicación</t>
  </si>
  <si>
    <t>Novedades Spring 6, Spring Boot 3 y migración</t>
  </si>
  <si>
    <t>Oracle. Ajuste de la base de datos Oracle</t>
  </si>
  <si>
    <t>Itera</t>
  </si>
  <si>
    <t>OPENFIVE S.L.</t>
  </si>
  <si>
    <t>Doulos</t>
  </si>
  <si>
    <t>Instituto de Inteligencia Artificial S.L.</t>
  </si>
  <si>
    <t>Avante Formación</t>
  </si>
  <si>
    <t>Cas Training</t>
  </si>
  <si>
    <t>Open Reality Ltd</t>
  </si>
  <si>
    <t>Loxam Hune</t>
  </si>
  <si>
    <t>Fernando Aparicio</t>
  </si>
  <si>
    <t>AYSCOM CELULAR DE SERVICIOS, S.L.</t>
  </si>
  <si>
    <t>Aenor</t>
  </si>
  <si>
    <t>Learning Xpert</t>
  </si>
  <si>
    <t>Asociación HL7 SPAIN</t>
  </si>
  <si>
    <t>Loyal Infinity</t>
  </si>
  <si>
    <t>Actitud Creativa</t>
  </si>
  <si>
    <t>Universidad Politécnica de Madrid</t>
  </si>
  <si>
    <t>Universidad de Alcalá de Henares</t>
  </si>
  <si>
    <t>LIFESKILLS</t>
  </si>
  <si>
    <t>Fundación Laboral de la Construcción</t>
  </si>
  <si>
    <t>CEGID SPAIN S.A.U.</t>
  </si>
  <si>
    <t>VITALY HEALTH SERVICES, S.L</t>
  </si>
  <si>
    <t>Westcon (Westcon Group European Operations Limited S.e.e.)</t>
  </si>
  <si>
    <t>Ideados Formación</t>
  </si>
  <si>
    <t>CETREN FORMACION S.L.U</t>
  </si>
  <si>
    <t>FUNDACIÓN GENERAL DE LA UNIVERSIDAD POLITÉCNICA DE MADRIID</t>
  </si>
  <si>
    <t>Electratraining</t>
  </si>
  <si>
    <t>TREETOPS</t>
  </si>
  <si>
    <t>Abantis</t>
  </si>
  <si>
    <t>Imantia Desarrollo Directivo S.L</t>
  </si>
  <si>
    <t>Rebel Talent</t>
  </si>
  <si>
    <t>Marinva</t>
  </si>
  <si>
    <t>Cle Formación</t>
  </si>
  <si>
    <t>Psicosoft Esports, S.L</t>
  </si>
  <si>
    <t>ESTUDIOS FINANCIEROS VIRIATO, S.L.</t>
  </si>
  <si>
    <t>3 weeks Consulting, S.L.</t>
  </si>
  <si>
    <t>Gestión Plus</t>
  </si>
  <si>
    <t>Fundación de la Universidad Autónoma de Madrid (FUAM)</t>
  </si>
  <si>
    <t>INBOUND TG SLU</t>
  </si>
  <si>
    <t>Interlinco Formación, S.L.</t>
  </si>
  <si>
    <t>CEFF</t>
  </si>
  <si>
    <t>Consultrónica</t>
  </si>
  <si>
    <t>Asociación Española para la Calidad</t>
  </si>
  <si>
    <t>AENOR CONOCIMIENTO S.L.U</t>
  </si>
  <si>
    <t>Senasa</t>
  </si>
  <si>
    <t>MIOTI Tech &amp; Business School</t>
  </si>
  <si>
    <t>TD SYNNEX Spain,S.L.UNIP</t>
  </si>
  <si>
    <t>Espacio Docente SL</t>
  </si>
  <si>
    <t>RANDSTAD CONSULTORES Y SOLUCIONES DE RRHH SLU</t>
  </si>
  <si>
    <t>Icono Training Consulting</t>
  </si>
  <si>
    <t>UNE Consultores</t>
  </si>
  <si>
    <t>IEB</t>
  </si>
  <si>
    <t>IFD</t>
  </si>
  <si>
    <t>Instituto y Observatorio de Gestión del Cambio en Positivo</t>
  </si>
  <si>
    <t>Fundación Para la Accesibilidad y Responsabilidad Social</t>
  </si>
  <si>
    <t>AENOR CONOCIMIENTO S.L.U.</t>
  </si>
  <si>
    <t>Ingecom</t>
  </si>
  <si>
    <t>Global Knowledge Network Spain SLU</t>
  </si>
  <si>
    <t>Actua Gestión del Conocimiento S.L</t>
  </si>
  <si>
    <t>BUSINESS TRAINING SOLUTIONS, S.L.</t>
  </si>
  <si>
    <t>Fundación EOI, F.S.P</t>
  </si>
  <si>
    <t>GENESYS CLOUD SERVICES B.V.</t>
  </si>
  <si>
    <t>Bureau Veritas Formación</t>
  </si>
  <si>
    <t>TECNOFOR TRAINING, SLU</t>
  </si>
  <si>
    <t>ASOCIACION ESPAÑOLA PARA EL FOMENTODE SEGURIDAD DE INFORMACION ISMS Forum Spain</t>
  </si>
  <si>
    <t>Bureau Veritas</t>
  </si>
  <si>
    <t>Prosci Iberia and Latam</t>
  </si>
  <si>
    <t>Alquimia Evoluciona</t>
  </si>
  <si>
    <t>CEGOS</t>
  </si>
  <si>
    <t>FEMXA FORMACION S.L.U.</t>
  </si>
  <si>
    <t>NAVE NODRIZA</t>
  </si>
  <si>
    <t>PMI</t>
  </si>
  <si>
    <t>Quirón Prevención</t>
  </si>
  <si>
    <t>ICEA</t>
  </si>
  <si>
    <t>Formadores IT</t>
  </si>
  <si>
    <t>dignitae formación, s.a.u.</t>
  </si>
  <si>
    <t>CEF</t>
  </si>
  <si>
    <t>HL7 Spain</t>
  </si>
  <si>
    <t>PRISMACIM EFFORT, S.L.</t>
  </si>
  <si>
    <t>Global Knowledge</t>
  </si>
  <si>
    <t>CONSULTRONICA</t>
  </si>
  <si>
    <t>Consultronica</t>
  </si>
  <si>
    <t>ALLENTA CONSULTING, S.L.</t>
  </si>
  <si>
    <t>Cas training</t>
  </si>
  <si>
    <t>M2I</t>
  </si>
  <si>
    <t>Thinking Heads</t>
  </si>
  <si>
    <t>AENOR</t>
  </si>
  <si>
    <t>Universidad de Cantabria</t>
  </si>
  <si>
    <t>UNIVERSIDAD POLITECNICA DE MADRID</t>
  </si>
  <si>
    <t>LOGALIA SL</t>
  </si>
  <si>
    <t>SENASA</t>
  </si>
  <si>
    <t>Ibertech</t>
  </si>
  <si>
    <t>USU GmbH</t>
  </si>
  <si>
    <t>Instituto de Auditores Internos de España</t>
  </si>
  <si>
    <t>Creativity Certification Progam S.L.</t>
  </si>
  <si>
    <t>BCSM</t>
  </si>
  <si>
    <t>ALEX OSMAN AGENCY</t>
  </si>
  <si>
    <t>PTV GROUP</t>
  </si>
  <si>
    <t>FLIGHT7</t>
  </si>
  <si>
    <t>Global Equitas</t>
  </si>
  <si>
    <t>Asoc.Instituto de Auditores Interno</t>
  </si>
  <si>
    <t>Asociación Instituto de Auditores Internos</t>
  </si>
  <si>
    <t>FUNDACION ESCUELA DE LA EDIFICACION</t>
  </si>
  <si>
    <t>CURSOS AUDIOVISUALES VNQ</t>
  </si>
  <si>
    <t>Business Training Solutions S.L.</t>
  </si>
  <si>
    <t>ADR Formación (ADR Infor S.L.)</t>
  </si>
  <si>
    <t>GALARIS</t>
  </si>
  <si>
    <t>Escuela de Comunicación de Unidad Editorial</t>
  </si>
  <si>
    <t>Securizame</t>
  </si>
  <si>
    <t>CENTRO EST.FINANCIEROS, S.L.</t>
  </si>
  <si>
    <t>The Valley</t>
  </si>
  <si>
    <t>EOI Escuela de Organización Industrial</t>
  </si>
  <si>
    <t>Liferay SLU</t>
  </si>
  <si>
    <t>APPIAN SOFTWARE INTERNATIONAL INC</t>
  </si>
  <si>
    <t>ESSIIF FORMACION S.L</t>
  </si>
  <si>
    <t>ESSIIF FORMACION S. L</t>
  </si>
  <si>
    <t>Formación Online Big Data S.L</t>
  </si>
  <si>
    <t>AEND</t>
  </si>
  <si>
    <t>MERS RSE S.L.</t>
  </si>
  <si>
    <t>ESTUDIOS FINANCIEROS VIRIATO, S.L</t>
  </si>
  <si>
    <t>Grupo Carac</t>
  </si>
  <si>
    <t>LOGALIA</t>
  </si>
  <si>
    <t>Maider</t>
  </si>
  <si>
    <t>SAP</t>
  </si>
  <si>
    <t>LLORENTE &amp; CUENCA MADRID, S.L.</t>
  </si>
  <si>
    <t>Arrow Education</t>
  </si>
  <si>
    <t>The Business Continuity Institute (BCI)</t>
  </si>
  <si>
    <t>Aprobado</t>
  </si>
  <si>
    <t>CERTIFICACIONES</t>
  </si>
  <si>
    <t>IDIOMAS</t>
  </si>
  <si>
    <t>TÉCNICA</t>
  </si>
  <si>
    <t>PRL</t>
  </si>
  <si>
    <t>FUNCIONAL</t>
  </si>
  <si>
    <t>HABILIDADES</t>
  </si>
  <si>
    <t>CULTURA</t>
  </si>
  <si>
    <t>País</t>
  </si>
  <si>
    <t>India</t>
  </si>
  <si>
    <t>España</t>
  </si>
  <si>
    <t>Noruega</t>
  </si>
  <si>
    <t>Perú</t>
  </si>
  <si>
    <t>Brasil</t>
  </si>
  <si>
    <t>Filipinas</t>
  </si>
  <si>
    <t>Chile</t>
  </si>
  <si>
    <t>México</t>
  </si>
  <si>
    <t>Arabia Saudí</t>
  </si>
  <si>
    <t>Italia</t>
  </si>
  <si>
    <t>Indonesia</t>
  </si>
  <si>
    <t>Argelia</t>
  </si>
  <si>
    <t>Kenia</t>
  </si>
  <si>
    <t>Malasia</t>
  </si>
  <si>
    <t>Baréin</t>
  </si>
  <si>
    <t>Portugal</t>
  </si>
  <si>
    <t>Eslovaquia</t>
  </si>
  <si>
    <t>Panamá</t>
  </si>
  <si>
    <t>Colombia</t>
  </si>
  <si>
    <t>EE.UU.</t>
  </si>
  <si>
    <t>Rep.Dominicana</t>
  </si>
  <si>
    <t>Argentina</t>
  </si>
  <si>
    <t>Reino Unido</t>
  </si>
  <si>
    <t>Uruguay</t>
  </si>
  <si>
    <t>Australia</t>
  </si>
  <si>
    <t>Omán</t>
  </si>
  <si>
    <t>Alemania</t>
  </si>
  <si>
    <t>E.A.U.</t>
  </si>
  <si>
    <t>Rumanía</t>
  </si>
  <si>
    <t>Ecuador</t>
  </si>
  <si>
    <t>Marruecos</t>
  </si>
  <si>
    <t>ID profesional</t>
  </si>
  <si>
    <t>Puesto</t>
  </si>
  <si>
    <t>Proveedor de la formación</t>
  </si>
  <si>
    <t>Estado del curso</t>
  </si>
  <si>
    <t>Fecha de inicio</t>
  </si>
  <si>
    <t>Fecha de fin</t>
  </si>
  <si>
    <t>Coste del curso</t>
  </si>
  <si>
    <t>Tipo de formación</t>
  </si>
  <si>
    <t>Género</t>
  </si>
  <si>
    <t>Edad</t>
  </si>
  <si>
    <t>Hombre</t>
  </si>
  <si>
    <t>Mujer</t>
  </si>
  <si>
    <t>Trimestre de inicio</t>
  </si>
  <si>
    <t>Año de inicio</t>
  </si>
  <si>
    <t>Mes de inicio</t>
  </si>
  <si>
    <t>31-50 años</t>
  </si>
  <si>
    <t>51-65 años</t>
  </si>
  <si>
    <t>20-30 años</t>
  </si>
  <si>
    <t>Recuento de Título de la formación</t>
  </si>
  <si>
    <t>Número total de cursos ofrecidos</t>
  </si>
  <si>
    <t>2025</t>
  </si>
  <si>
    <t>cursos realizados por mes de inicio en el 2025</t>
  </si>
  <si>
    <t>Etiquetas de fila</t>
  </si>
  <si>
    <t>ene</t>
  </si>
  <si>
    <t>feb</t>
  </si>
  <si>
    <t>mar</t>
  </si>
  <si>
    <t>abr</t>
  </si>
  <si>
    <t>may</t>
  </si>
  <si>
    <t>jun</t>
  </si>
  <si>
    <t>jul</t>
  </si>
  <si>
    <t>ago</t>
  </si>
  <si>
    <t>sep</t>
  </si>
  <si>
    <t>oct</t>
  </si>
  <si>
    <t>nov</t>
  </si>
  <si>
    <t>top ten de los cursos realizados en el 2025</t>
  </si>
  <si>
    <t>Nº de veces hecho el curso</t>
  </si>
  <si>
    <t>Título del curso</t>
  </si>
  <si>
    <t>Promedio de Coste del curso</t>
  </si>
  <si>
    <t>top ten proveedores</t>
  </si>
  <si>
    <t>Descripción del proyecto</t>
  </si>
  <si>
    <t>Análisis Estratégico de la Formación Empresarial</t>
  </si>
  <si>
    <t>Este proyecto realiza un análisis exploratorio (EDA) y estratégico de los datos de formación (L&amp;D) de la organización, que comprende más de 2000 cursos impartidos.</t>
  </si>
  <si>
    <t>Se utilizaron técnicas de análisis de datos tabulares y agregación de métricas (como tasas de finalización, coste promedio) para generar insights accionables sobre, por ejemplo, efectividad: ¿qué proveedores de formación tienen mayor tasa de éxito?</t>
  </si>
  <si>
    <r>
      <t xml:space="preserve">El </t>
    </r>
    <r>
      <rPr>
        <b/>
        <sz val="11"/>
        <color theme="1"/>
        <rFont val="ForFuture Sans"/>
        <family val="2"/>
      </rPr>
      <t>objetivo</t>
    </r>
    <r>
      <rPr>
        <sz val="10"/>
        <color theme="1"/>
        <rFont val="ForFuture Sans"/>
        <family val="2"/>
      </rPr>
      <t xml:space="preserve"> principal es identificar patrones de inversión, distribución de la formación y efectividad de los programas (medida por el Estado del curso) para optimizar la estrategia futura de capacitación.</t>
    </r>
  </si>
  <si>
    <t>Estructura del Proyecto</t>
  </si>
  <si>
    <t>Pestaña</t>
  </si>
  <si>
    <t>Descripción</t>
  </si>
  <si>
    <t>Readme</t>
  </si>
  <si>
    <t>Base de datos</t>
  </si>
  <si>
    <t>TD</t>
  </si>
  <si>
    <t>Dashboard</t>
  </si>
  <si>
    <t>documento de descripción del proyecto.</t>
  </si>
  <si>
    <t>Contiene los gráficos y los insights clave generados para el informe</t>
  </si>
  <si>
    <t>base de datos limpia, el análisis exploratorio y gráficos</t>
  </si>
  <si>
    <t>archivos de datos originales</t>
  </si>
  <si>
    <t>Instalación y Requisitos</t>
  </si>
  <si>
    <t>Este proyecto está basado en el análisis de datos estructurados creado por la IA</t>
  </si>
  <si>
    <t>Resultados y Conclusiones</t>
  </si>
  <si>
    <t>El análisis del estado de los cursos es la métrica principal de eficiencia del programa, destacando un alto grado de compromiso profesional:</t>
  </si>
  <si>
    <t>El análisis por tiempo y por título permite dirigir los esfuerzos de inversión y recursos:</t>
  </si>
  <si>
    <t>Picos de Actividad Anual (2025): Se observa una marcada estacionalidad. La actividad se concentra en la segunda mitad del año, siendo Septiembre y Octubre los meses con la mayor cantidad de cursos realizados (401 cada uno), mientras que Agosto representa el punto más bajo (11 cursos).</t>
  </si>
  <si>
    <t>Top Cursos Estratégicos: El dashboard identifica inmediatamente los cursos de mayor demanda, como la formación en "CHAT GPT y Microsoft Copilot" y "Resolución de problemas en entornos VUCA", siendo los más realizados (38 y 36 veces, respectivamente).</t>
  </si>
  <si>
    <t>Las métricas del dashboard son esenciales para la gestión financiera y de partners:</t>
  </si>
  <si>
    <t>Concentración de Proveedores: El volumen de cursos está altamente concentrado en pocos partners. Cas Training se posiciona como el proveedor líder, con 204 cursos realizados. Esta información es crucial para evaluar la dependencia y negociar futuras tarifas y contratos.</t>
  </si>
  <si>
    <t>Alto Éxito de Finalización: A nivel global, la inmensa mayoría de los cursos terminan en estado "Realizado" o "Aprobado"</t>
  </si>
  <si>
    <t>Eficiencia Operativa: De los 2042 cursos totales, solo el 1.6% fueron "Cancelados", lo que subraya una excelente planificación y seguimiento de las inscripciones.</t>
  </si>
  <si>
    <t>Costo Promedio de la Formación: Al visualizar el costo promedio por curso, se puede ver la inversión por área. Por ejemplo, la formación en "Smart Start: Resolución de problemas en entornos VUCA" se destaca por tener uno de los costos promedio más altos, lo cual debe contrastarse con su alta demanda.</t>
  </si>
  <si>
    <t>Próximos Pasos</t>
  </si>
  <si>
    <t>Integración de Dimensiones: Refinar el análisis de los resultados del dashboard mediante la integración de variables clave de la base de datos que aún no están en la vista principal, como la segmentación por Unidad de Gestión, Puesto y Edad de los profesionales.</t>
  </si>
  <si>
    <t>Análisis de Series Temporales: Extender el análisis de la estacionalidad (Mes de inicio) a varios años para identificar tendencias a largo plazo en la demanda de formación.</t>
  </si>
  <si>
    <t>Contribuciones</t>
  </si>
  <si>
    <t>Este proyecto está abierto a la colaboración para mejorar el análisis y la calidad del código.</t>
  </si>
  <si>
    <t>Autora</t>
  </si>
  <si>
    <t>María Quirós</t>
  </si>
  <si>
    <t>Agradecimientos</t>
  </si>
  <si>
    <t>Al Máster de Data &amp; Analytics por la guía y la estructura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</si>
</sst>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0.00\ &quot;€&quot;;[Red]\-#,##0.00\ &quot;€&quot;"/>
    <numFmt numFmtId="164" formatCode="#,##0.00\ &quot;€&quot;"/>
  </numFmts>
  <fonts count="6" x14ac:knownFonts="1">
    <font>
      <sz val="11"/>
      <color theme="1"/>
      <name val="Aptos Narrow"/>
      <family val="2"/>
      <scheme val="minor"/>
    </font>
    <font>
      <sz val="11"/>
      <color theme="1"/>
      <name val="ForFuture Sans"/>
      <family val="2"/>
    </font>
    <font>
      <sz val="11"/>
      <color theme="1"/>
      <name val="Aptos Narrow"/>
      <family val="2"/>
      <scheme val="minor"/>
    </font>
    <font>
      <b/>
      <sz val="11"/>
      <color theme="1"/>
      <name val="ForFuture Sans"/>
      <family val="2"/>
    </font>
    <font>
      <sz val="10"/>
      <color theme="1"/>
      <name val="ForFuture Sans"/>
      <family val="2"/>
    </font>
    <font>
      <b/>
      <sz val="14"/>
      <color theme="1"/>
      <name val="ForFuture Sans"/>
      <family val="2"/>
    </font>
  </fonts>
  <fills count="3">
    <fill>
      <patternFill patternType="none"/>
    </fill>
    <fill>
      <patternFill patternType="gray125"/>
    </fill>
    <fill>
      <patternFill patternType="solid">
        <fgColor rgb="FFE3E2DA"/>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14" fontId="0" fillId="0" borderId="0" xfId="0" applyNumberFormat="1"/>
    <xf numFmtId="8" fontId="0" fillId="0" borderId="0" xfId="0" applyNumberFormat="1"/>
    <xf numFmtId="0" fontId="0" fillId="0" borderId="0" xfId="0" pivotButton="1"/>
    <xf numFmtId="0" fontId="0" fillId="0" borderId="0" xfId="0" applyNumberFormat="1"/>
    <xf numFmtId="0" fontId="1" fillId="0" borderId="0" xfId="0" applyFont="1"/>
    <xf numFmtId="0" fontId="1" fillId="2" borderId="0" xfId="0" applyFont="1" applyFill="1"/>
    <xf numFmtId="3" fontId="0" fillId="0" borderId="0" xfId="0" applyNumberFormat="1"/>
    <xf numFmtId="0" fontId="0" fillId="0" borderId="0" xfId="0" applyAlignment="1">
      <alignment horizontal="left"/>
    </xf>
    <xf numFmtId="164" fontId="0" fillId="0" borderId="0" xfId="0" applyNumberFormat="1"/>
    <xf numFmtId="10" fontId="0" fillId="0" borderId="0" xfId="1" applyNumberFormat="1" applyFont="1"/>
    <xf numFmtId="10" fontId="0" fillId="0" borderId="0" xfId="0" applyNumberFormat="1"/>
    <xf numFmtId="0" fontId="3" fillId="0" borderId="0" xfId="0" applyFont="1"/>
    <xf numFmtId="0" fontId="4" fillId="0" borderId="0" xfId="0" applyFont="1"/>
    <xf numFmtId="0" fontId="5" fillId="0" borderId="0" xfId="0" applyFont="1"/>
  </cellXfs>
  <cellStyles count="2">
    <cellStyle name="Normal" xfId="0" builtinId="0"/>
    <cellStyle name="Porcentaje" xfId="1" builtinId="5"/>
  </cellStyles>
  <dxfs count="5">
    <dxf>
      <numFmt numFmtId="164" formatCode="#,##0.00\ &quot;€&quot;"/>
    </dxf>
    <dxf>
      <numFmt numFmtId="12" formatCode="#,##0.00\ &quot;€&quot;;[Red]\-#,##0.00\ &quot;€&quot;"/>
    </dxf>
    <dxf>
      <numFmt numFmtId="19" formatCode="dd/mm/yyyy"/>
    </dxf>
    <dxf>
      <numFmt numFmtId="19" formatCode="dd/mm/yyyy"/>
    </dxf>
    <dxf>
      <fill>
        <patternFill patternType="none">
          <bgColor auto="1"/>
        </patternFill>
      </fill>
    </dxf>
  </dxfs>
  <tableStyles count="1" defaultTableStyle="TableStyleMedium2" defaultPivotStyle="PivotStyleLight16">
    <tableStyle name="Estilo de segmentación de datos 1" pivot="0" table="0" count="1" xr9:uid="{CF5022E6-C138-4D45-9D25-C0F5518CBAD6}">
      <tableStyleElement type="wholeTable" dxfId="4"/>
    </tableStyle>
  </tableStyles>
  <colors>
    <mruColors>
      <color rgb="FFAAAA9F"/>
      <color rgb="FFEBEBE9"/>
      <color rgb="FFEBEAE5"/>
      <color rgb="FFE3E2DA"/>
      <color rgb="FF004254"/>
      <color rgb="FFD9F7FF"/>
      <color rgb="FF002532"/>
      <color rgb="FF646459"/>
    </mruColors>
  </colors>
  <extLst>
    <ext xmlns:x14="http://schemas.microsoft.com/office/spreadsheetml/2009/9/main" uri="{EB79DEF2-80B8-43e5-95BD-54CBDDF9020C}">
      <x14:slicerStyles defaultSlicerStyle="SlicerStyleLight1">
        <x14:slicerStyle name="Estilo de segmentación de datos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 Análisis de cursos de formación.xlsx]TD!ventas por mes</c:name>
    <c:fmtId val="13"/>
  </c:pivotSource>
  <c:chart>
    <c:autoTitleDeleted val="1"/>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E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rgbClr val="002532"/>
                  </a:solidFill>
                  <a:latin typeface="ForFuture Sans" panose="020B0504020203020204" pitchFamily="34" charset="0"/>
                  <a:ea typeface="+mn-ea"/>
                  <a:cs typeface="+mn-cs"/>
                </a:defRPr>
              </a:pPr>
              <a:endParaRPr lang="es-E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TD!$C$15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anchor="ctr" anchorCtr="1"/>
              <a:lstStyle/>
              <a:p>
                <a:pPr>
                  <a:defRPr sz="1200" b="0" i="0" u="none" strike="noStrike" kern="1200" baseline="0">
                    <a:solidFill>
                      <a:srgbClr val="002532"/>
                    </a:solidFill>
                    <a:latin typeface="ForFuture Sans" panose="020B0504020203020204" pitchFamily="34" charset="0"/>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TD!$B$16:$B$26</c:f>
              <c:strCache>
                <c:ptCount val="11"/>
                <c:pt idx="0">
                  <c:v>ene</c:v>
                </c:pt>
                <c:pt idx="1">
                  <c:v>feb</c:v>
                </c:pt>
                <c:pt idx="2">
                  <c:v>mar</c:v>
                </c:pt>
                <c:pt idx="3">
                  <c:v>abr</c:v>
                </c:pt>
                <c:pt idx="4">
                  <c:v>may</c:v>
                </c:pt>
                <c:pt idx="5">
                  <c:v>jun</c:v>
                </c:pt>
                <c:pt idx="6">
                  <c:v>jul</c:v>
                </c:pt>
                <c:pt idx="7">
                  <c:v>ago</c:v>
                </c:pt>
                <c:pt idx="8">
                  <c:v>sep</c:v>
                </c:pt>
                <c:pt idx="9">
                  <c:v>oct</c:v>
                </c:pt>
                <c:pt idx="10">
                  <c:v>nov</c:v>
                </c:pt>
              </c:strCache>
            </c:strRef>
          </c:cat>
          <c:val>
            <c:numRef>
              <c:f>TD!$C$16:$C$26</c:f>
              <c:numCache>
                <c:formatCode>General</c:formatCode>
                <c:ptCount val="11"/>
                <c:pt idx="0">
                  <c:v>38</c:v>
                </c:pt>
                <c:pt idx="1">
                  <c:v>40</c:v>
                </c:pt>
                <c:pt idx="2">
                  <c:v>116</c:v>
                </c:pt>
                <c:pt idx="3">
                  <c:v>158</c:v>
                </c:pt>
                <c:pt idx="4">
                  <c:v>157</c:v>
                </c:pt>
                <c:pt idx="5">
                  <c:v>184</c:v>
                </c:pt>
                <c:pt idx="6">
                  <c:v>217</c:v>
                </c:pt>
                <c:pt idx="7">
                  <c:v>11</c:v>
                </c:pt>
                <c:pt idx="8">
                  <c:v>401</c:v>
                </c:pt>
                <c:pt idx="9">
                  <c:v>401</c:v>
                </c:pt>
                <c:pt idx="10">
                  <c:v>52</c:v>
                </c:pt>
              </c:numCache>
            </c:numRef>
          </c:val>
          <c:smooth val="0"/>
          <c:extLst>
            <c:ext xmlns:c16="http://schemas.microsoft.com/office/drawing/2014/chart" uri="{C3380CC4-5D6E-409C-BE32-E72D297353CC}">
              <c16:uniqueId val="{00000000-385B-437F-B17E-533671489177}"/>
            </c:ext>
          </c:extLst>
        </c:ser>
        <c:dLbls>
          <c:dLblPos val="t"/>
          <c:showLegendKey val="0"/>
          <c:showVal val="1"/>
          <c:showCatName val="0"/>
          <c:showSerName val="0"/>
          <c:showPercent val="0"/>
          <c:showBubbleSize val="0"/>
        </c:dLbls>
        <c:marker val="1"/>
        <c:smooth val="0"/>
        <c:axId val="4216896"/>
        <c:axId val="4220256"/>
      </c:lineChart>
      <c:catAx>
        <c:axId val="4216896"/>
        <c:scaling>
          <c:orientation val="minMax"/>
        </c:scaling>
        <c:delete val="1"/>
        <c:axPos val="b"/>
        <c:numFmt formatCode="General" sourceLinked="1"/>
        <c:majorTickMark val="none"/>
        <c:minorTickMark val="none"/>
        <c:tickLblPos val="nextTo"/>
        <c:crossAx val="4220256"/>
        <c:crosses val="autoZero"/>
        <c:auto val="1"/>
        <c:lblAlgn val="ctr"/>
        <c:lblOffset val="100"/>
        <c:noMultiLvlLbl val="0"/>
      </c:catAx>
      <c:valAx>
        <c:axId val="4220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21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002532"/>
          </a:solidFill>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 Análisis de cursos de formación.xlsx]TD!TablaDinámica4</c:name>
    <c:fmtId val="1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002532"/>
                  </a:solidFill>
                  <a:latin typeface="ForFuture Sans" panose="020B0504020203020204" pitchFamily="34" charset="0"/>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TD!$J$15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rgbClr val="002532"/>
                    </a:solidFill>
                    <a:latin typeface="ForFuture Sans" panose="020B0504020203020204" pitchFamily="34" charset="0"/>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TD!$I$16:$I$25</c:f>
              <c:strCache>
                <c:ptCount val="10"/>
                <c:pt idx="0">
                  <c:v>Cas Training</c:v>
                </c:pt>
                <c:pt idx="1">
                  <c:v>Imantia Desarrollo Directivo S.L</c:v>
                </c:pt>
                <c:pt idx="2">
                  <c:v>Cle Formación</c:v>
                </c:pt>
                <c:pt idx="3">
                  <c:v>Ibertech</c:v>
                </c:pt>
                <c:pt idx="4">
                  <c:v>Itera</c:v>
                </c:pt>
                <c:pt idx="5">
                  <c:v>Global Knowledge Network Spain SLU</c:v>
                </c:pt>
                <c:pt idx="6">
                  <c:v>Ideados Formación</c:v>
                </c:pt>
                <c:pt idx="7">
                  <c:v>Creativity Certification Progam S.L.</c:v>
                </c:pt>
                <c:pt idx="8">
                  <c:v>RANDSTAD CONSULTORES Y SOLUCIONES DE RRHH SLU</c:v>
                </c:pt>
                <c:pt idx="9">
                  <c:v>CEGOS</c:v>
                </c:pt>
              </c:strCache>
            </c:strRef>
          </c:cat>
          <c:val>
            <c:numRef>
              <c:f>TD!$J$16:$J$25</c:f>
              <c:numCache>
                <c:formatCode>General</c:formatCode>
                <c:ptCount val="10"/>
                <c:pt idx="0">
                  <c:v>204</c:v>
                </c:pt>
                <c:pt idx="1">
                  <c:v>131</c:v>
                </c:pt>
                <c:pt idx="2">
                  <c:v>127</c:v>
                </c:pt>
                <c:pt idx="3">
                  <c:v>106</c:v>
                </c:pt>
                <c:pt idx="4">
                  <c:v>104</c:v>
                </c:pt>
                <c:pt idx="5">
                  <c:v>93</c:v>
                </c:pt>
                <c:pt idx="6">
                  <c:v>83</c:v>
                </c:pt>
                <c:pt idx="7">
                  <c:v>79</c:v>
                </c:pt>
                <c:pt idx="8">
                  <c:v>79</c:v>
                </c:pt>
                <c:pt idx="9">
                  <c:v>71</c:v>
                </c:pt>
              </c:numCache>
            </c:numRef>
          </c:val>
          <c:extLst>
            <c:ext xmlns:c16="http://schemas.microsoft.com/office/drawing/2014/chart" uri="{C3380CC4-5D6E-409C-BE32-E72D297353CC}">
              <c16:uniqueId val="{00000000-2B13-42F5-BFF1-62DFC3FFA9EC}"/>
            </c:ext>
          </c:extLst>
        </c:ser>
        <c:dLbls>
          <c:dLblPos val="outEnd"/>
          <c:showLegendKey val="0"/>
          <c:showVal val="1"/>
          <c:showCatName val="0"/>
          <c:showSerName val="0"/>
          <c:showPercent val="0"/>
          <c:showBubbleSize val="0"/>
        </c:dLbls>
        <c:gapWidth val="115"/>
        <c:overlap val="-20"/>
        <c:axId val="2028798191"/>
        <c:axId val="2028795311"/>
      </c:barChart>
      <c:catAx>
        <c:axId val="202879819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532"/>
                </a:solidFill>
                <a:latin typeface="ForFuture Sans" panose="020B0504020203020204" pitchFamily="34" charset="0"/>
                <a:ea typeface="+mn-ea"/>
                <a:cs typeface="+mn-cs"/>
              </a:defRPr>
            </a:pPr>
            <a:endParaRPr lang="es-ES"/>
          </a:p>
        </c:txPr>
        <c:crossAx val="2028795311"/>
        <c:crosses val="autoZero"/>
        <c:auto val="1"/>
        <c:lblAlgn val="ctr"/>
        <c:lblOffset val="100"/>
        <c:noMultiLvlLbl val="0"/>
      </c:catAx>
      <c:valAx>
        <c:axId val="2028795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2532"/>
                </a:solidFill>
                <a:latin typeface="ForFuture Sans" panose="020B0504020203020204" pitchFamily="34" charset="0"/>
                <a:ea typeface="+mn-ea"/>
                <a:cs typeface="+mn-cs"/>
              </a:defRPr>
            </a:pPr>
            <a:endParaRPr lang="es-ES"/>
          </a:p>
        </c:txPr>
        <c:crossAx val="2028798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0">
          <a:solidFill>
            <a:srgbClr val="002532"/>
          </a:solidFill>
          <a:latin typeface="ForFuture Sans" panose="020B0504020203020204" pitchFamily="34" charset="0"/>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02532"/>
              </a:solidFill>
              <a:ln w="19050">
                <a:noFill/>
              </a:ln>
              <a:effectLst/>
            </c:spPr>
            <c:extLst>
              <c:ext xmlns:c16="http://schemas.microsoft.com/office/drawing/2014/chart" uri="{C3380CC4-5D6E-409C-BE32-E72D297353CC}">
                <c16:uniqueId val="{00000001-E3F5-462B-954B-0554743153C6}"/>
              </c:ext>
            </c:extLst>
          </c:dPt>
          <c:dPt>
            <c:idx val="1"/>
            <c:bubble3D val="0"/>
            <c:spPr>
              <a:noFill/>
              <a:ln w="19050">
                <a:noFill/>
              </a:ln>
              <a:effectLst/>
            </c:spPr>
            <c:extLst>
              <c:ext xmlns:c16="http://schemas.microsoft.com/office/drawing/2014/chart" uri="{C3380CC4-5D6E-409C-BE32-E72D297353CC}">
                <c16:uniqueId val="{00000003-E3F5-462B-954B-0554743153C6}"/>
              </c:ext>
            </c:extLst>
          </c:dPt>
          <c:val>
            <c:numRef>
              <c:f>TD!$D$8:$D$9</c:f>
              <c:numCache>
                <c:formatCode>0.00%</c:formatCode>
                <c:ptCount val="2"/>
                <c:pt idx="0">
                  <c:v>0.86924583741429973</c:v>
                </c:pt>
                <c:pt idx="1">
                  <c:v>0.13075416258570027</c:v>
                </c:pt>
              </c:numCache>
            </c:numRef>
          </c:val>
          <c:extLst>
            <c:ext xmlns:c16="http://schemas.microsoft.com/office/drawing/2014/chart" uri="{C3380CC4-5D6E-409C-BE32-E72D297353CC}">
              <c16:uniqueId val="{00000004-E3F5-462B-954B-0554743153C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04254"/>
              </a:solidFill>
              <a:ln w="19050">
                <a:noFill/>
              </a:ln>
              <a:effectLst/>
            </c:spPr>
            <c:extLst>
              <c:ext xmlns:c16="http://schemas.microsoft.com/office/drawing/2014/chart" uri="{C3380CC4-5D6E-409C-BE32-E72D297353CC}">
                <c16:uniqueId val="{00000001-85DC-4CF9-A620-D51CAD3B1214}"/>
              </c:ext>
            </c:extLst>
          </c:dPt>
          <c:dPt>
            <c:idx val="1"/>
            <c:bubble3D val="0"/>
            <c:spPr>
              <a:gradFill flip="none" rotWithShape="1">
                <a:gsLst>
                  <a:gs pos="0">
                    <a:srgbClr val="AAAA9F">
                      <a:shade val="30000"/>
                      <a:satMod val="115000"/>
                    </a:srgbClr>
                  </a:gs>
                  <a:gs pos="50000">
                    <a:srgbClr val="AAAA9F">
                      <a:shade val="67500"/>
                      <a:satMod val="115000"/>
                    </a:srgbClr>
                  </a:gs>
                  <a:gs pos="100000">
                    <a:srgbClr val="AAAA9F">
                      <a:shade val="100000"/>
                      <a:satMod val="115000"/>
                    </a:srgbClr>
                  </a:gs>
                </a:gsLst>
                <a:path path="circle">
                  <a:fillToRect t="100000" r="100000"/>
                </a:path>
                <a:tileRect l="-100000" b="-100000"/>
              </a:gradFill>
              <a:ln w="19050">
                <a:noFill/>
              </a:ln>
              <a:effectLst/>
            </c:spPr>
            <c:extLst>
              <c:ext xmlns:c16="http://schemas.microsoft.com/office/drawing/2014/chart" uri="{C3380CC4-5D6E-409C-BE32-E72D297353CC}">
                <c16:uniqueId val="{00000003-85DC-4CF9-A620-D51CAD3B1214}"/>
              </c:ext>
            </c:extLst>
          </c:dPt>
          <c:val>
            <c:numRef>
              <c:f>TD!$G$8:$G$9</c:f>
              <c:numCache>
                <c:formatCode>0.00%</c:formatCode>
                <c:ptCount val="2"/>
                <c:pt idx="0">
                  <c:v>0.11459353574926542</c:v>
                </c:pt>
                <c:pt idx="1">
                  <c:v>0.88540646425073455</c:v>
                </c:pt>
              </c:numCache>
            </c:numRef>
          </c:val>
          <c:extLst>
            <c:ext xmlns:c16="http://schemas.microsoft.com/office/drawing/2014/chart" uri="{C3380CC4-5D6E-409C-BE32-E72D297353CC}">
              <c16:uniqueId val="{00000004-85DC-4CF9-A620-D51CAD3B121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4254"/>
            </a:solidFill>
            <a:ln>
              <a:noFill/>
            </a:ln>
          </c:spPr>
          <c:dPt>
            <c:idx val="0"/>
            <c:bubble3D val="0"/>
            <c:spPr>
              <a:solidFill>
                <a:srgbClr val="004254"/>
              </a:solidFill>
              <a:ln w="19050">
                <a:noFill/>
              </a:ln>
              <a:effectLst/>
            </c:spPr>
            <c:extLst>
              <c:ext xmlns:c16="http://schemas.microsoft.com/office/drawing/2014/chart" uri="{C3380CC4-5D6E-409C-BE32-E72D297353CC}">
                <c16:uniqueId val="{00000001-0C58-44E9-BDF8-B00C64C203C1}"/>
              </c:ext>
            </c:extLst>
          </c:dPt>
          <c:dPt>
            <c:idx val="1"/>
            <c:bubble3D val="0"/>
            <c:spPr>
              <a:gradFill flip="none" rotWithShape="1">
                <a:gsLst>
                  <a:gs pos="0">
                    <a:srgbClr val="EBEBE9">
                      <a:shade val="30000"/>
                      <a:satMod val="115000"/>
                    </a:srgbClr>
                  </a:gs>
                  <a:gs pos="50000">
                    <a:srgbClr val="EBEBE9">
                      <a:shade val="67500"/>
                      <a:satMod val="115000"/>
                    </a:srgbClr>
                  </a:gs>
                  <a:gs pos="100000">
                    <a:srgbClr val="EBEBE9">
                      <a:shade val="100000"/>
                      <a:satMod val="115000"/>
                    </a:srgbClr>
                  </a:gs>
                </a:gsLst>
                <a:lin ang="5400000" scaled="1"/>
                <a:tileRect/>
              </a:gradFill>
              <a:ln w="19050">
                <a:noFill/>
              </a:ln>
              <a:effectLst/>
            </c:spPr>
            <c:extLst>
              <c:ext xmlns:c16="http://schemas.microsoft.com/office/drawing/2014/chart" uri="{C3380CC4-5D6E-409C-BE32-E72D297353CC}">
                <c16:uniqueId val="{00000003-0C58-44E9-BDF8-B00C64C203C1}"/>
              </c:ext>
            </c:extLst>
          </c:dPt>
          <c:val>
            <c:numRef>
              <c:f>TD!$J$8:$J$9</c:f>
              <c:numCache>
                <c:formatCode>0.00%</c:formatCode>
                <c:ptCount val="2"/>
                <c:pt idx="0">
                  <c:v>1.6160626836434867E-2</c:v>
                </c:pt>
                <c:pt idx="1">
                  <c:v>0.98383937316356518</c:v>
                </c:pt>
              </c:numCache>
            </c:numRef>
          </c:val>
          <c:extLst>
            <c:ext xmlns:c16="http://schemas.microsoft.com/office/drawing/2014/chart" uri="{C3380CC4-5D6E-409C-BE32-E72D297353CC}">
              <c16:uniqueId val="{00000004-0C58-44E9-BDF8-B00C64C203C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81643</xdr:colOff>
      <xdr:row>0</xdr:row>
      <xdr:rowOff>136071</xdr:rowOff>
    </xdr:from>
    <xdr:to>
      <xdr:col>2</xdr:col>
      <xdr:colOff>204107</xdr:colOff>
      <xdr:row>42</xdr:row>
      <xdr:rowOff>81643</xdr:rowOff>
    </xdr:to>
    <xdr:sp macro="" textlink="">
      <xdr:nvSpPr>
        <xdr:cNvPr id="2" name="Rectángulo: esquinas redondeadas 1">
          <a:extLst>
            <a:ext uri="{FF2B5EF4-FFF2-40B4-BE49-F238E27FC236}">
              <a16:creationId xmlns:a16="http://schemas.microsoft.com/office/drawing/2014/main" id="{7C3ABB90-5DBD-7FCB-F9DC-E5C2F8C96E14}"/>
            </a:ext>
          </a:extLst>
        </xdr:cNvPr>
        <xdr:cNvSpPr/>
      </xdr:nvSpPr>
      <xdr:spPr>
        <a:xfrm>
          <a:off x="81643" y="136071"/>
          <a:ext cx="1646464" cy="7375072"/>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800" b="1" kern="1200">
              <a:latin typeface="ForFuture Sans" panose="020B0504020203020204" pitchFamily="34" charset="0"/>
            </a:rPr>
            <a:t>Ánalisis</a:t>
          </a:r>
          <a:r>
            <a:rPr lang="es-ES" sz="1800" b="1" kern="1200" baseline="0">
              <a:latin typeface="ForFuture Sans" panose="020B0504020203020204" pitchFamily="34" charset="0"/>
            </a:rPr>
            <a:t> - elección de campos</a:t>
          </a:r>
          <a:endParaRPr lang="es-ES" sz="1800" b="1" kern="1200">
            <a:latin typeface="ForFuture Sans" panose="020B0504020203020204" pitchFamily="34" charset="0"/>
          </a:endParaRPr>
        </a:p>
      </xdr:txBody>
    </xdr:sp>
    <xdr:clientData/>
  </xdr:twoCellAnchor>
  <xdr:twoCellAnchor>
    <xdr:from>
      <xdr:col>2</xdr:col>
      <xdr:colOff>517071</xdr:colOff>
      <xdr:row>1</xdr:row>
      <xdr:rowOff>40821</xdr:rowOff>
    </xdr:from>
    <xdr:to>
      <xdr:col>6</xdr:col>
      <xdr:colOff>84818</xdr:colOff>
      <xdr:row>6</xdr:row>
      <xdr:rowOff>54429</xdr:rowOff>
    </xdr:to>
    <xdr:sp macro="" textlink="TD!B7">
      <xdr:nvSpPr>
        <xdr:cNvPr id="3" name="Rectángulo: esquinas redondeadas 2">
          <a:extLst>
            <a:ext uri="{FF2B5EF4-FFF2-40B4-BE49-F238E27FC236}">
              <a16:creationId xmlns:a16="http://schemas.microsoft.com/office/drawing/2014/main" id="{5D0DCF1F-1E41-A9A1-E170-D1F6DD99C511}"/>
            </a:ext>
          </a:extLst>
        </xdr:cNvPr>
        <xdr:cNvSpPr/>
      </xdr:nvSpPr>
      <xdr:spPr>
        <a:xfrm>
          <a:off x="2041071" y="217714"/>
          <a:ext cx="2615747" cy="898072"/>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0BDB89-CD1C-486E-8EB4-1C5A8288618E}" type="TxLink">
            <a:rPr lang="en-US" sz="3200" b="1" i="0" u="none" strike="noStrike" kern="1200">
              <a:solidFill>
                <a:srgbClr val="002532"/>
              </a:solidFill>
              <a:latin typeface="ForFuture Sans" panose="020B0504020203020204" pitchFamily="34" charset="0"/>
              <a:ea typeface="+mn-ea"/>
              <a:cs typeface="+mn-cs"/>
            </a:rPr>
            <a:pPr marL="0" indent="0" algn="ctr"/>
            <a:t>2.042</a:t>
          </a:fld>
          <a:endParaRPr lang="es-ES" sz="2800" b="1" kern="1200">
            <a:solidFill>
              <a:srgbClr val="002532"/>
            </a:solidFill>
            <a:latin typeface="ForFuture Sans" panose="020B0504020203020204" pitchFamily="34" charset="0"/>
            <a:ea typeface="+mn-ea"/>
            <a:cs typeface="+mn-cs"/>
          </a:endParaRPr>
        </a:p>
      </xdr:txBody>
    </xdr:sp>
    <xdr:clientData/>
  </xdr:twoCellAnchor>
  <xdr:twoCellAnchor>
    <xdr:from>
      <xdr:col>6</xdr:col>
      <xdr:colOff>394607</xdr:colOff>
      <xdr:row>1</xdr:row>
      <xdr:rowOff>27214</xdr:rowOff>
    </xdr:from>
    <xdr:to>
      <xdr:col>9</xdr:col>
      <xdr:colOff>727529</xdr:colOff>
      <xdr:row>6</xdr:row>
      <xdr:rowOff>40822</xdr:rowOff>
    </xdr:to>
    <xdr:sp macro="" textlink="TD!D7">
      <xdr:nvSpPr>
        <xdr:cNvPr id="4" name="Rectángulo: esquinas redondeadas 3">
          <a:extLst>
            <a:ext uri="{FF2B5EF4-FFF2-40B4-BE49-F238E27FC236}">
              <a16:creationId xmlns:a16="http://schemas.microsoft.com/office/drawing/2014/main" id="{917E42F4-3F4F-459B-88F9-2FB86A6CD091}"/>
            </a:ext>
          </a:extLst>
        </xdr:cNvPr>
        <xdr:cNvSpPr/>
      </xdr:nvSpPr>
      <xdr:spPr>
        <a:xfrm>
          <a:off x="4966607" y="204107"/>
          <a:ext cx="2618922" cy="898072"/>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F4A8B35-D0B2-4717-BF83-C51B34A69A30}" type="TxLink">
            <a:rPr lang="en-US" sz="3200" b="1" i="0" u="none" strike="noStrike" kern="1200">
              <a:solidFill>
                <a:srgbClr val="002532"/>
              </a:solidFill>
              <a:latin typeface="ForFuture Sans" panose="020B0504020203020204" pitchFamily="34" charset="0"/>
              <a:ea typeface="+mn-ea"/>
              <a:cs typeface="+mn-cs"/>
            </a:rPr>
            <a:pPr marL="0" indent="0" algn="ctr"/>
            <a:t>1.775</a:t>
          </a:fld>
          <a:endParaRPr lang="es-ES" sz="32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10</xdr:col>
      <xdr:colOff>258535</xdr:colOff>
      <xdr:row>1</xdr:row>
      <xdr:rowOff>6350</xdr:rowOff>
    </xdr:from>
    <xdr:to>
      <xdr:col>14</xdr:col>
      <xdr:colOff>13607</xdr:colOff>
      <xdr:row>6</xdr:row>
      <xdr:rowOff>7258</xdr:rowOff>
    </xdr:to>
    <xdr:sp macro="" textlink="TD!G7">
      <xdr:nvSpPr>
        <xdr:cNvPr id="5" name="Rectángulo: esquinas redondeadas 4">
          <a:extLst>
            <a:ext uri="{FF2B5EF4-FFF2-40B4-BE49-F238E27FC236}">
              <a16:creationId xmlns:a16="http://schemas.microsoft.com/office/drawing/2014/main" id="{F540CFD9-48B6-4587-979D-11C066D7BC81}"/>
            </a:ext>
          </a:extLst>
        </xdr:cNvPr>
        <xdr:cNvSpPr/>
      </xdr:nvSpPr>
      <xdr:spPr>
        <a:xfrm>
          <a:off x="7878535" y="183243"/>
          <a:ext cx="2803072" cy="885372"/>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09D683C-D6D1-4F5F-BD50-978452EB4CBB}" type="TxLink">
            <a:rPr lang="en-US" sz="3200" b="1" i="0" u="none" strike="noStrike" kern="1200">
              <a:solidFill>
                <a:srgbClr val="002532"/>
              </a:solidFill>
              <a:latin typeface="ForFuture Sans" panose="020B0504020203020204" pitchFamily="34" charset="0"/>
              <a:ea typeface="+mn-ea"/>
              <a:cs typeface="+mn-cs"/>
            </a:rPr>
            <a:pPr marL="0" indent="0" algn="ctr"/>
            <a:t>234</a:t>
          </a:fld>
          <a:endParaRPr lang="es-ES" sz="32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14</xdr:col>
      <xdr:colOff>306612</xdr:colOff>
      <xdr:row>1</xdr:row>
      <xdr:rowOff>6350</xdr:rowOff>
    </xdr:from>
    <xdr:to>
      <xdr:col>18</xdr:col>
      <xdr:colOff>108856</xdr:colOff>
      <xdr:row>6</xdr:row>
      <xdr:rowOff>16783</xdr:rowOff>
    </xdr:to>
    <xdr:sp macro="" textlink="TD!J7">
      <xdr:nvSpPr>
        <xdr:cNvPr id="6" name="Rectángulo: esquinas redondeadas 5">
          <a:extLst>
            <a:ext uri="{FF2B5EF4-FFF2-40B4-BE49-F238E27FC236}">
              <a16:creationId xmlns:a16="http://schemas.microsoft.com/office/drawing/2014/main" id="{4A627957-B29A-4947-ABFF-76BA35524F5C}"/>
            </a:ext>
          </a:extLst>
        </xdr:cNvPr>
        <xdr:cNvSpPr/>
      </xdr:nvSpPr>
      <xdr:spPr>
        <a:xfrm>
          <a:off x="10974612" y="183243"/>
          <a:ext cx="2850244" cy="894897"/>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E8C27F3-E2C3-473E-967C-047B24CB72D7}" type="TxLink">
            <a:rPr lang="en-US" sz="3200" b="1" i="0" u="none" strike="noStrike" kern="1200">
              <a:solidFill>
                <a:srgbClr val="002532"/>
              </a:solidFill>
              <a:latin typeface="ForFuture Sans" panose="020B0504020203020204" pitchFamily="34" charset="0"/>
              <a:ea typeface="+mn-ea"/>
              <a:cs typeface="+mn-cs"/>
            </a:rPr>
            <a:pPr marL="0" indent="0" algn="ctr"/>
            <a:t>33</a:t>
          </a:fld>
          <a:endParaRPr lang="es-ES" sz="32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2</xdr:col>
      <xdr:colOff>544284</xdr:colOff>
      <xdr:row>1</xdr:row>
      <xdr:rowOff>68036</xdr:rowOff>
    </xdr:from>
    <xdr:to>
      <xdr:col>5</xdr:col>
      <xdr:colOff>721177</xdr:colOff>
      <xdr:row>2</xdr:row>
      <xdr:rowOff>163286</xdr:rowOff>
    </xdr:to>
    <xdr:sp macro="" textlink="">
      <xdr:nvSpPr>
        <xdr:cNvPr id="8" name="CuadroTexto 7">
          <a:extLst>
            <a:ext uri="{FF2B5EF4-FFF2-40B4-BE49-F238E27FC236}">
              <a16:creationId xmlns:a16="http://schemas.microsoft.com/office/drawing/2014/main" id="{E96AF0F5-4412-ACF1-DD42-497981BB32B1}"/>
            </a:ext>
          </a:extLst>
        </xdr:cNvPr>
        <xdr:cNvSpPr txBox="1"/>
      </xdr:nvSpPr>
      <xdr:spPr>
        <a:xfrm>
          <a:off x="2068284" y="244929"/>
          <a:ext cx="2462893"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000" b="0">
              <a:solidFill>
                <a:srgbClr val="002532"/>
              </a:solidFill>
              <a:effectLst/>
              <a:latin typeface="ForFuture Sans" panose="020B0504020203020204" pitchFamily="34" charset="0"/>
              <a:ea typeface="+mn-ea"/>
              <a:cs typeface="+mn-cs"/>
            </a:rPr>
            <a:t>Número total de cursos ofrecidos</a:t>
          </a:r>
          <a:endParaRPr lang="es-ES" sz="1000" b="0">
            <a:solidFill>
              <a:srgbClr val="002532"/>
            </a:solidFill>
            <a:effectLst/>
            <a:latin typeface="ForFuture Sans" panose="020B0504020203020204" pitchFamily="34" charset="0"/>
          </a:endParaRPr>
        </a:p>
        <a:p>
          <a:endParaRPr lang="es-ES" sz="1000" b="0" kern="1200">
            <a:solidFill>
              <a:srgbClr val="002532"/>
            </a:solidFill>
            <a:latin typeface="ForFuture Sans" panose="020B0504020203020204" pitchFamily="34" charset="0"/>
          </a:endParaRPr>
        </a:p>
      </xdr:txBody>
    </xdr:sp>
    <xdr:clientData/>
  </xdr:twoCellAnchor>
  <xdr:twoCellAnchor>
    <xdr:from>
      <xdr:col>6</xdr:col>
      <xdr:colOff>432252</xdr:colOff>
      <xdr:row>1</xdr:row>
      <xdr:rowOff>37647</xdr:rowOff>
    </xdr:from>
    <xdr:to>
      <xdr:col>9</xdr:col>
      <xdr:colOff>612320</xdr:colOff>
      <xdr:row>2</xdr:row>
      <xdr:rowOff>132897</xdr:rowOff>
    </xdr:to>
    <xdr:sp macro="" textlink="">
      <xdr:nvSpPr>
        <xdr:cNvPr id="9" name="CuadroTexto 8">
          <a:extLst>
            <a:ext uri="{FF2B5EF4-FFF2-40B4-BE49-F238E27FC236}">
              <a16:creationId xmlns:a16="http://schemas.microsoft.com/office/drawing/2014/main" id="{3A8F2C09-16CA-4749-ACD6-6E3A6D338779}"/>
            </a:ext>
          </a:extLst>
        </xdr:cNvPr>
        <xdr:cNvSpPr txBox="1"/>
      </xdr:nvSpPr>
      <xdr:spPr>
        <a:xfrm>
          <a:off x="5004252" y="214540"/>
          <a:ext cx="246606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000" b="0">
              <a:solidFill>
                <a:srgbClr val="002532"/>
              </a:solidFill>
              <a:effectLst/>
              <a:latin typeface="ForFuture Sans" panose="020B0504020203020204" pitchFamily="34" charset="0"/>
              <a:ea typeface="+mn-ea"/>
              <a:cs typeface="+mn-cs"/>
            </a:rPr>
            <a:t>Número total de cursos realizados</a:t>
          </a:r>
          <a:endParaRPr lang="es-ES" sz="1000" b="0">
            <a:solidFill>
              <a:srgbClr val="002532"/>
            </a:solidFill>
            <a:effectLst/>
            <a:latin typeface="ForFuture Sans" panose="020B0504020203020204" pitchFamily="34" charset="0"/>
          </a:endParaRPr>
        </a:p>
        <a:p>
          <a:endParaRPr lang="es-ES" sz="1000" b="0" kern="1200">
            <a:solidFill>
              <a:srgbClr val="002532"/>
            </a:solidFill>
            <a:latin typeface="ForFuture Sans" panose="020B0504020203020204" pitchFamily="34" charset="0"/>
          </a:endParaRPr>
        </a:p>
      </xdr:txBody>
    </xdr:sp>
    <xdr:clientData/>
  </xdr:twoCellAnchor>
  <xdr:twoCellAnchor>
    <xdr:from>
      <xdr:col>10</xdr:col>
      <xdr:colOff>347434</xdr:colOff>
      <xdr:row>1</xdr:row>
      <xdr:rowOff>37647</xdr:rowOff>
    </xdr:from>
    <xdr:to>
      <xdr:col>13</xdr:col>
      <xdr:colOff>527502</xdr:colOff>
      <xdr:row>2</xdr:row>
      <xdr:rowOff>132897</xdr:rowOff>
    </xdr:to>
    <xdr:sp macro="" textlink="">
      <xdr:nvSpPr>
        <xdr:cNvPr id="10" name="CuadroTexto 9">
          <a:extLst>
            <a:ext uri="{FF2B5EF4-FFF2-40B4-BE49-F238E27FC236}">
              <a16:creationId xmlns:a16="http://schemas.microsoft.com/office/drawing/2014/main" id="{5FE554A5-2FAE-44A3-9CBB-23B07D4982AB}"/>
            </a:ext>
          </a:extLst>
        </xdr:cNvPr>
        <xdr:cNvSpPr txBox="1"/>
      </xdr:nvSpPr>
      <xdr:spPr>
        <a:xfrm>
          <a:off x="7967434" y="214540"/>
          <a:ext cx="246606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000" b="0">
              <a:solidFill>
                <a:srgbClr val="002532"/>
              </a:solidFill>
              <a:effectLst/>
              <a:latin typeface="ForFuture Sans" panose="020B0504020203020204" pitchFamily="34" charset="0"/>
              <a:ea typeface="+mn-ea"/>
              <a:cs typeface="+mn-cs"/>
            </a:rPr>
            <a:t>Número total de cursos sin terminar</a:t>
          </a:r>
          <a:endParaRPr lang="es-ES" sz="1000" b="0">
            <a:solidFill>
              <a:srgbClr val="002532"/>
            </a:solidFill>
            <a:effectLst/>
            <a:latin typeface="ForFuture Sans" panose="020B0504020203020204" pitchFamily="34" charset="0"/>
          </a:endParaRPr>
        </a:p>
        <a:p>
          <a:endParaRPr lang="es-ES" sz="1000" b="0" kern="1200">
            <a:solidFill>
              <a:srgbClr val="002532"/>
            </a:solidFill>
            <a:latin typeface="ForFuture Sans" panose="020B0504020203020204" pitchFamily="34" charset="0"/>
          </a:endParaRPr>
        </a:p>
      </xdr:txBody>
    </xdr:sp>
    <xdr:clientData/>
  </xdr:twoCellAnchor>
  <xdr:twoCellAnchor>
    <xdr:from>
      <xdr:col>14</xdr:col>
      <xdr:colOff>391430</xdr:colOff>
      <xdr:row>1</xdr:row>
      <xdr:rowOff>51254</xdr:rowOff>
    </xdr:from>
    <xdr:to>
      <xdr:col>17</xdr:col>
      <xdr:colOff>561973</xdr:colOff>
      <xdr:row>2</xdr:row>
      <xdr:rowOff>146504</xdr:rowOff>
    </xdr:to>
    <xdr:sp macro="" textlink="">
      <xdr:nvSpPr>
        <xdr:cNvPr id="11" name="CuadroTexto 10">
          <a:extLst>
            <a:ext uri="{FF2B5EF4-FFF2-40B4-BE49-F238E27FC236}">
              <a16:creationId xmlns:a16="http://schemas.microsoft.com/office/drawing/2014/main" id="{9204FE35-D7E7-4B68-BF80-A91AE4DB7B12}"/>
            </a:ext>
          </a:extLst>
        </xdr:cNvPr>
        <xdr:cNvSpPr txBox="1"/>
      </xdr:nvSpPr>
      <xdr:spPr>
        <a:xfrm>
          <a:off x="11059430" y="228147"/>
          <a:ext cx="2456543"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000" b="0">
              <a:solidFill>
                <a:srgbClr val="002532"/>
              </a:solidFill>
              <a:effectLst/>
              <a:latin typeface="ForFuture Sans" panose="020B0504020203020204" pitchFamily="34" charset="0"/>
              <a:ea typeface="+mn-ea"/>
              <a:cs typeface="+mn-cs"/>
            </a:rPr>
            <a:t>Número total de cursos cancelados</a:t>
          </a:r>
          <a:endParaRPr lang="es-ES" sz="1000" b="0">
            <a:solidFill>
              <a:srgbClr val="002532"/>
            </a:solidFill>
            <a:effectLst/>
            <a:latin typeface="ForFuture Sans" panose="020B0504020203020204" pitchFamily="34" charset="0"/>
          </a:endParaRPr>
        </a:p>
        <a:p>
          <a:endParaRPr lang="es-ES" sz="1000" b="0" kern="1200">
            <a:solidFill>
              <a:srgbClr val="002532"/>
            </a:solidFill>
            <a:latin typeface="ForFuture Sans" panose="020B0504020203020204" pitchFamily="34" charset="0"/>
          </a:endParaRPr>
        </a:p>
      </xdr:txBody>
    </xdr:sp>
    <xdr:clientData/>
  </xdr:twoCellAnchor>
  <xdr:twoCellAnchor>
    <xdr:from>
      <xdr:col>2</xdr:col>
      <xdr:colOff>474887</xdr:colOff>
      <xdr:row>8</xdr:row>
      <xdr:rowOff>40366</xdr:rowOff>
    </xdr:from>
    <xdr:to>
      <xdr:col>14</xdr:col>
      <xdr:colOff>136070</xdr:colOff>
      <xdr:row>24</xdr:row>
      <xdr:rowOff>0</xdr:rowOff>
    </xdr:to>
    <xdr:sp macro="" textlink="">
      <xdr:nvSpPr>
        <xdr:cNvPr id="12" name="Rectángulo: esquinas redondeadas 11">
          <a:extLst>
            <a:ext uri="{FF2B5EF4-FFF2-40B4-BE49-F238E27FC236}">
              <a16:creationId xmlns:a16="http://schemas.microsoft.com/office/drawing/2014/main" id="{8F414431-BC24-4941-A2CA-06B6050F6CAE}"/>
            </a:ext>
          </a:extLst>
        </xdr:cNvPr>
        <xdr:cNvSpPr/>
      </xdr:nvSpPr>
      <xdr:spPr>
        <a:xfrm>
          <a:off x="1998887" y="1455509"/>
          <a:ext cx="8805183" cy="2789920"/>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i="0" u="none" strike="noStrike" kern="1200">
              <a:solidFill>
                <a:srgbClr val="002532"/>
              </a:solidFill>
              <a:latin typeface="ForFuture Sans" panose="020B0504020203020204" pitchFamily="34" charset="0"/>
              <a:ea typeface="+mn-ea"/>
              <a:cs typeface="+mn-cs"/>
            </a:rPr>
            <a:t>cursos realizados por mes de inicio en el 2025</a:t>
          </a:r>
        </a:p>
      </xdr:txBody>
    </xdr:sp>
    <xdr:clientData/>
  </xdr:twoCellAnchor>
  <xdr:twoCellAnchor>
    <xdr:from>
      <xdr:col>2</xdr:col>
      <xdr:colOff>721179</xdr:colOff>
      <xdr:row>10</xdr:row>
      <xdr:rowOff>54427</xdr:rowOff>
    </xdr:from>
    <xdr:to>
      <xdr:col>13</xdr:col>
      <xdr:colOff>578757</xdr:colOff>
      <xdr:row>22</xdr:row>
      <xdr:rowOff>122464</xdr:rowOff>
    </xdr:to>
    <xdr:graphicFrame macro="">
      <xdr:nvGraphicFramePr>
        <xdr:cNvPr id="14" name="Gráfico 13">
          <a:extLst>
            <a:ext uri="{FF2B5EF4-FFF2-40B4-BE49-F238E27FC236}">
              <a16:creationId xmlns:a16="http://schemas.microsoft.com/office/drawing/2014/main" id="{950F033F-EB9E-43C8-8276-2F02E6DB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423180</xdr:colOff>
      <xdr:row>24</xdr:row>
      <xdr:rowOff>175984</xdr:rowOff>
    </xdr:from>
    <xdr:to>
      <xdr:col>14</xdr:col>
      <xdr:colOff>84363</xdr:colOff>
      <xdr:row>40</xdr:row>
      <xdr:rowOff>138794</xdr:rowOff>
    </xdr:to>
    <xdr:sp macro="" textlink="">
      <xdr:nvSpPr>
        <xdr:cNvPr id="15" name="Rectángulo: esquinas redondeadas 14">
          <a:extLst>
            <a:ext uri="{FF2B5EF4-FFF2-40B4-BE49-F238E27FC236}">
              <a16:creationId xmlns:a16="http://schemas.microsoft.com/office/drawing/2014/main" id="{C7B05CDE-9132-42FF-B78F-F8CB8FEB6CC0}"/>
            </a:ext>
          </a:extLst>
        </xdr:cNvPr>
        <xdr:cNvSpPr/>
      </xdr:nvSpPr>
      <xdr:spPr>
        <a:xfrm>
          <a:off x="1947180" y="4421413"/>
          <a:ext cx="8805183" cy="2793095"/>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i="0" u="none" strike="noStrike" kern="1200">
              <a:solidFill>
                <a:srgbClr val="002532"/>
              </a:solidFill>
              <a:latin typeface="ForFuture Sans" panose="020B0504020203020204" pitchFamily="34" charset="0"/>
              <a:ea typeface="+mn-ea"/>
              <a:cs typeface="+mn-cs"/>
            </a:rPr>
            <a:t>top ten de los cursos realizados en el 2025 </a:t>
          </a:r>
        </a:p>
      </xdr:txBody>
    </xdr:sp>
    <xdr:clientData/>
  </xdr:twoCellAnchor>
  <xdr:twoCellAnchor editAs="oneCell">
    <xdr:from>
      <xdr:col>2</xdr:col>
      <xdr:colOff>612321</xdr:colOff>
      <xdr:row>27</xdr:row>
      <xdr:rowOff>27214</xdr:rowOff>
    </xdr:from>
    <xdr:to>
      <xdr:col>13</xdr:col>
      <xdr:colOff>564242</xdr:colOff>
      <xdr:row>40</xdr:row>
      <xdr:rowOff>38904</xdr:rowOff>
    </xdr:to>
    <xdr:pic>
      <xdr:nvPicPr>
        <xdr:cNvPr id="16" name="Imagen 15">
          <a:extLst>
            <a:ext uri="{FF2B5EF4-FFF2-40B4-BE49-F238E27FC236}">
              <a16:creationId xmlns:a16="http://schemas.microsoft.com/office/drawing/2014/main" id="{75EC39FB-61DE-3016-5B0F-6D30E55773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6321" y="4803321"/>
          <a:ext cx="8330746" cy="23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235855</xdr:colOff>
      <xdr:row>8</xdr:row>
      <xdr:rowOff>9522</xdr:rowOff>
    </xdr:from>
    <xdr:to>
      <xdr:col>21</xdr:col>
      <xdr:colOff>530679</xdr:colOff>
      <xdr:row>50</xdr:row>
      <xdr:rowOff>163285</xdr:rowOff>
    </xdr:to>
    <xdr:sp macro="" textlink="">
      <xdr:nvSpPr>
        <xdr:cNvPr id="17" name="Rectángulo: esquinas redondeadas 16">
          <a:extLst>
            <a:ext uri="{FF2B5EF4-FFF2-40B4-BE49-F238E27FC236}">
              <a16:creationId xmlns:a16="http://schemas.microsoft.com/office/drawing/2014/main" id="{2AEE51F5-A076-409F-AADB-2C2D025FDEA0}"/>
            </a:ext>
          </a:extLst>
        </xdr:cNvPr>
        <xdr:cNvSpPr/>
      </xdr:nvSpPr>
      <xdr:spPr>
        <a:xfrm>
          <a:off x="10903855" y="1424665"/>
          <a:ext cx="5628824" cy="7583263"/>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i="0" u="none" strike="noStrike" kern="1200">
              <a:solidFill>
                <a:srgbClr val="002532"/>
              </a:solidFill>
              <a:latin typeface="ForFuture Sans" panose="020B0504020203020204" pitchFamily="34" charset="0"/>
              <a:ea typeface="+mn-ea"/>
              <a:cs typeface="+mn-cs"/>
            </a:rPr>
            <a:t>top ten proveedores</a:t>
          </a:r>
        </a:p>
      </xdr:txBody>
    </xdr:sp>
    <xdr:clientData/>
  </xdr:twoCellAnchor>
  <xdr:twoCellAnchor>
    <xdr:from>
      <xdr:col>14</xdr:col>
      <xdr:colOff>351062</xdr:colOff>
      <xdr:row>10</xdr:row>
      <xdr:rowOff>145594</xdr:rowOff>
    </xdr:from>
    <xdr:to>
      <xdr:col>21</xdr:col>
      <xdr:colOff>125639</xdr:colOff>
      <xdr:row>49</xdr:row>
      <xdr:rowOff>136071</xdr:rowOff>
    </xdr:to>
    <xdr:graphicFrame macro="">
      <xdr:nvGraphicFramePr>
        <xdr:cNvPr id="18" name="Gráfico 17">
          <a:extLst>
            <a:ext uri="{FF2B5EF4-FFF2-40B4-BE49-F238E27FC236}">
              <a16:creationId xmlns:a16="http://schemas.microsoft.com/office/drawing/2014/main" id="{0F37607E-09A5-4991-8D3B-604C83699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409574</xdr:colOff>
      <xdr:row>41</xdr:row>
      <xdr:rowOff>68036</xdr:rowOff>
    </xdr:from>
    <xdr:to>
      <xdr:col>14</xdr:col>
      <xdr:colOff>64407</xdr:colOff>
      <xdr:row>51</xdr:row>
      <xdr:rowOff>40367</xdr:rowOff>
    </xdr:to>
    <xdr:sp macro="" textlink="">
      <xdr:nvSpPr>
        <xdr:cNvPr id="19" name="Rectángulo: esquinas redondeadas 18">
          <a:extLst>
            <a:ext uri="{FF2B5EF4-FFF2-40B4-BE49-F238E27FC236}">
              <a16:creationId xmlns:a16="http://schemas.microsoft.com/office/drawing/2014/main" id="{A1364049-DBA1-429B-AFF8-16D6AEEEDBEC}"/>
            </a:ext>
          </a:extLst>
        </xdr:cNvPr>
        <xdr:cNvSpPr/>
      </xdr:nvSpPr>
      <xdr:spPr>
        <a:xfrm>
          <a:off x="1933574" y="7320643"/>
          <a:ext cx="8798833" cy="1741260"/>
        </a:xfrm>
        <a:prstGeom prst="roundRect">
          <a:avLst/>
        </a:prstGeom>
        <a:solidFill>
          <a:srgbClr val="AAAA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i="0" u="none" strike="noStrike" kern="1200">
              <a:solidFill>
                <a:srgbClr val="002532"/>
              </a:solidFill>
              <a:latin typeface="ForFuture Sans" panose="020B0504020203020204" pitchFamily="34" charset="0"/>
              <a:ea typeface="+mn-ea"/>
              <a:cs typeface="+mn-cs"/>
            </a:rPr>
            <a:t>Total de cursos ofrecidos</a:t>
          </a:r>
        </a:p>
      </xdr:txBody>
    </xdr:sp>
    <xdr:clientData/>
  </xdr:twoCellAnchor>
  <xdr:twoCellAnchor>
    <xdr:from>
      <xdr:col>4</xdr:col>
      <xdr:colOff>693963</xdr:colOff>
      <xdr:row>41</xdr:row>
      <xdr:rowOff>19503</xdr:rowOff>
    </xdr:from>
    <xdr:to>
      <xdr:col>6</xdr:col>
      <xdr:colOff>240392</xdr:colOff>
      <xdr:row>44</xdr:row>
      <xdr:rowOff>7257</xdr:rowOff>
    </xdr:to>
    <xdr:sp macro="" textlink="TD!B7">
      <xdr:nvSpPr>
        <xdr:cNvPr id="20" name="Rectángulo: esquinas redondeadas 19">
          <a:extLst>
            <a:ext uri="{FF2B5EF4-FFF2-40B4-BE49-F238E27FC236}">
              <a16:creationId xmlns:a16="http://schemas.microsoft.com/office/drawing/2014/main" id="{F081ED84-68A4-4A86-939A-FF5DBDDE3829}"/>
            </a:ext>
          </a:extLst>
        </xdr:cNvPr>
        <xdr:cNvSpPr/>
      </xdr:nvSpPr>
      <xdr:spPr>
        <a:xfrm>
          <a:off x="3741963" y="7272110"/>
          <a:ext cx="1070429" cy="5184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0BDB89-CD1C-486E-8EB4-1C5A8288618E}" type="TxLink">
            <a:rPr lang="en-US" sz="1800" b="1" i="0" u="none" strike="noStrike" kern="1200">
              <a:solidFill>
                <a:srgbClr val="002532"/>
              </a:solidFill>
              <a:latin typeface="ForFuture Sans" panose="020B0504020203020204" pitchFamily="34" charset="0"/>
              <a:ea typeface="+mn-ea"/>
              <a:cs typeface="+mn-cs"/>
            </a:rPr>
            <a:pPr marL="0" indent="0" algn="ctr"/>
            <a:t>2.042</a:t>
          </a:fld>
          <a:endParaRPr lang="es-ES" sz="1600" b="1" kern="1200">
            <a:solidFill>
              <a:srgbClr val="002532"/>
            </a:solidFill>
            <a:latin typeface="ForFuture Sans" panose="020B0504020203020204" pitchFamily="34" charset="0"/>
            <a:ea typeface="+mn-ea"/>
            <a:cs typeface="+mn-cs"/>
          </a:endParaRPr>
        </a:p>
      </xdr:txBody>
    </xdr:sp>
    <xdr:clientData/>
  </xdr:twoCellAnchor>
  <xdr:twoCellAnchor>
    <xdr:from>
      <xdr:col>2</xdr:col>
      <xdr:colOff>373743</xdr:colOff>
      <xdr:row>42</xdr:row>
      <xdr:rowOff>160110</xdr:rowOff>
    </xdr:from>
    <xdr:to>
      <xdr:col>5</xdr:col>
      <xdr:colOff>588282</xdr:colOff>
      <xdr:row>51</xdr:row>
      <xdr:rowOff>87991</xdr:rowOff>
    </xdr:to>
    <xdr:graphicFrame macro="">
      <xdr:nvGraphicFramePr>
        <xdr:cNvPr id="21" name="Gráfico 20">
          <a:extLst>
            <a:ext uri="{FF2B5EF4-FFF2-40B4-BE49-F238E27FC236}">
              <a16:creationId xmlns:a16="http://schemas.microsoft.com/office/drawing/2014/main" id="{6A837DEA-0A27-4622-85D4-695AE8BE7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373742</xdr:colOff>
      <xdr:row>45</xdr:row>
      <xdr:rowOff>172356</xdr:rowOff>
    </xdr:from>
    <xdr:to>
      <xdr:col>4</xdr:col>
      <xdr:colOff>675821</xdr:colOff>
      <xdr:row>48</xdr:row>
      <xdr:rowOff>153761</xdr:rowOff>
    </xdr:to>
    <xdr:sp macro="" textlink="TD!D8">
      <xdr:nvSpPr>
        <xdr:cNvPr id="22" name="Rectángulo: esquinas redondeadas 21">
          <a:extLst>
            <a:ext uri="{FF2B5EF4-FFF2-40B4-BE49-F238E27FC236}">
              <a16:creationId xmlns:a16="http://schemas.microsoft.com/office/drawing/2014/main" id="{D5AE5981-F036-4D35-824F-23F66827852C}"/>
            </a:ext>
          </a:extLst>
        </xdr:cNvPr>
        <xdr:cNvSpPr/>
      </xdr:nvSpPr>
      <xdr:spPr>
        <a:xfrm>
          <a:off x="2659742" y="8132535"/>
          <a:ext cx="1064079" cy="5120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D4C1C61-BEE2-4624-9062-90A78797D055}" type="TxLink">
            <a:rPr lang="en-US" sz="1400" b="1" i="0" u="none" strike="noStrike" kern="1200">
              <a:solidFill>
                <a:srgbClr val="002532"/>
              </a:solidFill>
              <a:latin typeface="ForFuture Sans" panose="020B0504020203020204" pitchFamily="34" charset="0"/>
              <a:ea typeface="+mn-ea"/>
              <a:cs typeface="+mn-cs"/>
            </a:rPr>
            <a:pPr marL="0" indent="0" algn="ctr"/>
            <a:t>86,92%</a:t>
          </a:fld>
          <a:endParaRPr lang="es-ES" sz="2000" b="1" kern="1200">
            <a:solidFill>
              <a:srgbClr val="002532"/>
            </a:solidFill>
            <a:latin typeface="ForFuture Sans" panose="020B0504020203020204" pitchFamily="34" charset="0"/>
            <a:ea typeface="+mn-ea"/>
            <a:cs typeface="+mn-cs"/>
          </a:endParaRPr>
        </a:p>
      </xdr:txBody>
    </xdr:sp>
    <xdr:clientData/>
  </xdr:twoCellAnchor>
  <xdr:twoCellAnchor>
    <xdr:from>
      <xdr:col>4</xdr:col>
      <xdr:colOff>352877</xdr:colOff>
      <xdr:row>43</xdr:row>
      <xdr:rowOff>49893</xdr:rowOff>
    </xdr:from>
    <xdr:to>
      <xdr:col>5</xdr:col>
      <xdr:colOff>648606</xdr:colOff>
      <xdr:row>46</xdr:row>
      <xdr:rowOff>31298</xdr:rowOff>
    </xdr:to>
    <xdr:sp macro="" textlink="TD!D7">
      <xdr:nvSpPr>
        <xdr:cNvPr id="23" name="Rectángulo: esquinas redondeadas 22">
          <a:extLst>
            <a:ext uri="{FF2B5EF4-FFF2-40B4-BE49-F238E27FC236}">
              <a16:creationId xmlns:a16="http://schemas.microsoft.com/office/drawing/2014/main" id="{EADAD253-6660-41C6-B444-793E10E069FF}"/>
            </a:ext>
          </a:extLst>
        </xdr:cNvPr>
        <xdr:cNvSpPr/>
      </xdr:nvSpPr>
      <xdr:spPr>
        <a:xfrm>
          <a:off x="3400877" y="7656286"/>
          <a:ext cx="1057729" cy="5120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2FAC8E5-16B0-41B9-93F3-F4727A146DD4}" type="TxLink">
            <a:rPr lang="en-US" sz="1400" b="1" i="0" u="none" strike="noStrike" kern="1200">
              <a:solidFill>
                <a:srgbClr val="002532"/>
              </a:solidFill>
              <a:latin typeface="ForFuture Sans" panose="020B0504020203020204" pitchFamily="34" charset="0"/>
              <a:ea typeface="+mn-ea"/>
              <a:cs typeface="+mn-cs"/>
            </a:rPr>
            <a:pPr marL="0" indent="0" algn="ctr"/>
            <a:t>1.775</a:t>
          </a:fld>
          <a:endParaRPr lang="es-ES" sz="14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5</xdr:col>
      <xdr:colOff>630463</xdr:colOff>
      <xdr:row>43</xdr:row>
      <xdr:rowOff>78468</xdr:rowOff>
    </xdr:from>
    <xdr:to>
      <xdr:col>9</xdr:col>
      <xdr:colOff>231321</xdr:colOff>
      <xdr:row>51</xdr:row>
      <xdr:rowOff>13607</xdr:rowOff>
    </xdr:to>
    <xdr:graphicFrame macro="">
      <xdr:nvGraphicFramePr>
        <xdr:cNvPr id="24" name="Gráfico 23">
          <a:extLst>
            <a:ext uri="{FF2B5EF4-FFF2-40B4-BE49-F238E27FC236}">
              <a16:creationId xmlns:a16="http://schemas.microsoft.com/office/drawing/2014/main" id="{AC474DE3-FEED-41B0-A08F-C038A6C59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741135</xdr:colOff>
      <xdr:row>45</xdr:row>
      <xdr:rowOff>161923</xdr:rowOff>
    </xdr:from>
    <xdr:to>
      <xdr:col>8</xdr:col>
      <xdr:colOff>281214</xdr:colOff>
      <xdr:row>48</xdr:row>
      <xdr:rowOff>143328</xdr:rowOff>
    </xdr:to>
    <xdr:sp macro="" textlink="TD!G8">
      <xdr:nvSpPr>
        <xdr:cNvPr id="25" name="Rectángulo: esquinas redondeadas 24">
          <a:extLst>
            <a:ext uri="{FF2B5EF4-FFF2-40B4-BE49-F238E27FC236}">
              <a16:creationId xmlns:a16="http://schemas.microsoft.com/office/drawing/2014/main" id="{6CF0B3C9-7EFA-461A-8A37-01E0430C27AF}"/>
            </a:ext>
          </a:extLst>
        </xdr:cNvPr>
        <xdr:cNvSpPr/>
      </xdr:nvSpPr>
      <xdr:spPr>
        <a:xfrm>
          <a:off x="5313135" y="8122102"/>
          <a:ext cx="1064079" cy="5120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A7C7B1-E1D8-4928-BDD1-040358AE2692}" type="TxLink">
            <a:rPr lang="en-US" sz="1400" b="1" i="0" u="none" strike="noStrike" kern="1200">
              <a:solidFill>
                <a:srgbClr val="002532"/>
              </a:solidFill>
              <a:latin typeface="ForFuture Sans" panose="020B0504020203020204" pitchFamily="34" charset="0"/>
              <a:ea typeface="+mn-ea"/>
              <a:cs typeface="+mn-cs"/>
            </a:rPr>
            <a:pPr marL="0" indent="0" algn="ctr"/>
            <a:t>11,46%</a:t>
          </a:fld>
          <a:endParaRPr lang="es-ES" sz="14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8</xdr:col>
      <xdr:colOff>80734</xdr:colOff>
      <xdr:row>42</xdr:row>
      <xdr:rowOff>104322</xdr:rowOff>
    </xdr:from>
    <xdr:to>
      <xdr:col>9</xdr:col>
      <xdr:colOff>379638</xdr:colOff>
      <xdr:row>45</xdr:row>
      <xdr:rowOff>85726</xdr:rowOff>
    </xdr:to>
    <xdr:sp macro="" textlink="TD!G7">
      <xdr:nvSpPr>
        <xdr:cNvPr id="26" name="Rectángulo: esquinas redondeadas 25">
          <a:extLst>
            <a:ext uri="{FF2B5EF4-FFF2-40B4-BE49-F238E27FC236}">
              <a16:creationId xmlns:a16="http://schemas.microsoft.com/office/drawing/2014/main" id="{E84B725F-CD30-4C7F-9E93-22BEE9D86F73}"/>
            </a:ext>
          </a:extLst>
        </xdr:cNvPr>
        <xdr:cNvSpPr/>
      </xdr:nvSpPr>
      <xdr:spPr>
        <a:xfrm>
          <a:off x="6176734" y="7533822"/>
          <a:ext cx="1060904" cy="5120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E872AA3-CD6E-4D4A-9F0A-EDE7D3C76D77}" type="TxLink">
            <a:rPr lang="en-US" sz="1400" b="1" i="0" u="none" strike="noStrike" kern="1200">
              <a:solidFill>
                <a:srgbClr val="002532"/>
              </a:solidFill>
              <a:latin typeface="ForFuture Sans" panose="020B0504020203020204" pitchFamily="34" charset="0"/>
              <a:ea typeface="+mn-ea"/>
              <a:cs typeface="+mn-cs"/>
            </a:rPr>
            <a:pPr marL="0" indent="0" algn="ctr"/>
            <a:t>234</a:t>
          </a:fld>
          <a:endParaRPr lang="es-ES" sz="14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11</xdr:col>
      <xdr:colOff>679448</xdr:colOff>
      <xdr:row>42</xdr:row>
      <xdr:rowOff>36286</xdr:rowOff>
    </xdr:from>
    <xdr:to>
      <xdr:col>13</xdr:col>
      <xdr:colOff>213177</xdr:colOff>
      <xdr:row>45</xdr:row>
      <xdr:rowOff>17690</xdr:rowOff>
    </xdr:to>
    <xdr:sp macro="" textlink="TD!J7">
      <xdr:nvSpPr>
        <xdr:cNvPr id="27" name="Rectángulo: esquinas redondeadas 26">
          <a:extLst>
            <a:ext uri="{FF2B5EF4-FFF2-40B4-BE49-F238E27FC236}">
              <a16:creationId xmlns:a16="http://schemas.microsoft.com/office/drawing/2014/main" id="{9EABEEDF-B4E5-4F35-95D3-712350B6FAE2}"/>
            </a:ext>
          </a:extLst>
        </xdr:cNvPr>
        <xdr:cNvSpPr/>
      </xdr:nvSpPr>
      <xdr:spPr>
        <a:xfrm>
          <a:off x="9061448" y="7465786"/>
          <a:ext cx="1057729" cy="5120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EABC477-59C1-48C5-A665-6140B82B9C5B}" type="TxLink">
            <a:rPr lang="en-US" sz="1400" b="1" i="0" u="none" strike="noStrike" kern="1200">
              <a:solidFill>
                <a:srgbClr val="002532"/>
              </a:solidFill>
              <a:latin typeface="ForFuture Sans" panose="020B0504020203020204" pitchFamily="34" charset="0"/>
              <a:ea typeface="+mn-ea"/>
              <a:cs typeface="+mn-cs"/>
            </a:rPr>
            <a:pPr marL="0" indent="0" algn="ctr"/>
            <a:t>33</a:t>
          </a:fld>
          <a:endParaRPr lang="es-ES" sz="14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10</xdr:col>
      <xdr:colOff>523421</xdr:colOff>
      <xdr:row>44</xdr:row>
      <xdr:rowOff>158749</xdr:rowOff>
    </xdr:from>
    <xdr:to>
      <xdr:col>12</xdr:col>
      <xdr:colOff>63500</xdr:colOff>
      <xdr:row>47</xdr:row>
      <xdr:rowOff>140154</xdr:rowOff>
    </xdr:to>
    <xdr:sp macro="" textlink="TD!J8">
      <xdr:nvSpPr>
        <xdr:cNvPr id="28" name="Rectángulo: esquinas redondeadas 27">
          <a:extLst>
            <a:ext uri="{FF2B5EF4-FFF2-40B4-BE49-F238E27FC236}">
              <a16:creationId xmlns:a16="http://schemas.microsoft.com/office/drawing/2014/main" id="{F63882AB-15BA-4D37-9736-B03E7175A3F6}"/>
            </a:ext>
          </a:extLst>
        </xdr:cNvPr>
        <xdr:cNvSpPr/>
      </xdr:nvSpPr>
      <xdr:spPr>
        <a:xfrm>
          <a:off x="8143421" y="7942035"/>
          <a:ext cx="1064079" cy="5120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99B1002-D357-4A5A-BCA2-CD1581945289}" type="TxLink">
            <a:rPr lang="en-US" sz="1400" b="1" i="0" u="none" strike="noStrike" kern="1200">
              <a:solidFill>
                <a:srgbClr val="002532"/>
              </a:solidFill>
              <a:latin typeface="ForFuture Sans" panose="020B0504020203020204" pitchFamily="34" charset="0"/>
              <a:ea typeface="+mn-ea"/>
              <a:cs typeface="+mn-cs"/>
            </a:rPr>
            <a:pPr marL="0" indent="0" algn="ctr"/>
            <a:t>1,62%</a:t>
          </a:fld>
          <a:endParaRPr lang="es-ES" sz="1400" b="1" i="0" u="none" strike="noStrike" kern="1200">
            <a:solidFill>
              <a:srgbClr val="002532"/>
            </a:solidFill>
            <a:latin typeface="ForFuture Sans" panose="020B0504020203020204" pitchFamily="34" charset="0"/>
            <a:ea typeface="+mn-ea"/>
            <a:cs typeface="+mn-cs"/>
          </a:endParaRPr>
        </a:p>
      </xdr:txBody>
    </xdr:sp>
    <xdr:clientData/>
  </xdr:twoCellAnchor>
  <xdr:twoCellAnchor>
    <xdr:from>
      <xdr:col>9</xdr:col>
      <xdr:colOff>113391</xdr:colOff>
      <xdr:row>42</xdr:row>
      <xdr:rowOff>98424</xdr:rowOff>
    </xdr:from>
    <xdr:to>
      <xdr:col>13</xdr:col>
      <xdr:colOff>405039</xdr:colOff>
      <xdr:row>50</xdr:row>
      <xdr:rowOff>163284</xdr:rowOff>
    </xdr:to>
    <xdr:graphicFrame macro="">
      <xdr:nvGraphicFramePr>
        <xdr:cNvPr id="29" name="Gráfico 28">
          <a:extLst>
            <a:ext uri="{FF2B5EF4-FFF2-40B4-BE49-F238E27FC236}">
              <a16:creationId xmlns:a16="http://schemas.microsoft.com/office/drawing/2014/main" id="{B5CECE26-6AFE-4875-A396-5A1525FAE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125638</xdr:colOff>
      <xdr:row>9</xdr:row>
      <xdr:rowOff>125638</xdr:rowOff>
    </xdr:from>
    <xdr:to>
      <xdr:col>2</xdr:col>
      <xdr:colOff>136071</xdr:colOff>
      <xdr:row>19</xdr:row>
      <xdr:rowOff>27214</xdr:rowOff>
    </xdr:to>
    <mc:AlternateContent xmlns:mc="http://schemas.openxmlformats.org/markup-compatibility/2006" xmlns:a14="http://schemas.microsoft.com/office/drawing/2010/main">
      <mc:Choice Requires="a14">
        <xdr:graphicFrame macro="">
          <xdr:nvGraphicFramePr>
            <xdr:cNvPr id="30" name="Trimestre de inicio">
              <a:extLst>
                <a:ext uri="{FF2B5EF4-FFF2-40B4-BE49-F238E27FC236}">
                  <a16:creationId xmlns:a16="http://schemas.microsoft.com/office/drawing/2014/main" id="{6158F8E1-5019-4375-8FE0-8E675E4E5CDC}"/>
                </a:ext>
              </a:extLst>
            </xdr:cNvPr>
            <xdr:cNvGraphicFramePr/>
          </xdr:nvGraphicFramePr>
          <xdr:xfrm>
            <a:off x="0" y="0"/>
            <a:ext cx="0" cy="0"/>
          </xdr:xfrm>
          <a:graphic>
            <a:graphicData uri="http://schemas.microsoft.com/office/drawing/2010/slicer">
              <sle:slicer xmlns:sle="http://schemas.microsoft.com/office/drawing/2010/slicer" name="Trimestre de inicio"/>
            </a:graphicData>
          </a:graphic>
        </xdr:graphicFrame>
      </mc:Choice>
      <mc:Fallback xmlns="">
        <xdr:sp macro="" textlink="">
          <xdr:nvSpPr>
            <xdr:cNvPr id="0" name=""/>
            <xdr:cNvSpPr>
              <a:spLocks noTextEdit="1"/>
            </xdr:cNvSpPr>
          </xdr:nvSpPr>
          <xdr:spPr>
            <a:xfrm>
              <a:off x="122463" y="1714499"/>
              <a:ext cx="1537608" cy="1676854"/>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139247</xdr:colOff>
      <xdr:row>22</xdr:row>
      <xdr:rowOff>58510</xdr:rowOff>
    </xdr:from>
    <xdr:to>
      <xdr:col>2</xdr:col>
      <xdr:colOff>122465</xdr:colOff>
      <xdr:row>28</xdr:row>
      <xdr:rowOff>20864</xdr:rowOff>
    </xdr:to>
    <mc:AlternateContent xmlns:mc="http://schemas.openxmlformats.org/markup-compatibility/2006" xmlns:a14="http://schemas.microsoft.com/office/drawing/2010/main">
      <mc:Choice Requires="a14">
        <xdr:graphicFrame macro="">
          <xdr:nvGraphicFramePr>
            <xdr:cNvPr id="31" name="Género">
              <a:extLst>
                <a:ext uri="{FF2B5EF4-FFF2-40B4-BE49-F238E27FC236}">
                  <a16:creationId xmlns:a16="http://schemas.microsoft.com/office/drawing/2014/main" id="{E006B644-EF2A-44B7-8F92-ED16ABC097D6}"/>
                </a:ext>
              </a:extLst>
            </xdr:cNvPr>
            <xdr:cNvGraphicFramePr/>
          </xdr:nvGraphicFramePr>
          <xdr:xfrm>
            <a:off x="0" y="0"/>
            <a:ext cx="0" cy="0"/>
          </xdr:xfrm>
          <a:graphic>
            <a:graphicData uri="http://schemas.microsoft.com/office/drawing/2010/slicer">
              <sle:slicer xmlns:sle="http://schemas.microsoft.com/office/drawing/2010/slicer" name="Género"/>
            </a:graphicData>
          </a:graphic>
        </xdr:graphicFrame>
      </mc:Choice>
      <mc:Fallback xmlns="">
        <xdr:sp macro="" textlink="">
          <xdr:nvSpPr>
            <xdr:cNvPr id="0" name=""/>
            <xdr:cNvSpPr>
              <a:spLocks noTextEdit="1"/>
            </xdr:cNvSpPr>
          </xdr:nvSpPr>
          <xdr:spPr>
            <a:xfrm>
              <a:off x="142422" y="3950153"/>
              <a:ext cx="1507218" cy="1023711"/>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163286</xdr:colOff>
      <xdr:row>32</xdr:row>
      <xdr:rowOff>149680</xdr:rowOff>
    </xdr:from>
    <xdr:to>
      <xdr:col>2</xdr:col>
      <xdr:colOff>136071</xdr:colOff>
      <xdr:row>40</xdr:row>
      <xdr:rowOff>136072</xdr:rowOff>
    </xdr:to>
    <mc:AlternateContent xmlns:mc="http://schemas.openxmlformats.org/markup-compatibility/2006" xmlns:a14="http://schemas.microsoft.com/office/drawing/2010/main">
      <mc:Choice Requires="a14">
        <xdr:graphicFrame macro="">
          <xdr:nvGraphicFramePr>
            <xdr:cNvPr id="32" name="Edad">
              <a:extLst>
                <a:ext uri="{FF2B5EF4-FFF2-40B4-BE49-F238E27FC236}">
                  <a16:creationId xmlns:a16="http://schemas.microsoft.com/office/drawing/2014/main" id="{050B824A-2E54-41E2-AA6B-3B690FBA6A45}"/>
                </a:ext>
              </a:extLst>
            </xdr:cNvPr>
            <xdr:cNvGraphicFramePr/>
          </xdr:nvGraphicFramePr>
          <xdr:xfrm>
            <a:off x="0" y="0"/>
            <a:ext cx="0" cy="0"/>
          </xdr:xfrm>
          <a:graphic>
            <a:graphicData uri="http://schemas.microsoft.com/office/drawing/2010/slicer">
              <sle:slicer xmlns:sle="http://schemas.microsoft.com/office/drawing/2010/slicer" name="Edad"/>
            </a:graphicData>
          </a:graphic>
        </xdr:graphicFrame>
      </mc:Choice>
      <mc:Fallback xmlns="">
        <xdr:sp macro="" textlink="">
          <xdr:nvSpPr>
            <xdr:cNvPr id="0" name=""/>
            <xdr:cNvSpPr>
              <a:spLocks noTextEdit="1"/>
            </xdr:cNvSpPr>
          </xdr:nvSpPr>
          <xdr:spPr>
            <a:xfrm>
              <a:off x="160111" y="5810251"/>
              <a:ext cx="1499960" cy="140153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2629976853" backgroundQuery="1" createdVersion="8" refreshedVersion="8" minRefreshableVersion="3" recordCount="0" supportSubquery="1" supportAdvancedDrill="1" xr:uid="{5151C89D-FC31-4EF9-8151-D2FD77FCED34}">
  <cacheSource type="external" connectionId="1"/>
  <cacheFields count="2">
    <cacheField name="[Measures].[Recuento de Título de la formación]" caption="Recuento de Título de la formación" numFmtId="0" hierarchy="20" level="32767"/>
    <cacheField name="[Tabla2].[Edad].[Edad]" caption="Edad" numFmtId="0" hierarchy="12" level="1">
      <sharedItems containsSemiMixedTypes="0" containsNonDate="0" containsString="0"/>
    </cacheField>
  </cacheFields>
  <cacheHierarchies count="23">
    <cacheHierarchy uniqueName="[Tabla2].[ID profesional]" caption="ID profesional" attribute="1" defaultMemberUniqueName="[Tabla2].[ID profesional].[All]" allUniqueName="[Tabla2].[ID profesional].[All]" dimensionUniqueName="[Tabla2]" displayFolder="" count="2" memberValueDatatype="20" unbalanced="0"/>
    <cacheHierarchy uniqueName="[Tabla2].[Unidad de Gestión]" caption="Unidad de Gestión" attribute="1" defaultMemberUniqueName="[Tabla2].[Unidad de Gestión].[All]" allUniqueName="[Tabla2].[Unidad de Gestión].[All]" dimensionUniqueName="[Tabla2]" displayFolder="" count="2" memberValueDatatype="130" unbalanced="0"/>
    <cacheHierarchy uniqueName="[Tabla2].[Puesto]" caption="Puesto" attribute="1" defaultMemberUniqueName="[Tabla2].[Puesto].[All]" allUniqueName="[Tabla2].[Puesto].[All]" dimensionUniqueName="[Tabla2]" displayFolder="" count="2"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2" memberValueDatatype="130" unbalanced="0"/>
    <cacheHierarchy uniqueName="[Tabla2].[Proveedor de la formación]" caption="Proveedor de la formación" attribute="1" defaultMemberUniqueName="[Tabla2].[Proveedor de la formación].[All]" allUniqueName="[Tabla2].[Proveedor de la formación].[All]" dimensionUniqueName="[Tabla2]" displayFolder="" count="2" memberValueDatatype="130" unbalanced="0"/>
    <cacheHierarchy uniqueName="[Tabla2].[Estado del curso]" caption="Estado del curso" attribute="1" defaultMemberUniqueName="[Tabla2].[Estado del curso].[All]" allUniqueName="[Tabla2].[Estado del curso].[All]" dimensionUniqueName="[Tabla2]" displayFolder="" count="2" memberValueDatatype="130" unbalanced="0"/>
    <cacheHierarchy uniqueName="[Tabla2].[Fecha de inicio]" caption="Fecha de inicio" attribute="1" time="1" defaultMemberUniqueName="[Tabla2].[Fecha de inicio].[All]" allUniqueName="[Tabla2].[Fecha de inicio].[All]" dimensionUniqueName="[Tabla2]" displayFolder="" count="2" memberValueDatatype="7" unbalanced="0"/>
    <cacheHierarchy uniqueName="[Tabla2].[Fecha de fin]" caption="Fecha de fin" attribute="1" time="1" defaultMemberUniqueName="[Tabla2].[Fecha de fin].[All]" allUniqueName="[Tabla2].[Fecha de fin].[All]" dimensionUniqueName="[Tabla2]" displayFolder="" count="2" memberValueDatatype="7" unbalanced="0"/>
    <cacheHierarchy uniqueName="[Tabla2].[Coste del curso]" caption="Coste del curso" attribute="1" defaultMemberUniqueName="[Tabla2].[Coste del curso].[All]" allUniqueName="[Tabla2].[Coste del curso].[All]" dimensionUniqueName="[Tabla2]" displayFolder="" count="2" memberValueDatatype="5" unbalanced="0"/>
    <cacheHierarchy uniqueName="[Tabla2].[Tipo de formación]" caption="Tipo de formación" attribute="1" defaultMemberUniqueName="[Tabla2].[Tipo de formación].[All]" allUniqueName="[Tabla2].[Tipo de formación].[All]" dimensionUniqueName="[Tabla2]" displayFolder="" count="2" memberValueDatatype="130" unbalanced="0"/>
    <cacheHierarchy uniqueName="[Tabla2].[País]" caption="País" attribute="1" defaultMemberUniqueName="[Tabla2].[País].[All]" allUniqueName="[Tabla2].[País].[All]" dimensionUniqueName="[Tabla2]" displayFolder="" count="2"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fieldsUsage count="2">
        <fieldUsage x="-1"/>
        <fieldUsage x="1"/>
      </fieldsUsage>
    </cacheHierarchy>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2" memberValueDatatype="20" unbalanced="0"/>
    <cacheHierarchy uniqueName="[Tabla2].[Mes de inicio]" caption="Mes de inicio" attribute="1" defaultMemberUniqueName="[Tabla2].[Mes de inicio].[All]" allUniqueName="[Tabla2].[Mes de inicio].[All]" dimensionUniqueName="[Tabla2]" displayFolder="" count="2" memberValueDatatype="130" unbalanced="0"/>
    <cacheHierarchy uniqueName="[Tabla2].[Fecha de inicio (mes)]" caption="Fecha de inicio (mes)" attribute="1" defaultMemberUniqueName="[Tabla2].[Fecha de inicio (mes)].[All]" allUniqueName="[Tabla2].[Fecha de inicio (mes)].[All]" dimensionUniqueName="[Tabla2]" displayFolder="" count="2" memberValueDatatype="130" unbalanced="0"/>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2"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oneField="1" hidden="1">
      <fieldsUsage count="1">
        <fieldUsage x="0"/>
      </fieldsUsage>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2" uniqueName="[Tabla2]" caption="Tabla2"/>
  </dimensions>
  <measureGroups count="1">
    <measureGroup name="Tabla2" caption="Tabl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2630324076" backgroundQuery="1" createdVersion="8" refreshedVersion="8" minRefreshableVersion="3" recordCount="0" supportSubquery="1" supportAdvancedDrill="1" xr:uid="{F7DE6716-033D-4CD7-9649-E32AF0E33C0F}">
  <cacheSource type="external" connectionId="1"/>
  <cacheFields count="6">
    <cacheField name="[Measures].[Recuento de Título de la formación]" caption="Recuento de Título de la formación" numFmtId="0" hierarchy="20" level="32767"/>
    <cacheField name="[Tabla2].[Estado del curso].[Estado del curso]" caption="Estado del curso" numFmtId="0" hierarchy="5" level="1">
      <sharedItems containsSemiMixedTypes="0" containsNonDate="0" containsString="0"/>
    </cacheField>
    <cacheField name="[Tabla2].[Año de inicio].[Año de inicio]" caption="Año de inicio" numFmtId="0" hierarchy="14" level="1">
      <sharedItems containsSemiMixedTypes="0" containsNonDate="0" containsString="0"/>
    </cacheField>
    <cacheField name="[Tabla2].[Título de la formación].[Título de la formación]" caption="Título de la formación" numFmtId="0" hierarchy="3" level="1">
      <sharedItems count="10">
        <s v="AZ-900 Azure Fundamentals"/>
        <s v="Curso avanzado de CHAT GPT y microsoft copilot para profesionales"/>
        <s v="Introducción a la inteligencia artificial"/>
        <s v="Introducción Metodologías Agile"/>
        <s v="Liderazgo 360"/>
        <s v="Liderazgo 4.0 - Líder en acción"/>
        <s v="Liderazgo 4.0 - Versión Extendida"/>
        <s v="Nivel básico de prevención en construcción"/>
        <s v="Productividad y Gestión del Tiempo"/>
        <s v="Smart Start: Resolución de problemas en entornos VUCA (eSports)"/>
      </sharedItems>
    </cacheField>
    <cacheField name="[Measures].[Promedio de Coste del curso]" caption="Promedio de Coste del curso" numFmtId="0" hierarchy="22" level="32767"/>
    <cacheField name="[Tabla2].[Edad].[Edad]" caption="Edad" numFmtId="0" hierarchy="12" level="1">
      <sharedItems containsSemiMixedTypes="0" containsNonDate="0" containsString="0"/>
    </cacheField>
  </cacheFields>
  <cacheHierarchies count="23">
    <cacheHierarchy uniqueName="[Tabla2].[ID profesional]" caption="ID profesional" attribute="1" defaultMemberUniqueName="[Tabla2].[ID profesional].[All]" allUniqueName="[Tabla2].[ID profesional].[All]" dimensionUniqueName="[Tabla2]" displayFolder="" count="0" memberValueDatatype="20" unbalanced="0"/>
    <cacheHierarchy uniqueName="[Tabla2].[Unidad de Gestión]" caption="Unidad de Gestión" attribute="1" defaultMemberUniqueName="[Tabla2].[Unidad de Gestión].[All]" allUniqueName="[Tabla2].[Unidad de Gestión].[All]" dimensionUniqueName="[Tabla2]" displayFolder="" count="0" memberValueDatatype="130" unbalanced="0"/>
    <cacheHierarchy uniqueName="[Tabla2].[Puesto]" caption="Puesto" attribute="1" defaultMemberUniqueName="[Tabla2].[Puesto].[All]" allUniqueName="[Tabla2].[Puesto].[All]" dimensionUniqueName="[Tabla2]" displayFolder="" count="0"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2" memberValueDatatype="130" unbalanced="0">
      <fieldsUsage count="2">
        <fieldUsage x="-1"/>
        <fieldUsage x="3"/>
      </fieldsUsage>
    </cacheHierarchy>
    <cacheHierarchy uniqueName="[Tabla2].[Proveedor de la formación]" caption="Proveedor de la formación" attribute="1" defaultMemberUniqueName="[Tabla2].[Proveedor de la formación].[All]" allUniqueName="[Tabla2].[Proveedor de la formación].[All]" dimensionUniqueName="[Tabla2]" displayFolder="" count="0" memberValueDatatype="130" unbalanced="0"/>
    <cacheHierarchy uniqueName="[Tabla2].[Estado del curso]" caption="Estado del curso" attribute="1" defaultMemberUniqueName="[Tabla2].[Estado del curso].[All]" allUniqueName="[Tabla2].[Estado del curso].[All]" dimensionUniqueName="[Tabla2]" displayFolder="" count="2" memberValueDatatype="130" unbalanced="0">
      <fieldsUsage count="2">
        <fieldUsage x="-1"/>
        <fieldUsage x="1"/>
      </fieldsUsage>
    </cacheHierarchy>
    <cacheHierarchy uniqueName="[Tabla2].[Fecha de inicio]" caption="Fecha de inicio" attribute="1" time="1" defaultMemberUniqueName="[Tabla2].[Fecha de inicio].[All]" allUniqueName="[Tabla2].[Fecha de inicio].[All]" dimensionUniqueName="[Tabla2]" displayFolder="" count="0" memberValueDatatype="7" unbalanced="0"/>
    <cacheHierarchy uniqueName="[Tabla2].[Fecha de fin]" caption="Fecha de fin" attribute="1" time="1" defaultMemberUniqueName="[Tabla2].[Fecha de fin].[All]" allUniqueName="[Tabla2].[Fecha de fin].[All]" dimensionUniqueName="[Tabla2]" displayFolder="" count="0" memberValueDatatype="7" unbalanced="0"/>
    <cacheHierarchy uniqueName="[Tabla2].[Coste del curso]" caption="Coste del curso" attribute="1" defaultMemberUniqueName="[Tabla2].[Coste del curso].[All]" allUniqueName="[Tabla2].[Coste del curso].[All]" dimensionUniqueName="[Tabla2]" displayFolder="" count="0" memberValueDatatype="5" unbalanced="0"/>
    <cacheHierarchy uniqueName="[Tabla2].[Tipo de formación]" caption="Tipo de formación" attribute="1" defaultMemberUniqueName="[Tabla2].[Tipo de formación].[All]" allUniqueName="[Tabla2].[Tipo de formación].[All]" dimensionUniqueName="[Tabla2]" displayFolder="" count="0" memberValueDatatype="130" unbalanced="0"/>
    <cacheHierarchy uniqueName="[Tabla2].[País]" caption="País" attribute="1" defaultMemberUniqueName="[Tabla2].[País].[All]" allUniqueName="[Tabla2].[País].[All]" dimensionUniqueName="[Tabla2]" displayFolder="" count="0"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fieldsUsage count="2">
        <fieldUsage x="-1"/>
        <fieldUsage x="5"/>
      </fieldsUsage>
    </cacheHierarchy>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2" memberValueDatatype="20" unbalanced="0">
      <fieldsUsage count="2">
        <fieldUsage x="-1"/>
        <fieldUsage x="2"/>
      </fieldsUsage>
    </cacheHierarchy>
    <cacheHierarchy uniqueName="[Tabla2].[Mes de inicio]" caption="Mes de inicio" attribute="1" defaultMemberUniqueName="[Tabla2].[Mes de inicio].[All]" allUniqueName="[Tabla2].[Mes de inicio].[All]" dimensionUniqueName="[Tabla2]" displayFolder="" count="0" memberValueDatatype="130" unbalanced="0"/>
    <cacheHierarchy uniqueName="[Tabla2].[Fecha de inicio (mes)]" caption="Fecha de inicio (mes)" attribute="1" defaultMemberUniqueName="[Tabla2].[Fecha de inicio (mes)].[All]" allUniqueName="[Tabla2].[Fecha de inicio (mes)].[All]" dimensionUniqueName="[Tabla2]" displayFolder="" count="0" memberValueDatatype="130" unbalanced="0"/>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0"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oneField="1" hidden="1">
      <fieldsUsage count="1">
        <fieldUsage x="0"/>
      </fieldsUsage>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2" uniqueName="[Tabla2]" caption="Tabla2"/>
  </dimensions>
  <measureGroups count="1">
    <measureGroup name="Tabla2" caption="Tabl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2630324076" backgroundQuery="1" createdVersion="8" refreshedVersion="8" minRefreshableVersion="3" recordCount="0" supportSubquery="1" supportAdvancedDrill="1" xr:uid="{68A24C33-CC7A-4421-A844-B213029BF322}">
  <cacheSource type="external" connectionId="1"/>
  <cacheFields count="3">
    <cacheField name="[Measures].[Recuento de Título de la formación]" caption="Recuento de Título de la formación" numFmtId="0" hierarchy="20" level="32767"/>
    <cacheField name="[Tabla2].[Estado del curso].[Estado del curso]" caption="Estado del curso" numFmtId="0" hierarchy="5" level="1">
      <sharedItems containsSemiMixedTypes="0" containsNonDate="0" containsString="0"/>
    </cacheField>
    <cacheField name="[Tabla2].[Edad].[Edad]" caption="Edad" numFmtId="0" hierarchy="12" level="1">
      <sharedItems containsSemiMixedTypes="0" containsNonDate="0" containsString="0"/>
    </cacheField>
  </cacheFields>
  <cacheHierarchies count="23">
    <cacheHierarchy uniqueName="[Tabla2].[ID profesional]" caption="ID profesional" attribute="1" defaultMemberUniqueName="[Tabla2].[ID profesional].[All]" allUniqueName="[Tabla2].[ID profesional].[All]" dimensionUniqueName="[Tabla2]" displayFolder="" count="0" memberValueDatatype="20" unbalanced="0"/>
    <cacheHierarchy uniqueName="[Tabla2].[Unidad de Gestión]" caption="Unidad de Gestión" attribute="1" defaultMemberUniqueName="[Tabla2].[Unidad de Gestión].[All]" allUniqueName="[Tabla2].[Unidad de Gestión].[All]" dimensionUniqueName="[Tabla2]" displayFolder="" count="0" memberValueDatatype="130" unbalanced="0"/>
    <cacheHierarchy uniqueName="[Tabla2].[Puesto]" caption="Puesto" attribute="1" defaultMemberUniqueName="[Tabla2].[Puesto].[All]" allUniqueName="[Tabla2].[Puesto].[All]" dimensionUniqueName="[Tabla2]" displayFolder="" count="0"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0" memberValueDatatype="130" unbalanced="0"/>
    <cacheHierarchy uniqueName="[Tabla2].[Proveedor de la formación]" caption="Proveedor de la formación" attribute="1" defaultMemberUniqueName="[Tabla2].[Proveedor de la formación].[All]" allUniqueName="[Tabla2].[Proveedor de la formación].[All]" dimensionUniqueName="[Tabla2]" displayFolder="" count="0" memberValueDatatype="130" unbalanced="0"/>
    <cacheHierarchy uniqueName="[Tabla2].[Estado del curso]" caption="Estado del curso" attribute="1" defaultMemberUniqueName="[Tabla2].[Estado del curso].[All]" allUniqueName="[Tabla2].[Estado del curso].[All]" dimensionUniqueName="[Tabla2]" displayFolder="" count="2" memberValueDatatype="130" unbalanced="0">
      <fieldsUsage count="2">
        <fieldUsage x="-1"/>
        <fieldUsage x="1"/>
      </fieldsUsage>
    </cacheHierarchy>
    <cacheHierarchy uniqueName="[Tabla2].[Fecha de inicio]" caption="Fecha de inicio" attribute="1" time="1" defaultMemberUniqueName="[Tabla2].[Fecha de inicio].[All]" allUniqueName="[Tabla2].[Fecha de inicio].[All]" dimensionUniqueName="[Tabla2]" displayFolder="" count="0" memberValueDatatype="7" unbalanced="0"/>
    <cacheHierarchy uniqueName="[Tabla2].[Fecha de fin]" caption="Fecha de fin" attribute="1" time="1" defaultMemberUniqueName="[Tabla2].[Fecha de fin].[All]" allUniqueName="[Tabla2].[Fecha de fin].[All]" dimensionUniqueName="[Tabla2]" displayFolder="" count="0" memberValueDatatype="7" unbalanced="0"/>
    <cacheHierarchy uniqueName="[Tabla2].[Coste del curso]" caption="Coste del curso" attribute="1" defaultMemberUniqueName="[Tabla2].[Coste del curso].[All]" allUniqueName="[Tabla2].[Coste del curso].[All]" dimensionUniqueName="[Tabla2]" displayFolder="" count="0" memberValueDatatype="5" unbalanced="0"/>
    <cacheHierarchy uniqueName="[Tabla2].[Tipo de formación]" caption="Tipo de formación" attribute="1" defaultMemberUniqueName="[Tabla2].[Tipo de formación].[All]" allUniqueName="[Tabla2].[Tipo de formación].[All]" dimensionUniqueName="[Tabla2]" displayFolder="" count="0" memberValueDatatype="130" unbalanced="0"/>
    <cacheHierarchy uniqueName="[Tabla2].[País]" caption="País" attribute="1" defaultMemberUniqueName="[Tabla2].[País].[All]" allUniqueName="[Tabla2].[País].[All]" dimensionUniqueName="[Tabla2]" displayFolder="" count="0"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fieldsUsage count="2">
        <fieldUsage x="-1"/>
        <fieldUsage x="2"/>
      </fieldsUsage>
    </cacheHierarchy>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0" memberValueDatatype="20" unbalanced="0"/>
    <cacheHierarchy uniqueName="[Tabla2].[Mes de inicio]" caption="Mes de inicio" attribute="1" defaultMemberUniqueName="[Tabla2].[Mes de inicio].[All]" allUniqueName="[Tabla2].[Mes de inicio].[All]" dimensionUniqueName="[Tabla2]" displayFolder="" count="0" memberValueDatatype="130" unbalanced="0"/>
    <cacheHierarchy uniqueName="[Tabla2].[Fecha de inicio (mes)]" caption="Fecha de inicio (mes)" attribute="1" defaultMemberUniqueName="[Tabla2].[Fecha de inicio (mes)].[All]" allUniqueName="[Tabla2].[Fecha de inicio (mes)].[All]" dimensionUniqueName="[Tabla2]" displayFolder="" count="0" memberValueDatatype="130" unbalanced="0"/>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0"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oneField="1" hidden="1">
      <fieldsUsage count="1">
        <fieldUsage x="0"/>
      </fieldsUsage>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2" uniqueName="[Tabla2]" caption="Tabla2"/>
  </dimensions>
  <measureGroups count="1">
    <measureGroup name="Tabla2" caption="Tabl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2630902776" backgroundQuery="1" createdVersion="8" refreshedVersion="8" minRefreshableVersion="3" recordCount="0" supportSubquery="1" supportAdvancedDrill="1" xr:uid="{1378FBAD-3CFA-4C96-B6DF-2CF627CF84AD}">
  <cacheSource type="external" connectionId="1"/>
  <cacheFields count="5">
    <cacheField name="[Measures].[Recuento de Título de la formación]" caption="Recuento de Título de la formación" numFmtId="0" hierarchy="20" level="32767"/>
    <cacheField name="[Tabla2].[Estado del curso].[Estado del curso]" caption="Estado del curso" numFmtId="0" hierarchy="5" level="1">
      <sharedItems containsSemiMixedTypes="0" containsNonDate="0" containsString="0"/>
    </cacheField>
    <cacheField name="[Tabla2].[Año de inicio].[Año de inicio]" caption="Año de inicio" numFmtId="0" hierarchy="14" level="1">
      <sharedItems containsSemiMixedTypes="0" containsNonDate="0" containsString="0"/>
    </cacheField>
    <cacheField name="[Tabla2].[Proveedor de la formación].[Proveedor de la formación]" caption="Proveedor de la formación" numFmtId="0" hierarchy="4" level="1">
      <sharedItems count="10">
        <s v="Cas Training"/>
        <s v="CEGOS"/>
        <s v="Cle Formación"/>
        <s v="Creativity Certification Progam S.L."/>
        <s v="Global Knowledge Network Spain SLU"/>
        <s v="Ibertech"/>
        <s v="Ideados Formación"/>
        <s v="Imantia Desarrollo Directivo S.L"/>
        <s v="Itera"/>
        <s v="RANDSTAD CONSULTORES Y SOLUCIONES DE RRHH SLU"/>
      </sharedItems>
    </cacheField>
    <cacheField name="[Tabla2].[Edad].[Edad]" caption="Edad" numFmtId="0" hierarchy="12" level="1">
      <sharedItems containsSemiMixedTypes="0" containsNonDate="0" containsString="0"/>
    </cacheField>
  </cacheFields>
  <cacheHierarchies count="23">
    <cacheHierarchy uniqueName="[Tabla2].[ID profesional]" caption="ID profesional" attribute="1" defaultMemberUniqueName="[Tabla2].[ID profesional].[All]" allUniqueName="[Tabla2].[ID profesional].[All]" dimensionUniqueName="[Tabla2]" displayFolder="" count="0" memberValueDatatype="20" unbalanced="0"/>
    <cacheHierarchy uniqueName="[Tabla2].[Unidad de Gestión]" caption="Unidad de Gestión" attribute="1" defaultMemberUniqueName="[Tabla2].[Unidad de Gestión].[All]" allUniqueName="[Tabla2].[Unidad de Gestión].[All]" dimensionUniqueName="[Tabla2]" displayFolder="" count="0" memberValueDatatype="130" unbalanced="0"/>
    <cacheHierarchy uniqueName="[Tabla2].[Puesto]" caption="Puesto" attribute="1" defaultMemberUniqueName="[Tabla2].[Puesto].[All]" allUniqueName="[Tabla2].[Puesto].[All]" dimensionUniqueName="[Tabla2]" displayFolder="" count="0"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0" memberValueDatatype="130" unbalanced="0"/>
    <cacheHierarchy uniqueName="[Tabla2].[Proveedor de la formación]" caption="Proveedor de la formación" attribute="1" defaultMemberUniqueName="[Tabla2].[Proveedor de la formación].[All]" allUniqueName="[Tabla2].[Proveedor de la formación].[All]" dimensionUniqueName="[Tabla2]" displayFolder="" count="2" memberValueDatatype="130" unbalanced="0">
      <fieldsUsage count="2">
        <fieldUsage x="-1"/>
        <fieldUsage x="3"/>
      </fieldsUsage>
    </cacheHierarchy>
    <cacheHierarchy uniqueName="[Tabla2].[Estado del curso]" caption="Estado del curso" attribute="1" defaultMemberUniqueName="[Tabla2].[Estado del curso].[All]" allUniqueName="[Tabla2].[Estado del curso].[All]" dimensionUniqueName="[Tabla2]" displayFolder="" count="2" memberValueDatatype="130" unbalanced="0">
      <fieldsUsage count="2">
        <fieldUsage x="-1"/>
        <fieldUsage x="1"/>
      </fieldsUsage>
    </cacheHierarchy>
    <cacheHierarchy uniqueName="[Tabla2].[Fecha de inicio]" caption="Fecha de inicio" attribute="1" time="1" defaultMemberUniqueName="[Tabla2].[Fecha de inicio].[All]" allUniqueName="[Tabla2].[Fecha de inicio].[All]" dimensionUniqueName="[Tabla2]" displayFolder="" count="0" memberValueDatatype="7" unbalanced="0"/>
    <cacheHierarchy uniqueName="[Tabla2].[Fecha de fin]" caption="Fecha de fin" attribute="1" time="1" defaultMemberUniqueName="[Tabla2].[Fecha de fin].[All]" allUniqueName="[Tabla2].[Fecha de fin].[All]" dimensionUniqueName="[Tabla2]" displayFolder="" count="0" memberValueDatatype="7" unbalanced="0"/>
    <cacheHierarchy uniqueName="[Tabla2].[Coste del curso]" caption="Coste del curso" attribute="1" defaultMemberUniqueName="[Tabla2].[Coste del curso].[All]" allUniqueName="[Tabla2].[Coste del curso].[All]" dimensionUniqueName="[Tabla2]" displayFolder="" count="0" memberValueDatatype="5" unbalanced="0"/>
    <cacheHierarchy uniqueName="[Tabla2].[Tipo de formación]" caption="Tipo de formación" attribute="1" defaultMemberUniqueName="[Tabla2].[Tipo de formación].[All]" allUniqueName="[Tabla2].[Tipo de formación].[All]" dimensionUniqueName="[Tabla2]" displayFolder="" count="0" memberValueDatatype="130" unbalanced="0"/>
    <cacheHierarchy uniqueName="[Tabla2].[País]" caption="País" attribute="1" defaultMemberUniqueName="[Tabla2].[País].[All]" allUniqueName="[Tabla2].[País].[All]" dimensionUniqueName="[Tabla2]" displayFolder="" count="0"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fieldsUsage count="2">
        <fieldUsage x="-1"/>
        <fieldUsage x="4"/>
      </fieldsUsage>
    </cacheHierarchy>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2" memberValueDatatype="20" unbalanced="0">
      <fieldsUsage count="2">
        <fieldUsage x="-1"/>
        <fieldUsage x="2"/>
      </fieldsUsage>
    </cacheHierarchy>
    <cacheHierarchy uniqueName="[Tabla2].[Mes de inicio]" caption="Mes de inicio" attribute="1" defaultMemberUniqueName="[Tabla2].[Mes de inicio].[All]" allUniqueName="[Tabla2].[Mes de inicio].[All]" dimensionUniqueName="[Tabla2]" displayFolder="" count="0" memberValueDatatype="130" unbalanced="0"/>
    <cacheHierarchy uniqueName="[Tabla2].[Fecha de inicio (mes)]" caption="Fecha de inicio (mes)" attribute="1" defaultMemberUniqueName="[Tabla2].[Fecha de inicio (mes)].[All]" allUniqueName="[Tabla2].[Fecha de inicio (mes)].[All]" dimensionUniqueName="[Tabla2]" displayFolder="" count="0" memberValueDatatype="130" unbalanced="0"/>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0"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oneField="1" hidden="1">
      <fieldsUsage count="1">
        <fieldUsage x="0"/>
      </fieldsUsage>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2" uniqueName="[Tabla2]" caption="Tabla2"/>
  </dimensions>
  <measureGroups count="1">
    <measureGroup name="Tabla2" caption="Tabl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2631018515" backgroundQuery="1" createdVersion="8" refreshedVersion="8" minRefreshableVersion="3" recordCount="0" supportSubquery="1" supportAdvancedDrill="1" xr:uid="{048EE586-4713-461F-8A4F-F862FCC99115}">
  <cacheSource type="external" connectionId="1"/>
  <cacheFields count="3">
    <cacheField name="[Measures].[Recuento de Título de la formación]" caption="Recuento de Título de la formación" numFmtId="0" hierarchy="20" level="32767"/>
    <cacheField name="[Tabla2].[Estado del curso].[Estado del curso]" caption="Estado del curso" numFmtId="0" hierarchy="5" level="1">
      <sharedItems containsSemiMixedTypes="0" containsNonDate="0" containsString="0"/>
    </cacheField>
    <cacheField name="[Tabla2].[Edad].[Edad]" caption="Edad" numFmtId="0" hierarchy="12" level="1">
      <sharedItems containsSemiMixedTypes="0" containsNonDate="0" containsString="0"/>
    </cacheField>
  </cacheFields>
  <cacheHierarchies count="23">
    <cacheHierarchy uniqueName="[Tabla2].[ID profesional]" caption="ID profesional" attribute="1" defaultMemberUniqueName="[Tabla2].[ID profesional].[All]" allUniqueName="[Tabla2].[ID profesional].[All]" dimensionUniqueName="[Tabla2]" displayFolder="" count="0" memberValueDatatype="20" unbalanced="0"/>
    <cacheHierarchy uniqueName="[Tabla2].[Unidad de Gestión]" caption="Unidad de Gestión" attribute="1" defaultMemberUniqueName="[Tabla2].[Unidad de Gestión].[All]" allUniqueName="[Tabla2].[Unidad de Gestión].[All]" dimensionUniqueName="[Tabla2]" displayFolder="" count="0" memberValueDatatype="130" unbalanced="0"/>
    <cacheHierarchy uniqueName="[Tabla2].[Puesto]" caption="Puesto" attribute="1" defaultMemberUniqueName="[Tabla2].[Puesto].[All]" allUniqueName="[Tabla2].[Puesto].[All]" dimensionUniqueName="[Tabla2]" displayFolder="" count="0"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0" memberValueDatatype="130" unbalanced="0"/>
    <cacheHierarchy uniqueName="[Tabla2].[Proveedor de la formación]" caption="Proveedor de la formación" attribute="1" defaultMemberUniqueName="[Tabla2].[Proveedor de la formación].[All]" allUniqueName="[Tabla2].[Proveedor de la formación].[All]" dimensionUniqueName="[Tabla2]" displayFolder="" count="0" memberValueDatatype="130" unbalanced="0"/>
    <cacheHierarchy uniqueName="[Tabla2].[Estado del curso]" caption="Estado del curso" attribute="1" defaultMemberUniqueName="[Tabla2].[Estado del curso].[All]" allUniqueName="[Tabla2].[Estado del curso].[All]" dimensionUniqueName="[Tabla2]" displayFolder="" count="2" memberValueDatatype="130" unbalanced="0">
      <fieldsUsage count="2">
        <fieldUsage x="-1"/>
        <fieldUsage x="1"/>
      </fieldsUsage>
    </cacheHierarchy>
    <cacheHierarchy uniqueName="[Tabla2].[Fecha de inicio]" caption="Fecha de inicio" attribute="1" time="1" defaultMemberUniqueName="[Tabla2].[Fecha de inicio].[All]" allUniqueName="[Tabla2].[Fecha de inicio].[All]" dimensionUniqueName="[Tabla2]" displayFolder="" count="0" memberValueDatatype="7" unbalanced="0"/>
    <cacheHierarchy uniqueName="[Tabla2].[Fecha de fin]" caption="Fecha de fin" attribute="1" time="1" defaultMemberUniqueName="[Tabla2].[Fecha de fin].[All]" allUniqueName="[Tabla2].[Fecha de fin].[All]" dimensionUniqueName="[Tabla2]" displayFolder="" count="0" memberValueDatatype="7" unbalanced="0"/>
    <cacheHierarchy uniqueName="[Tabla2].[Coste del curso]" caption="Coste del curso" attribute="1" defaultMemberUniqueName="[Tabla2].[Coste del curso].[All]" allUniqueName="[Tabla2].[Coste del curso].[All]" dimensionUniqueName="[Tabla2]" displayFolder="" count="0" memberValueDatatype="5" unbalanced="0"/>
    <cacheHierarchy uniqueName="[Tabla2].[Tipo de formación]" caption="Tipo de formación" attribute="1" defaultMemberUniqueName="[Tabla2].[Tipo de formación].[All]" allUniqueName="[Tabla2].[Tipo de formación].[All]" dimensionUniqueName="[Tabla2]" displayFolder="" count="0" memberValueDatatype="130" unbalanced="0"/>
    <cacheHierarchy uniqueName="[Tabla2].[País]" caption="País" attribute="1" defaultMemberUniqueName="[Tabla2].[País].[All]" allUniqueName="[Tabla2].[País].[All]" dimensionUniqueName="[Tabla2]" displayFolder="" count="0"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fieldsUsage count="2">
        <fieldUsage x="-1"/>
        <fieldUsage x="2"/>
      </fieldsUsage>
    </cacheHierarchy>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0" memberValueDatatype="20" unbalanced="0"/>
    <cacheHierarchy uniqueName="[Tabla2].[Mes de inicio]" caption="Mes de inicio" attribute="1" defaultMemberUniqueName="[Tabla2].[Mes de inicio].[All]" allUniqueName="[Tabla2].[Mes de inicio].[All]" dimensionUniqueName="[Tabla2]" displayFolder="" count="0" memberValueDatatype="130" unbalanced="0"/>
    <cacheHierarchy uniqueName="[Tabla2].[Fecha de inicio (mes)]" caption="Fecha de inicio (mes)" attribute="1" defaultMemberUniqueName="[Tabla2].[Fecha de inicio (mes)].[All]" allUniqueName="[Tabla2].[Fecha de inicio (mes)].[All]" dimensionUniqueName="[Tabla2]" displayFolder="" count="0" memberValueDatatype="130" unbalanced="0"/>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0"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oneField="1" hidden="1">
      <fieldsUsage count="1">
        <fieldUsage x="0"/>
      </fieldsUsage>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2" uniqueName="[Tabla2]" caption="Tabla2"/>
  </dimensions>
  <measureGroups count="1">
    <measureGroup name="Tabla2" caption="Tabl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2631134261" backgroundQuery="1" createdVersion="8" refreshedVersion="8" minRefreshableVersion="3" recordCount="0" supportSubquery="1" supportAdvancedDrill="1" xr:uid="{911E9409-18E9-4835-A6C2-27F261329C05}">
  <cacheSource type="external" connectionId="1"/>
  <cacheFields count="3">
    <cacheField name="[Measures].[Recuento de Título de la formación]" caption="Recuento de Título de la formación" numFmtId="0" hierarchy="20" level="32767"/>
    <cacheField name="[Tabla2].[Estado del curso].[Estado del curso]" caption="Estado del curso" numFmtId="0" hierarchy="5" level="1">
      <sharedItems containsSemiMixedTypes="0" containsNonDate="0" containsString="0"/>
    </cacheField>
    <cacheField name="[Tabla2].[Edad].[Edad]" caption="Edad" numFmtId="0" hierarchy="12" level="1">
      <sharedItems containsSemiMixedTypes="0" containsNonDate="0" containsString="0"/>
    </cacheField>
  </cacheFields>
  <cacheHierarchies count="23">
    <cacheHierarchy uniqueName="[Tabla2].[ID profesional]" caption="ID profesional" attribute="1" defaultMemberUniqueName="[Tabla2].[ID profesional].[All]" allUniqueName="[Tabla2].[ID profesional].[All]" dimensionUniqueName="[Tabla2]" displayFolder="" count="0" memberValueDatatype="20" unbalanced="0"/>
    <cacheHierarchy uniqueName="[Tabla2].[Unidad de Gestión]" caption="Unidad de Gestión" attribute="1" defaultMemberUniqueName="[Tabla2].[Unidad de Gestión].[All]" allUniqueName="[Tabla2].[Unidad de Gestión].[All]" dimensionUniqueName="[Tabla2]" displayFolder="" count="0" memberValueDatatype="130" unbalanced="0"/>
    <cacheHierarchy uniqueName="[Tabla2].[Puesto]" caption="Puesto" attribute="1" defaultMemberUniqueName="[Tabla2].[Puesto].[All]" allUniqueName="[Tabla2].[Puesto].[All]" dimensionUniqueName="[Tabla2]" displayFolder="" count="0"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0" memberValueDatatype="130" unbalanced="0"/>
    <cacheHierarchy uniqueName="[Tabla2].[Proveedor de la formación]" caption="Proveedor de la formación" attribute="1" defaultMemberUniqueName="[Tabla2].[Proveedor de la formación].[All]" allUniqueName="[Tabla2].[Proveedor de la formación].[All]" dimensionUniqueName="[Tabla2]" displayFolder="" count="0" memberValueDatatype="130" unbalanced="0"/>
    <cacheHierarchy uniqueName="[Tabla2].[Estado del curso]" caption="Estado del curso" attribute="1" defaultMemberUniqueName="[Tabla2].[Estado del curso].[All]" allUniqueName="[Tabla2].[Estado del curso].[All]" dimensionUniqueName="[Tabla2]" displayFolder="" count="2" memberValueDatatype="130" unbalanced="0">
      <fieldsUsage count="2">
        <fieldUsage x="-1"/>
        <fieldUsage x="1"/>
      </fieldsUsage>
    </cacheHierarchy>
    <cacheHierarchy uniqueName="[Tabla2].[Fecha de inicio]" caption="Fecha de inicio" attribute="1" time="1" defaultMemberUniqueName="[Tabla2].[Fecha de inicio].[All]" allUniqueName="[Tabla2].[Fecha de inicio].[All]" dimensionUniqueName="[Tabla2]" displayFolder="" count="0" memberValueDatatype="7" unbalanced="0"/>
    <cacheHierarchy uniqueName="[Tabla2].[Fecha de fin]" caption="Fecha de fin" attribute="1" time="1" defaultMemberUniqueName="[Tabla2].[Fecha de fin].[All]" allUniqueName="[Tabla2].[Fecha de fin].[All]" dimensionUniqueName="[Tabla2]" displayFolder="" count="0" memberValueDatatype="7" unbalanced="0"/>
    <cacheHierarchy uniqueName="[Tabla2].[Coste del curso]" caption="Coste del curso" attribute="1" defaultMemberUniqueName="[Tabla2].[Coste del curso].[All]" allUniqueName="[Tabla2].[Coste del curso].[All]" dimensionUniqueName="[Tabla2]" displayFolder="" count="0" memberValueDatatype="5" unbalanced="0"/>
    <cacheHierarchy uniqueName="[Tabla2].[Tipo de formación]" caption="Tipo de formación" attribute="1" defaultMemberUniqueName="[Tabla2].[Tipo de formación].[All]" allUniqueName="[Tabla2].[Tipo de formación].[All]" dimensionUniqueName="[Tabla2]" displayFolder="" count="0" memberValueDatatype="130" unbalanced="0"/>
    <cacheHierarchy uniqueName="[Tabla2].[País]" caption="País" attribute="1" defaultMemberUniqueName="[Tabla2].[País].[All]" allUniqueName="[Tabla2].[País].[All]" dimensionUniqueName="[Tabla2]" displayFolder="" count="0"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fieldsUsage count="2">
        <fieldUsage x="-1"/>
        <fieldUsage x="2"/>
      </fieldsUsage>
    </cacheHierarchy>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0" memberValueDatatype="20" unbalanced="0"/>
    <cacheHierarchy uniqueName="[Tabla2].[Mes de inicio]" caption="Mes de inicio" attribute="1" defaultMemberUniqueName="[Tabla2].[Mes de inicio].[All]" allUniqueName="[Tabla2].[Mes de inicio].[All]" dimensionUniqueName="[Tabla2]" displayFolder="" count="0" memberValueDatatype="130" unbalanced="0"/>
    <cacheHierarchy uniqueName="[Tabla2].[Fecha de inicio (mes)]" caption="Fecha de inicio (mes)" attribute="1" defaultMemberUniqueName="[Tabla2].[Fecha de inicio (mes)].[All]" allUniqueName="[Tabla2].[Fecha de inicio (mes)].[All]" dimensionUniqueName="[Tabla2]" displayFolder="" count="0" memberValueDatatype="130" unbalanced="0"/>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0"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oneField="1" hidden="1">
      <fieldsUsage count="1">
        <fieldUsage x="0"/>
      </fieldsUsage>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2" uniqueName="[Tabla2]" caption="Tabla2"/>
  </dimensions>
  <measureGroups count="1">
    <measureGroup name="Tabla2" caption="Tabl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2631712962" backgroundQuery="1" createdVersion="8" refreshedVersion="8" minRefreshableVersion="3" recordCount="0" supportSubquery="1" supportAdvancedDrill="1" xr:uid="{DF155117-BCAB-4B9A-BF74-53AE8B3B3B22}">
  <cacheSource type="external" connectionId="1"/>
  <cacheFields count="6">
    <cacheField name="[Measures].[Recuento de Título de la formación]" caption="Recuento de Título de la formación" numFmtId="0" hierarchy="20" level="32767"/>
    <cacheField name="[Tabla2].[Estado del curso].[Estado del curso]" caption="Estado del curso" numFmtId="0" hierarchy="5" level="1">
      <sharedItems containsSemiMixedTypes="0" containsNonDate="0" containsString="0"/>
    </cacheField>
    <cacheField name="[Tabla2].[Año de inicio].[Año de inicio]" caption="Año de inicio" numFmtId="0" hierarchy="14" level="1">
      <sharedItems containsSemiMixedTypes="0" containsNonDate="0" containsString="0"/>
    </cacheField>
    <cacheField name="[Tabla2].[Fecha de inicio].[Fecha de inicio]" caption="Fecha de inicio" numFmtId="0" hierarchy="6" level="1">
      <sharedItems containsSemiMixedTypes="0" containsNonDate="0" containsDate="1" containsString="0" minDate="2025-01-07T00:00:00" maxDate="2025-11-13T00:00:00" count="182">
        <d v="2025-01-07T00:00:00"/>
        <d v="2025-01-09T00:00:00"/>
        <d v="2025-01-10T00:00:00"/>
        <d v="2025-01-13T00:00:00"/>
        <d v="2025-01-14T00:00:00"/>
        <d v="2025-01-15T00:00:00"/>
        <d v="2025-01-20T00:00:00"/>
        <d v="2025-01-21T00:00:00"/>
        <d v="2025-01-22T00:00:00"/>
        <d v="2025-01-23T00:00:00"/>
        <d v="2025-01-24T00:00:00"/>
        <d v="2025-01-27T00:00:00"/>
        <d v="2025-01-28T00:00:00"/>
        <d v="2025-01-29T00:00:00"/>
        <d v="2025-01-30T00:00:00"/>
        <d v="2025-02-03T00:00:00"/>
        <d v="2025-02-10T00:00:00"/>
        <d v="2025-02-12T00:00:00"/>
        <d v="2025-02-14T00:00:00"/>
        <d v="2025-02-15T00:00:00"/>
        <d v="2025-02-17T00:00:00"/>
        <d v="2025-02-18T00:00:00"/>
        <d v="2025-02-24T00:00:00"/>
        <d v="2025-02-25T00:00:00"/>
        <d v="2025-02-26T00:00:00"/>
        <d v="2025-02-27T00:00:00"/>
        <d v="2025-02-28T00:00:00"/>
        <d v="2025-03-03T00:00:00"/>
        <d v="2025-03-04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21T00:00:00"/>
        <d v="2025-04-22T00:00:00"/>
        <d v="2025-04-23T00:00:00"/>
        <d v="2025-04-24T00:00:00"/>
        <d v="2025-04-25T00:00:00"/>
        <d v="2025-04-28T00:00:00"/>
        <d v="2025-04-29T00:00:00"/>
        <d v="2025-04-30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8T00:00:00"/>
        <d v="2025-07-21T00:00:00"/>
        <d v="2025-07-22T00:00:00"/>
        <d v="2025-07-23T00:00:00"/>
        <d v="2025-07-24T00:00:00"/>
        <d v="2025-07-28T00:00:00"/>
        <d v="2025-07-29T00:00:00"/>
        <d v="2025-08-04T00:00:00"/>
        <d v="2025-08-05T00:00:00"/>
        <d v="2025-08-07T00:00:00"/>
        <d v="2025-08-11T00:00:00"/>
        <d v="2025-08-27T00:00:00"/>
        <d v="2025-08-28T00:00:00"/>
        <d v="2025-09-01T00:00:00"/>
        <d v="2025-09-02T00:00:00"/>
        <d v="2025-09-03T00:00:00"/>
        <d v="2025-09-04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1T00:00:00"/>
        <d v="2025-11-03T00:00:00"/>
        <d v="2025-11-04T00:00:00"/>
        <d v="2025-11-05T00:00:00"/>
        <d v="2025-11-06T00:00:00"/>
        <d v="2025-11-07T00:00:00"/>
        <d v="2025-11-11T00:00:00"/>
        <d v="2025-11-12T00:00:00"/>
      </sharedItems>
    </cacheField>
    <cacheField name="[Tabla2].[Fecha de inicio (mes)].[Fecha de inicio (mes)]" caption="Fecha de inicio (mes)" numFmtId="0" hierarchy="16" level="1">
      <sharedItems count="11">
        <s v="ene"/>
        <s v="feb"/>
        <s v="mar"/>
        <s v="abr"/>
        <s v="may"/>
        <s v="jun"/>
        <s v="jul"/>
        <s v="ago"/>
        <s v="sep"/>
        <s v="oct"/>
        <s v="nov"/>
      </sharedItems>
    </cacheField>
    <cacheField name="[Tabla2].[Edad].[Edad]" caption="Edad" numFmtId="0" hierarchy="12" level="1">
      <sharedItems containsSemiMixedTypes="0" containsNonDate="0" containsString="0"/>
    </cacheField>
  </cacheFields>
  <cacheHierarchies count="23">
    <cacheHierarchy uniqueName="[Tabla2].[ID profesional]" caption="ID profesional" attribute="1" defaultMemberUniqueName="[Tabla2].[ID profesional].[All]" allUniqueName="[Tabla2].[ID profesional].[All]" dimensionUniqueName="[Tabla2]" displayFolder="" count="2" memberValueDatatype="20" unbalanced="0"/>
    <cacheHierarchy uniqueName="[Tabla2].[Unidad de Gestión]" caption="Unidad de Gestión" attribute="1" defaultMemberUniqueName="[Tabla2].[Unidad de Gestión].[All]" allUniqueName="[Tabla2].[Unidad de Gestión].[All]" dimensionUniqueName="[Tabla2]" displayFolder="" count="2" memberValueDatatype="130" unbalanced="0"/>
    <cacheHierarchy uniqueName="[Tabla2].[Puesto]" caption="Puesto" attribute="1" defaultMemberUniqueName="[Tabla2].[Puesto].[All]" allUniqueName="[Tabla2].[Puesto].[All]" dimensionUniqueName="[Tabla2]" displayFolder="" count="2"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2" memberValueDatatype="130" unbalanced="0"/>
    <cacheHierarchy uniqueName="[Tabla2].[Proveedor de la formación]" caption="Proveedor de la formación" attribute="1" defaultMemberUniqueName="[Tabla2].[Proveedor de la formación].[All]" allUniqueName="[Tabla2].[Proveedor de la formación].[All]" dimensionUniqueName="[Tabla2]" displayFolder="" count="2" memberValueDatatype="130" unbalanced="0"/>
    <cacheHierarchy uniqueName="[Tabla2].[Estado del curso]" caption="Estado del curso" attribute="1" defaultMemberUniqueName="[Tabla2].[Estado del curso].[All]" allUniqueName="[Tabla2].[Estado del curso].[All]" dimensionUniqueName="[Tabla2]" displayFolder="" count="2" memberValueDatatype="130" unbalanced="0">
      <fieldsUsage count="2">
        <fieldUsage x="-1"/>
        <fieldUsage x="1"/>
      </fieldsUsage>
    </cacheHierarchy>
    <cacheHierarchy uniqueName="[Tabla2].[Fecha de inicio]" caption="Fecha de inicio" attribute="1" time="1" defaultMemberUniqueName="[Tabla2].[Fecha de inicio].[All]" allUniqueName="[Tabla2].[Fecha de inicio].[All]" dimensionUniqueName="[Tabla2]" displayFolder="" count="2" memberValueDatatype="7" unbalanced="0">
      <fieldsUsage count="2">
        <fieldUsage x="-1"/>
        <fieldUsage x="3"/>
      </fieldsUsage>
    </cacheHierarchy>
    <cacheHierarchy uniqueName="[Tabla2].[Fecha de fin]" caption="Fecha de fin" attribute="1" time="1" defaultMemberUniqueName="[Tabla2].[Fecha de fin].[All]" allUniqueName="[Tabla2].[Fecha de fin].[All]" dimensionUniqueName="[Tabla2]" displayFolder="" count="2" memberValueDatatype="7" unbalanced="0"/>
    <cacheHierarchy uniqueName="[Tabla2].[Coste del curso]" caption="Coste del curso" attribute="1" defaultMemberUniqueName="[Tabla2].[Coste del curso].[All]" allUniqueName="[Tabla2].[Coste del curso].[All]" dimensionUniqueName="[Tabla2]" displayFolder="" count="2" memberValueDatatype="5" unbalanced="0"/>
    <cacheHierarchy uniqueName="[Tabla2].[Tipo de formación]" caption="Tipo de formación" attribute="1" defaultMemberUniqueName="[Tabla2].[Tipo de formación].[All]" allUniqueName="[Tabla2].[Tipo de formación].[All]" dimensionUniqueName="[Tabla2]" displayFolder="" count="2" memberValueDatatype="130" unbalanced="0"/>
    <cacheHierarchy uniqueName="[Tabla2].[País]" caption="País" attribute="1" defaultMemberUniqueName="[Tabla2].[País].[All]" allUniqueName="[Tabla2].[País].[All]" dimensionUniqueName="[Tabla2]" displayFolder="" count="2"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fieldsUsage count="2">
        <fieldUsage x="-1"/>
        <fieldUsage x="5"/>
      </fieldsUsage>
    </cacheHierarchy>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2" memberValueDatatype="20" unbalanced="0">
      <fieldsUsage count="2">
        <fieldUsage x="-1"/>
        <fieldUsage x="2"/>
      </fieldsUsage>
    </cacheHierarchy>
    <cacheHierarchy uniqueName="[Tabla2].[Mes de inicio]" caption="Mes de inicio" attribute="1" defaultMemberUniqueName="[Tabla2].[Mes de inicio].[All]" allUniqueName="[Tabla2].[Mes de inicio].[All]" dimensionUniqueName="[Tabla2]" displayFolder="" count="2" memberValueDatatype="130" unbalanced="0"/>
    <cacheHierarchy uniqueName="[Tabla2].[Fecha de inicio (mes)]" caption="Fecha de inicio (mes)" attribute="1" defaultMemberUniqueName="[Tabla2].[Fecha de inicio (mes)].[All]" allUniqueName="[Tabla2].[Fecha de inicio (mes)].[All]" dimensionUniqueName="[Tabla2]" displayFolder="" count="2" memberValueDatatype="130" unbalanced="0">
      <fieldsUsage count="2">
        <fieldUsage x="-1"/>
        <fieldUsage x="4"/>
      </fieldsUsage>
    </cacheHierarchy>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2"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oneField="1" hidden="1">
      <fieldsUsage count="1">
        <fieldUsage x="0"/>
      </fieldsUsage>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2" uniqueName="[Tabla2]" caption="Tabla2"/>
  </dimensions>
  <measureGroups count="1">
    <measureGroup name="Tabla2" caption="Tabla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ía Quirós Avendaño" refreshedDate="45991.761110995372" backgroundQuery="1" createdVersion="3" refreshedVersion="8" minRefreshableVersion="3" recordCount="0" supportSubquery="1" supportAdvancedDrill="1" xr:uid="{BB08D99D-0302-4233-ADC3-843473223C49}">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a2].[ID profesional]" caption="ID profesional" attribute="1" defaultMemberUniqueName="[Tabla2].[ID profesional].[All]" allUniqueName="[Tabla2].[ID profesional].[All]" dimensionUniqueName="[Tabla2]" displayFolder="" count="0" memberValueDatatype="20" unbalanced="0"/>
    <cacheHierarchy uniqueName="[Tabla2].[Unidad de Gestión]" caption="Unidad de Gestión" attribute="1" defaultMemberUniqueName="[Tabla2].[Unidad de Gestión].[All]" allUniqueName="[Tabla2].[Unidad de Gestión].[All]" dimensionUniqueName="[Tabla2]" displayFolder="" count="0" memberValueDatatype="130" unbalanced="0"/>
    <cacheHierarchy uniqueName="[Tabla2].[Puesto]" caption="Puesto" attribute="1" defaultMemberUniqueName="[Tabla2].[Puesto].[All]" allUniqueName="[Tabla2].[Puesto].[All]" dimensionUniqueName="[Tabla2]" displayFolder="" count="0" memberValueDatatype="130" unbalanced="0"/>
    <cacheHierarchy uniqueName="[Tabla2].[Título de la formación]" caption="Título de la formación" attribute="1" defaultMemberUniqueName="[Tabla2].[Título de la formación].[All]" allUniqueName="[Tabla2].[Título de la formación].[All]" dimensionUniqueName="[Tabla2]" displayFolder="" count="0" memberValueDatatype="130" unbalanced="0"/>
    <cacheHierarchy uniqueName="[Tabla2].[Proveedor de la formación]" caption="Proveedor de la formación" attribute="1" defaultMemberUniqueName="[Tabla2].[Proveedor de la formación].[All]" allUniqueName="[Tabla2].[Proveedor de la formación].[All]" dimensionUniqueName="[Tabla2]" displayFolder="" count="0" memberValueDatatype="130" unbalanced="0"/>
    <cacheHierarchy uniqueName="[Tabla2].[Estado del curso]" caption="Estado del curso" attribute="1" defaultMemberUniqueName="[Tabla2].[Estado del curso].[All]" allUniqueName="[Tabla2].[Estado del curso].[All]" dimensionUniqueName="[Tabla2]" displayFolder="" count="0" memberValueDatatype="130" unbalanced="0"/>
    <cacheHierarchy uniqueName="[Tabla2].[Fecha de inicio]" caption="Fecha de inicio" attribute="1" time="1" defaultMemberUniqueName="[Tabla2].[Fecha de inicio].[All]" allUniqueName="[Tabla2].[Fecha de inicio].[All]" dimensionUniqueName="[Tabla2]" displayFolder="" count="0" memberValueDatatype="7" unbalanced="0"/>
    <cacheHierarchy uniqueName="[Tabla2].[Fecha de fin]" caption="Fecha de fin" attribute="1" time="1" defaultMemberUniqueName="[Tabla2].[Fecha de fin].[All]" allUniqueName="[Tabla2].[Fecha de fin].[All]" dimensionUniqueName="[Tabla2]" displayFolder="" count="0" memberValueDatatype="7" unbalanced="0"/>
    <cacheHierarchy uniqueName="[Tabla2].[Coste del curso]" caption="Coste del curso" attribute="1" defaultMemberUniqueName="[Tabla2].[Coste del curso].[All]" allUniqueName="[Tabla2].[Coste del curso].[All]" dimensionUniqueName="[Tabla2]" displayFolder="" count="0" memberValueDatatype="5" unbalanced="0"/>
    <cacheHierarchy uniqueName="[Tabla2].[Tipo de formación]" caption="Tipo de formación" attribute="1" defaultMemberUniqueName="[Tabla2].[Tipo de formación].[All]" allUniqueName="[Tabla2].[Tipo de formación].[All]" dimensionUniqueName="[Tabla2]" displayFolder="" count="0" memberValueDatatype="130" unbalanced="0"/>
    <cacheHierarchy uniqueName="[Tabla2].[País]" caption="País" attribute="1" defaultMemberUniqueName="[Tabla2].[País].[All]" allUniqueName="[Tabla2].[País].[All]" dimensionUniqueName="[Tabla2]" displayFolder="" count="0" memberValueDatatype="130" unbalanced="0"/>
    <cacheHierarchy uniqueName="[Tabla2].[Género]" caption="Género" attribute="1" defaultMemberUniqueName="[Tabla2].[Género].[All]" allUniqueName="[Tabla2].[Género].[All]" dimensionUniqueName="[Tabla2]" displayFolder="" count="2" memberValueDatatype="130" unbalanced="0"/>
    <cacheHierarchy uniqueName="[Tabla2].[Edad]" caption="Edad" attribute="1" defaultMemberUniqueName="[Tabla2].[Edad].[All]" allUniqueName="[Tabla2].[Edad].[All]" dimensionUniqueName="[Tabla2]" displayFolder="" count="2" memberValueDatatype="130" unbalanced="0"/>
    <cacheHierarchy uniqueName="[Tabla2].[Trimestre de inicio]" caption="Trimestre de inicio" attribute="1" defaultMemberUniqueName="[Tabla2].[Trimestre de inicio].[All]" allUniqueName="[Tabla2].[Trimestre de inicio].[All]" dimensionUniqueName="[Tabla2]" displayFolder="" count="2" memberValueDatatype="130" unbalanced="0"/>
    <cacheHierarchy uniqueName="[Tabla2].[Año de inicio]" caption="Año de inicio" attribute="1" defaultMemberUniqueName="[Tabla2].[Año de inicio].[All]" allUniqueName="[Tabla2].[Año de inicio].[All]" dimensionUniqueName="[Tabla2]" displayFolder="" count="0" memberValueDatatype="20" unbalanced="0"/>
    <cacheHierarchy uniqueName="[Tabla2].[Mes de inicio]" caption="Mes de inicio" attribute="1" defaultMemberUniqueName="[Tabla2].[Mes de inicio].[All]" allUniqueName="[Tabla2].[Mes de inicio].[All]" dimensionUniqueName="[Tabla2]" displayFolder="" count="0" memberValueDatatype="130" unbalanced="0"/>
    <cacheHierarchy uniqueName="[Tabla2].[Fecha de inicio (mes)]" caption="Fecha de inicio (mes)" attribute="1" defaultMemberUniqueName="[Tabla2].[Fecha de inicio (mes)].[All]" allUniqueName="[Tabla2].[Fecha de inicio (mes)].[All]" dimensionUniqueName="[Tabla2]" displayFolder="" count="0" memberValueDatatype="130" unbalanced="0"/>
    <cacheHierarchy uniqueName="[Tabla2].[Fecha de inicio (índice de meses)]" caption="Fecha de inicio (índice de meses)" attribute="1" defaultMemberUniqueName="[Tabla2].[Fecha de inicio (índice de meses)].[All]" allUniqueName="[Tabla2].[Fecha de inicio (índice de meses)].[All]" dimensionUniqueName="[Tabla2]" displayFolder="" count="0" memberValueDatatype="20" unbalanced="0" hidden="1"/>
    <cacheHierarchy uniqueName="[Measures].[__XL_Count Tabla2]" caption="__XL_Count Tabla2" measure="1" displayFolder="" measureGroup="Tabla2" count="0" hidden="1"/>
    <cacheHierarchy uniqueName="[Measures].[__No measures defined]" caption="__No measures defined" measure="1" displayFolder="" count="0" hidden="1"/>
    <cacheHierarchy uniqueName="[Measures].[Recuento de Título de la formación]" caption="Recuento de Título de la formación" measure="1" displayFolder="" measureGroup="Tabla2" count="0" hidden="1">
      <extLst>
        <ext xmlns:x15="http://schemas.microsoft.com/office/spreadsheetml/2010/11/main" uri="{B97F6D7D-B522-45F9-BDA1-12C45D357490}">
          <x15:cacheHierarchy aggregatedColumn="3"/>
        </ext>
      </extLst>
    </cacheHierarchy>
    <cacheHierarchy uniqueName="[Measures].[Suma de Coste del curso]" caption="Suma de Coste del curso" measure="1" displayFolder="" measureGroup="Tabla2" count="0" hidden="1">
      <extLst>
        <ext xmlns:x15="http://schemas.microsoft.com/office/spreadsheetml/2010/11/main" uri="{B97F6D7D-B522-45F9-BDA1-12C45D357490}">
          <x15:cacheHierarchy aggregatedColumn="8"/>
        </ext>
      </extLst>
    </cacheHierarchy>
    <cacheHierarchy uniqueName="[Measures].[Promedio de Coste del curso]" caption="Promedio de Coste del curso" measure="1" displayFolder="" measureGroup="Tabla2"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5936773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F040B-C67C-477B-B560-385C3B3F4621}" name="TablaDinámica3"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4:D5"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5" name="[Tabla2].[Estado del curso].&amp;[Realizado]" cap="Realizado"/>
  </pageFields>
  <dataFields count="1">
    <dataField name="Recuento de Título de la formación" fld="0" subtotal="count" baseField="0" baseItem="0"/>
  </dataFields>
  <pivotHierarchies count="23">
    <pivotHierarchy dragToData="1"/>
    <pivotHierarchy dragToData="1"/>
    <pivotHierarchy dragToData="1"/>
    <pivotHierarchy dragToData="1"/>
    <pivotHierarchy dragToData="1"/>
    <pivotHierarchy multipleItemSelectionAllowed="1" dragToData="1">
      <members count="1" level="1">
        <member name="[Tabla2].[Estado del curso].&amp;[Realizado]"/>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yecto Dashboard &amp; Análisis de Datos.xlsx!Tabla2">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61CB2B-828C-49F4-9854-8BCA343BC410}"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cuento de Título de la formación" fld="0"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yecto Dashboard &amp; Análisis de Datos.xlsx!Tabla2">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3D2E14-74C1-47BF-B9C8-673CCD127194}" name="TablaDinámica4" cacheId="3" applyNumberFormats="0" applyBorderFormats="0" applyFontFormats="0" applyPatternFormats="0" applyAlignmentFormats="0" applyWidthHeightFormats="1" dataCaption="Valores" updatedVersion="8" minRefreshableVersion="3" useAutoFormatting="1" subtotalHiddenItems="1" rowGrandTotals="0" colGrandTotals="0" itemPrintTitles="1" createdVersion="8" indent="0" outline="1" outlineData="1" multipleFieldFilters="0" chartFormat="20">
  <location ref="I15:J25" firstHeaderRow="1" firstDataRow="1" firstDataCol="1" rowPageCount="2" colPageCount="1"/>
  <pivotFields count="5">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0">
    <i>
      <x/>
    </i>
    <i>
      <x v="7"/>
    </i>
    <i>
      <x v="2"/>
    </i>
    <i>
      <x v="5"/>
    </i>
    <i>
      <x v="8"/>
    </i>
    <i>
      <x v="4"/>
    </i>
    <i>
      <x v="6"/>
    </i>
    <i>
      <x v="3"/>
    </i>
    <i>
      <x v="9"/>
    </i>
    <i>
      <x v="1"/>
    </i>
  </rowItems>
  <colItems count="1">
    <i/>
  </colItems>
  <pageFields count="2">
    <pageField fld="1" hier="5" name="[Tabla2].[Estado del curso].&amp;[Realizado]" cap="Realizado"/>
    <pageField fld="2" hier="14" name="[Tabla2].[Año de inicio].&amp;[2025]" cap="2025"/>
  </pageFields>
  <dataFields count="1">
    <dataField name="Recuento de Título de la formación" fld="0" subtotal="count" baseField="0" baseItem="0"/>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Tabla2].[Estado del curso].&amp;[Realizado]"/>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members count="1" level="1">
        <member name="[Tabla2].[Año de inicio].&amp;[2025]"/>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20">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yecto Dashboard &amp; Análisis de Datos.xlsx!Tabla2">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F2BD1-3E11-453A-B6CA-D5B9702ECE14}" name="TablaDinámica1" cacheId="1" applyNumberFormats="0" applyBorderFormats="0" applyFontFormats="0" applyPatternFormats="0" applyAlignmentFormats="0" applyWidthHeightFormats="1" dataCaption="Valores" updatedVersion="8" minRefreshableVersion="3" useAutoFormatting="1" subtotalHiddenItems="1" rowGrandTotals="0" colGrandTotals="0" itemPrintTitles="1" createdVersion="8" indent="0" outline="1" outlineData="1" multipleFieldFilters="0" chartFormat="15" rowHeaderCaption="Título del curso">
  <location ref="E15:G25" firstHeaderRow="0" firstDataRow="1" firstDataCol="1" rowPageCount="2" colPageCount="1"/>
  <pivotFields count="6">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3"/>
  </rowFields>
  <rowItems count="10">
    <i>
      <x/>
    </i>
    <i>
      <x v="1"/>
    </i>
    <i>
      <x v="2"/>
    </i>
    <i>
      <x v="3"/>
    </i>
    <i>
      <x v="4"/>
    </i>
    <i>
      <x v="5"/>
    </i>
    <i>
      <x v="6"/>
    </i>
    <i>
      <x v="7"/>
    </i>
    <i>
      <x v="8"/>
    </i>
    <i>
      <x v="9"/>
    </i>
  </rowItems>
  <colFields count="1">
    <field x="-2"/>
  </colFields>
  <colItems count="2">
    <i>
      <x/>
    </i>
    <i i="1">
      <x v="1"/>
    </i>
  </colItems>
  <pageFields count="2">
    <pageField fld="1" hier="5" name="[Tabla2].[Estado del curso].&amp;[Realizado]" cap="Realizado"/>
    <pageField fld="2" hier="14" name="[Tabla2].[Año de inicio].&amp;[2025]" cap="2025"/>
  </pageFields>
  <dataFields count="2">
    <dataField name="Nº de veces hecho el curso" fld="0" subtotal="count" baseField="0" baseItem="0"/>
    <dataField name="Promedio de Coste del curso" fld="4" subtotal="average" baseField="3" baseItem="2" numFmtId="164"/>
  </dataFields>
  <formats count="1">
    <format dxfId="0">
      <pivotArea outline="0" collapsedLevelsAreSubtotals="1" fieldPosition="0">
        <references count="1">
          <reference field="4294967294" count="1" selected="0">
            <x v="1"/>
          </reference>
        </references>
      </pivotArea>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Tabla2].[Estado del curso].&amp;[Realizado]"/>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members count="1" level="1">
        <member name="[Tabla2].[Año de inicio].&amp;[2025]"/>
      </members>
    </pivotHierarchy>
    <pivotHierarchy dragToData="1"/>
    <pivotHierarchy dragToData="1"/>
    <pivotHierarchy dragToData="1"/>
    <pivotHierarchy dragToRow="0" dragToCol="0" dragToPage="0" dragToData="1"/>
    <pivotHierarchy dragToRow="0" dragToCol="0" dragToPage="0" dragToData="1"/>
    <pivotHierarchy dragToData="1" caption="Nº de veces hecho el curso"/>
    <pivotHierarchy dragToData="1"/>
    <pivotHierarchy dragToData="1" caption="Promedio de Coste del curso"/>
  </pivotHierarchies>
  <pivotTableStyleInfo name="PivotStyleMedium2" showRowHeaders="1" showColHeaders="1" showRowStripes="0" showColStripes="0" showLastColumn="1"/>
  <filters count="1">
    <filter fld="3" type="count" id="1" iMeasureHier="20">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yecto Dashboard &amp; Análisis de Datos.xlsx!Tabla2">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C15C74-AC7F-48AC-9668-DB5B4480D917}" name="ventas por mes" cacheId="6" applyNumberFormats="0" applyBorderFormats="0" applyFontFormats="0" applyPatternFormats="0" applyAlignmentFormats="0" applyWidthHeightFormats="1" dataCaption="Valores" updatedVersion="8" minRefreshableVersion="3" useAutoFormatting="1" subtotalHiddenItems="1" rowGrandTotals="0" colGrandTotals="0" itemPrintTitles="1" createdVersion="8" indent="0" outline="1" outlineData="1" multipleFieldFilters="0" chartFormat="15">
  <location ref="B15:C26" firstHeaderRow="1" firstDataRow="1" firstDataCol="1" rowPageCount="2" colPageCount="1"/>
  <pivotFields count="6">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4"/>
    <field x="3"/>
  </rowFields>
  <rowItems count="11">
    <i>
      <x/>
    </i>
    <i>
      <x v="1"/>
    </i>
    <i>
      <x v="2"/>
    </i>
    <i>
      <x v="3"/>
    </i>
    <i>
      <x v="4"/>
    </i>
    <i>
      <x v="5"/>
    </i>
    <i>
      <x v="6"/>
    </i>
    <i>
      <x v="7"/>
    </i>
    <i>
      <x v="8"/>
    </i>
    <i>
      <x v="9"/>
    </i>
    <i>
      <x v="10"/>
    </i>
  </rowItems>
  <colItems count="1">
    <i/>
  </colItems>
  <pageFields count="2">
    <pageField fld="1" hier="5" name="[Tabla2].[Estado del curso].&amp;[Realizado]" cap="Realizado"/>
    <pageField fld="2" hier="14" name="[Tabla2].[Año de inicio].&amp;[2025]" cap="2025"/>
  </pageFields>
  <dataFields count="1">
    <dataField name="Recuento de Título de la formación" fld="0" subtotal="count" baseField="0" baseItem="0"/>
  </dataFields>
  <chartFormats count="2">
    <chartFormat chart="4"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Tabla2].[Estado del curso].&amp;[Realizado]"/>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members count="1" level="1">
        <member name="[Tabla2].[Año de inicio].&amp;[2025]"/>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yecto Dashboard &amp; Análisis de Datos.xlsx!Tabla2">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D1C86E-821F-4726-AF91-E70F91C8AEC4}" name="TablaDinámica6"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4:G5"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5" name="[Tabla2].[Estado del curso].&amp;[Aprobado]" cap="Aprobado"/>
  </pageFields>
  <dataFields count="1">
    <dataField name="Recuento de Título de la formación" fld="0" subtotal="count" baseField="0" baseItem="0"/>
  </dataFields>
  <pivotHierarchies count="23">
    <pivotHierarchy dragToData="1"/>
    <pivotHierarchy dragToData="1"/>
    <pivotHierarchy dragToData="1"/>
    <pivotHierarchy dragToData="1"/>
    <pivotHierarchy dragToData="1"/>
    <pivotHierarchy multipleItemSelectionAllowed="1" dragToData="1">
      <members count="1" level="1">
        <member name="[Tabla2].[Estado del curso].&amp;[Aprobado]"/>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yecto Dashboard &amp; Análisis de Datos.xlsx!Tabla2">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505A95-D3CC-4E6F-ADB2-4F652D66FE45}" name="TablaDinámica7"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J4:J5"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5" name="[Tabla2].[Estado del curso].&amp;[Cancelado]" cap="Cancelado"/>
  </pageFields>
  <dataFields count="1">
    <dataField name="Recuento de Título de la formación" fld="0" subtotal="count" baseField="0" baseItem="0"/>
  </dataFields>
  <pivotHierarchies count="23">
    <pivotHierarchy dragToData="1"/>
    <pivotHierarchy dragToData="1"/>
    <pivotHierarchy dragToData="1"/>
    <pivotHierarchy dragToData="1"/>
    <pivotHierarchy dragToData="1"/>
    <pivotHierarchy multipleItemSelectionAllowed="1" dragToData="1">
      <members count="1" level="1">
        <member name="[Tabla2].[Estado del curso].&amp;[Cancelado]"/>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yecto Dashboard &amp; Análisis de Datos.xlsx!Tabla2">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rimestre_de_inicio" xr10:uid="{26EE5BFD-E628-4F95-A68B-85E19AAC03A4}" sourceName="[Tabla2].[Trimestre de inicio]">
  <pivotTables>
    <pivotTable tabId="3" name="TablaDinámica2"/>
    <pivotTable tabId="3" name="TablaDinámica1"/>
    <pivotTable tabId="3" name="TablaDinámica3"/>
    <pivotTable tabId="3" name="TablaDinámica4"/>
    <pivotTable tabId="3" name="TablaDinámica6"/>
    <pivotTable tabId="3" name="TablaDinámica7"/>
    <pivotTable tabId="3" name="ventas por mes"/>
  </pivotTables>
  <data>
    <olap pivotCacheId="1593677336">
      <levels count="2">
        <level uniqueName="[Tabla2].[Trimestre de inicio].[(All)]" sourceCaption="(All)" count="0"/>
        <level uniqueName="[Tabla2].[Trimestre de inicio].[Trimestre de inicio]" sourceCaption="Trimestre de inicio" count="4">
          <ranges>
            <range startItem="0">
              <i n="[Tabla2].[Trimestre de inicio].&amp;[T-1]" c="T-1"/>
              <i n="[Tabla2].[Trimestre de inicio].&amp;[T-2]" c="T-2"/>
              <i n="[Tabla2].[Trimestre de inicio].&amp;[T-3]" c="T-3"/>
              <i n="[Tabla2].[Trimestre de inicio].&amp;[T-4]" c="T-4"/>
            </range>
          </ranges>
        </level>
      </levels>
      <selections count="1">
        <selection n="[Tabla2].[Trimestre de inici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Género" xr10:uid="{BD2CBBCE-6A18-4A03-8CA2-4A693113B81C}" sourceName="[Tabla2].[Género]">
  <pivotTables>
    <pivotTable tabId="3" name="TablaDinámica2"/>
    <pivotTable tabId="3" name="TablaDinámica1"/>
    <pivotTable tabId="3" name="TablaDinámica3"/>
    <pivotTable tabId="3" name="TablaDinámica4"/>
    <pivotTable tabId="3" name="TablaDinámica6"/>
    <pivotTable tabId="3" name="TablaDinámica7"/>
    <pivotTable tabId="3" name="ventas por mes"/>
  </pivotTables>
  <data>
    <olap pivotCacheId="1593677336">
      <levels count="2">
        <level uniqueName="[Tabla2].[Género].[(All)]" sourceCaption="(All)" count="0"/>
        <level uniqueName="[Tabla2].[Género].[Género]" sourceCaption="Género" count="2">
          <ranges>
            <range startItem="0">
              <i n="[Tabla2].[Género].&amp;[Hombre]" c="Hombre"/>
              <i n="[Tabla2].[Género].&amp;[Mujer]" c="Mujer"/>
            </range>
          </ranges>
        </level>
      </levels>
      <selections count="1">
        <selection n="[Tabla2].[Género].[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dad" xr10:uid="{CFCE4E7D-76EC-49BB-9CA9-BB351615DF7D}" sourceName="[Tabla2].[Edad]">
  <pivotTables>
    <pivotTable tabId="3" name="TablaDinámica2"/>
    <pivotTable tabId="3" name="TablaDinámica1"/>
    <pivotTable tabId="3" name="TablaDinámica3"/>
    <pivotTable tabId="3" name="TablaDinámica4"/>
    <pivotTable tabId="3" name="TablaDinámica6"/>
    <pivotTable tabId="3" name="TablaDinámica7"/>
    <pivotTable tabId="3" name="ventas por mes"/>
  </pivotTables>
  <data>
    <olap pivotCacheId="1593677336">
      <levels count="2">
        <level uniqueName="[Tabla2].[Edad].[(All)]" sourceCaption="(All)" count="0"/>
        <level uniqueName="[Tabla2].[Edad].[Edad]" sourceCaption="Edad" count="3">
          <ranges>
            <range startItem="0">
              <i n="[Tabla2].[Edad].&amp;[20-30 años]" c="20-30 años"/>
              <i n="[Tabla2].[Edad].&amp;[31-50 años]" c="31-50 años"/>
              <i n="[Tabla2].[Edad].&amp;[51-65 años]" c="51-65 años"/>
            </range>
          </ranges>
        </level>
      </levels>
      <selections count="1">
        <selection n="[Tabla2].[Ed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imestre de inicio" xr10:uid="{8C6A52FF-B1CB-4271-9AD2-E7D1E6D98CC0}" cache="SegmentaciónDeDatos_Trimestre_de_inicio" caption="Trimestre de inicio" level="1" style="SlicerStyleDark1" rowHeight="251883"/>
  <slicer name="Género" xr10:uid="{F2DF3F51-690C-4CCB-A339-B8E29D91D730}" cache="SegmentaciónDeDatos_Género" caption="Género" level="1" style="SlicerStyleDark1" rowHeight="251883"/>
  <slicer name="Edad" xr10:uid="{24B0C322-C291-4AC5-A3A0-2A19B9E93612}" cache="SegmentaciónDeDatos_Edad" caption="Edad" level="1"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F23FD4-18B6-4120-B970-760AF954C57F}" name="Tabla2" displayName="Tabla2" ref="A1:P2043" totalsRowShown="0">
  <tableColumns count="16">
    <tableColumn id="1" xr3:uid="{CC5602A9-9250-4214-9944-A5F388B36D85}" name="ID profesional"/>
    <tableColumn id="2" xr3:uid="{00E31AC5-EB84-4BA3-8F12-5B873BAF834B}" name="Unidad de Gestión"/>
    <tableColumn id="3" xr3:uid="{2699CA47-F44D-4D0D-ADA9-6463C10346FA}" name="Puesto"/>
    <tableColumn id="4" xr3:uid="{80E5E45B-A4B3-4B60-A2B4-A16E5B50CBB0}" name="Título de la formación"/>
    <tableColumn id="5" xr3:uid="{31219893-D86F-48C5-808E-EEF4B468F7A1}" name="Proveedor de la formación"/>
    <tableColumn id="6" xr3:uid="{3CD92220-A8FF-4BC8-9807-2254F499E417}" name="Estado del curso"/>
    <tableColumn id="7" xr3:uid="{182B66D5-9CA6-4A6F-A488-5CBAAB196C76}" name="Fecha de inicio" dataDxfId="3"/>
    <tableColumn id="8" xr3:uid="{720FADE0-E947-4DAE-925C-9E4B3AF3D294}" name="Fecha de fin" dataDxfId="2"/>
    <tableColumn id="9" xr3:uid="{C7B59910-4382-4389-AE75-69FB12CF16D5}" name="Coste del curso" dataDxfId="1"/>
    <tableColumn id="10" xr3:uid="{72A43F9D-4F6A-4385-8241-FF1BB8DDAC65}" name="Tipo de formación"/>
    <tableColumn id="11" xr3:uid="{855C8D73-3124-4CEB-B922-52A9901CB56B}" name="País"/>
    <tableColumn id="12" xr3:uid="{09F40AA1-C889-4B44-B177-264F60689548}" name="Género"/>
    <tableColumn id="13" xr3:uid="{F4674F1E-B030-4A98-8CED-578E46941F39}" name="Edad"/>
    <tableColumn id="14" xr3:uid="{A92769A4-1BD1-4A71-B775-663F9FCE1916}" name="Trimestre de inicio">
      <calculatedColumnFormula>"T-" &amp; ROUNDUP((MONTH(G2)/3), 0)</calculatedColumnFormula>
    </tableColumn>
    <tableColumn id="15" xr3:uid="{1CFE1333-D934-4847-92DC-F699586B64FC}" name="Año de inicio">
      <calculatedColumnFormula>YEAR(G2)</calculatedColumnFormula>
    </tableColumn>
    <tableColumn id="16" xr3:uid="{E79CA533-00B3-4437-8988-D4D8DAC1046F}" name="Mes de inicio">
      <calculatedColumnFormula>MONTH(G2) &amp; ". " &amp; TEXT(G2, "MMMM")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54C4C-B848-4B4D-86F6-115B697ADC48}">
  <dimension ref="A2:D45"/>
  <sheetViews>
    <sheetView tabSelected="1" workbookViewId="0">
      <selection activeCell="A12" sqref="A12"/>
    </sheetView>
  </sheetViews>
  <sheetFormatPr baseColWidth="10" defaultRowHeight="13" x14ac:dyDescent="0.3"/>
  <cols>
    <col min="1" max="1" width="29.6328125" style="13" customWidth="1"/>
    <col min="2" max="2" width="17.453125" style="13" customWidth="1"/>
    <col min="3" max="16384" width="10.90625" style="13"/>
  </cols>
  <sheetData>
    <row r="2" spans="1:4" ht="18" x14ac:dyDescent="0.4">
      <c r="D2" s="14" t="s">
        <v>853</v>
      </c>
    </row>
    <row r="3" spans="1:4" ht="14" x14ac:dyDescent="0.3">
      <c r="A3" s="12" t="s">
        <v>852</v>
      </c>
    </row>
    <row r="5" spans="1:4" x14ac:dyDescent="0.3">
      <c r="A5" s="13" t="s">
        <v>854</v>
      </c>
    </row>
    <row r="7" spans="1:4" ht="14" x14ac:dyDescent="0.3">
      <c r="A7" s="13" t="s">
        <v>856</v>
      </c>
    </row>
    <row r="9" spans="1:4" x14ac:dyDescent="0.3">
      <c r="A9" s="13" t="s">
        <v>855</v>
      </c>
    </row>
    <row r="11" spans="1:4" ht="14" x14ac:dyDescent="0.3">
      <c r="A11" s="12" t="s">
        <v>857</v>
      </c>
    </row>
    <row r="13" spans="1:4" ht="14" x14ac:dyDescent="0.3">
      <c r="A13" s="12" t="s">
        <v>858</v>
      </c>
      <c r="B13" s="12" t="s">
        <v>859</v>
      </c>
    </row>
    <row r="14" spans="1:4" x14ac:dyDescent="0.3">
      <c r="A14" s="13" t="s">
        <v>860</v>
      </c>
      <c r="B14" s="13" t="s">
        <v>864</v>
      </c>
    </row>
    <row r="15" spans="1:4" x14ac:dyDescent="0.3">
      <c r="A15" s="13" t="s">
        <v>861</v>
      </c>
      <c r="B15" s="13" t="s">
        <v>867</v>
      </c>
    </row>
    <row r="16" spans="1:4" x14ac:dyDescent="0.3">
      <c r="A16" s="13" t="s">
        <v>862</v>
      </c>
      <c r="B16" s="13" t="s">
        <v>866</v>
      </c>
    </row>
    <row r="17" spans="1:2" x14ac:dyDescent="0.3">
      <c r="A17" s="13" t="s">
        <v>863</v>
      </c>
      <c r="B17" s="13" t="s">
        <v>865</v>
      </c>
    </row>
    <row r="19" spans="1:2" ht="14" x14ac:dyDescent="0.3">
      <c r="A19" s="12" t="s">
        <v>868</v>
      </c>
    </row>
    <row r="21" spans="1:2" x14ac:dyDescent="0.3">
      <c r="A21" s="13" t="s">
        <v>869</v>
      </c>
    </row>
    <row r="23" spans="1:2" ht="14" x14ac:dyDescent="0.3">
      <c r="A23" s="12" t="s">
        <v>870</v>
      </c>
    </row>
    <row r="25" spans="1:2" x14ac:dyDescent="0.3">
      <c r="A25" s="13" t="s">
        <v>871</v>
      </c>
    </row>
    <row r="26" spans="1:2" x14ac:dyDescent="0.3">
      <c r="A26" s="13" t="s">
        <v>877</v>
      </c>
    </row>
    <row r="27" spans="1:2" x14ac:dyDescent="0.3">
      <c r="A27" s="13" t="s">
        <v>878</v>
      </c>
    </row>
    <row r="29" spans="1:2" x14ac:dyDescent="0.3">
      <c r="A29" s="13" t="s">
        <v>872</v>
      </c>
    </row>
    <row r="30" spans="1:2" x14ac:dyDescent="0.3">
      <c r="A30" s="13" t="s">
        <v>873</v>
      </c>
    </row>
    <row r="31" spans="1:2" x14ac:dyDescent="0.3">
      <c r="A31" s="13" t="s">
        <v>874</v>
      </c>
    </row>
    <row r="33" spans="1:2" x14ac:dyDescent="0.3">
      <c r="A33" s="13" t="s">
        <v>875</v>
      </c>
    </row>
    <row r="34" spans="1:2" x14ac:dyDescent="0.3">
      <c r="A34" s="13" t="s">
        <v>879</v>
      </c>
    </row>
    <row r="35" spans="1:2" x14ac:dyDescent="0.3">
      <c r="A35" s="13" t="s">
        <v>876</v>
      </c>
    </row>
    <row r="37" spans="1:2" ht="14" x14ac:dyDescent="0.3">
      <c r="A37" s="12" t="s">
        <v>880</v>
      </c>
    </row>
    <row r="38" spans="1:2" x14ac:dyDescent="0.3">
      <c r="A38" s="13" t="s">
        <v>881</v>
      </c>
    </row>
    <row r="39" spans="1:2" x14ac:dyDescent="0.3">
      <c r="A39" s="13" t="s">
        <v>882</v>
      </c>
    </row>
    <row r="41" spans="1:2" ht="14" x14ac:dyDescent="0.3">
      <c r="A41" s="12" t="s">
        <v>883</v>
      </c>
    </row>
    <row r="42" spans="1:2" x14ac:dyDescent="0.3">
      <c r="A42" s="13" t="s">
        <v>884</v>
      </c>
    </row>
    <row r="44" spans="1:2" ht="14" x14ac:dyDescent="0.3">
      <c r="A44" s="12" t="s">
        <v>885</v>
      </c>
      <c r="B44" s="13" t="s">
        <v>886</v>
      </c>
    </row>
    <row r="45" spans="1:2" ht="14" x14ac:dyDescent="0.3">
      <c r="A45" s="12" t="s">
        <v>887</v>
      </c>
      <c r="B45" s="13" t="s">
        <v>888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D5DD-98AC-415A-9DCB-AE1E9CD338F3}">
  <dimension ref="A1:P2043"/>
  <sheetViews>
    <sheetView topLeftCell="D1" workbookViewId="0">
      <selection activeCell="F1235" sqref="F1235"/>
    </sheetView>
  </sheetViews>
  <sheetFormatPr baseColWidth="10" defaultColWidth="18.26953125" defaultRowHeight="14.5" x14ac:dyDescent="0.35"/>
  <cols>
    <col min="2" max="2" width="18.7265625" customWidth="1"/>
    <col min="4" max="4" width="21.453125" customWidth="1"/>
    <col min="5" max="5" width="25.36328125" customWidth="1"/>
    <col min="14" max="14" width="19" customWidth="1"/>
  </cols>
  <sheetData>
    <row r="1" spans="1:16" x14ac:dyDescent="0.35">
      <c r="A1" t="s">
        <v>813</v>
      </c>
      <c r="B1" t="s">
        <v>0</v>
      </c>
      <c r="C1" t="s">
        <v>814</v>
      </c>
      <c r="D1" t="s">
        <v>142</v>
      </c>
      <c r="E1" t="s">
        <v>815</v>
      </c>
      <c r="F1" t="s">
        <v>816</v>
      </c>
      <c r="G1" t="s">
        <v>817</v>
      </c>
      <c r="H1" t="s">
        <v>818</v>
      </c>
      <c r="I1" t="s">
        <v>819</v>
      </c>
      <c r="J1" t="s">
        <v>820</v>
      </c>
      <c r="K1" t="s">
        <v>781</v>
      </c>
      <c r="L1" t="s">
        <v>821</v>
      </c>
      <c r="M1" t="s">
        <v>822</v>
      </c>
      <c r="N1" t="s">
        <v>825</v>
      </c>
      <c r="O1" t="s">
        <v>826</v>
      </c>
      <c r="P1" t="s">
        <v>827</v>
      </c>
    </row>
    <row r="2" spans="1:16" x14ac:dyDescent="0.35">
      <c r="A2">
        <v>709508</v>
      </c>
      <c r="B2" t="s">
        <v>2</v>
      </c>
      <c r="C2" t="s">
        <v>137</v>
      </c>
      <c r="D2" t="s">
        <v>189</v>
      </c>
      <c r="E2" t="s">
        <v>648</v>
      </c>
      <c r="F2" t="s">
        <v>773</v>
      </c>
      <c r="G2" s="1">
        <v>45678</v>
      </c>
      <c r="H2" s="1">
        <v>46119</v>
      </c>
      <c r="I2" s="2">
        <v>3640</v>
      </c>
      <c r="J2" t="s">
        <v>775</v>
      </c>
      <c r="K2" t="s">
        <v>783</v>
      </c>
      <c r="L2" t="s">
        <v>823</v>
      </c>
      <c r="M2" t="s">
        <v>828</v>
      </c>
      <c r="N2" t="str">
        <f>"T-" &amp; ROUNDUP((MONTH(G2)/3), 0)</f>
        <v>T-1</v>
      </c>
      <c r="O2">
        <f>YEAR(G2)</f>
        <v>2025</v>
      </c>
      <c r="P2" t="str">
        <f>MONTH(G2) &amp; ". " &amp; TEXT(G2, "MMMM")</f>
        <v>1. enero</v>
      </c>
    </row>
    <row r="3" spans="1:16" x14ac:dyDescent="0.35">
      <c r="A3">
        <v>711826</v>
      </c>
      <c r="B3" t="s">
        <v>3</v>
      </c>
      <c r="C3" t="s">
        <v>138</v>
      </c>
      <c r="D3" t="s">
        <v>189</v>
      </c>
      <c r="E3" t="s">
        <v>648</v>
      </c>
      <c r="F3" t="s">
        <v>773</v>
      </c>
      <c r="G3" s="1">
        <v>45677</v>
      </c>
      <c r="H3" s="1">
        <v>46120</v>
      </c>
      <c r="I3" s="2">
        <v>3640</v>
      </c>
      <c r="J3" t="s">
        <v>775</v>
      </c>
      <c r="K3" t="s">
        <v>783</v>
      </c>
      <c r="L3" t="s">
        <v>824</v>
      </c>
      <c r="M3" t="s">
        <v>829</v>
      </c>
      <c r="N3" t="str">
        <f t="shared" ref="N3:N66" si="0">"T-" &amp; ROUNDUP((MONTH(G3)/3), 0)</f>
        <v>T-1</v>
      </c>
      <c r="O3">
        <f t="shared" ref="O3:O66" si="1">YEAR(G3)</f>
        <v>2025</v>
      </c>
      <c r="P3" t="str">
        <f t="shared" ref="P3:P66" si="2">MONTH(G3) &amp; ". " &amp; TEXT(G3, "MMMM")</f>
        <v>1. enero</v>
      </c>
    </row>
    <row r="4" spans="1:16" x14ac:dyDescent="0.35">
      <c r="A4">
        <v>712817</v>
      </c>
      <c r="B4" t="s">
        <v>4</v>
      </c>
      <c r="C4" t="s">
        <v>137</v>
      </c>
      <c r="D4" t="s">
        <v>190</v>
      </c>
      <c r="E4" t="s">
        <v>649</v>
      </c>
      <c r="F4" t="s">
        <v>187</v>
      </c>
      <c r="G4" s="1">
        <v>45719</v>
      </c>
      <c r="H4" s="1">
        <v>45722</v>
      </c>
      <c r="I4" s="2">
        <v>2775</v>
      </c>
      <c r="J4" t="s">
        <v>776</v>
      </c>
      <c r="K4" t="s">
        <v>784</v>
      </c>
      <c r="L4" t="s">
        <v>823</v>
      </c>
      <c r="M4" t="s">
        <v>830</v>
      </c>
      <c r="N4" t="str">
        <f t="shared" si="0"/>
        <v>T-1</v>
      </c>
      <c r="O4">
        <f t="shared" si="1"/>
        <v>2025</v>
      </c>
      <c r="P4" t="str">
        <f t="shared" si="2"/>
        <v>3. marzo</v>
      </c>
    </row>
    <row r="5" spans="1:16" x14ac:dyDescent="0.35">
      <c r="A5">
        <v>364176</v>
      </c>
      <c r="B5" t="s">
        <v>5</v>
      </c>
      <c r="C5" t="s">
        <v>138</v>
      </c>
      <c r="D5" t="s">
        <v>191</v>
      </c>
      <c r="E5" t="s">
        <v>650</v>
      </c>
      <c r="F5" t="s">
        <v>187</v>
      </c>
      <c r="G5" s="1">
        <v>45703</v>
      </c>
      <c r="H5" s="1">
        <v>45924</v>
      </c>
      <c r="I5" s="2">
        <v>3999</v>
      </c>
      <c r="J5" t="s">
        <v>776</v>
      </c>
      <c r="K5" t="s">
        <v>784</v>
      </c>
      <c r="L5" t="s">
        <v>823</v>
      </c>
      <c r="M5" t="s">
        <v>830</v>
      </c>
      <c r="N5" t="str">
        <f t="shared" si="0"/>
        <v>T-1</v>
      </c>
      <c r="O5">
        <f t="shared" si="1"/>
        <v>2025</v>
      </c>
      <c r="P5" t="str">
        <f t="shared" si="2"/>
        <v>2. febrero</v>
      </c>
    </row>
    <row r="6" spans="1:16" x14ac:dyDescent="0.35">
      <c r="A6">
        <v>722737</v>
      </c>
      <c r="B6" t="s">
        <v>6</v>
      </c>
      <c r="C6" t="s">
        <v>137</v>
      </c>
      <c r="D6" t="s">
        <v>192</v>
      </c>
      <c r="E6" t="s">
        <v>651</v>
      </c>
      <c r="F6" t="s">
        <v>773</v>
      </c>
      <c r="G6" s="1">
        <v>46071</v>
      </c>
      <c r="H6" s="1">
        <v>46071</v>
      </c>
      <c r="I6" s="2">
        <v>250</v>
      </c>
      <c r="J6" t="s">
        <v>774</v>
      </c>
      <c r="K6" t="s">
        <v>784</v>
      </c>
      <c r="L6" t="s">
        <v>823</v>
      </c>
      <c r="M6" t="s">
        <v>829</v>
      </c>
      <c r="N6" t="str">
        <f t="shared" si="0"/>
        <v>T-1</v>
      </c>
      <c r="O6">
        <f t="shared" si="1"/>
        <v>2026</v>
      </c>
      <c r="P6" t="str">
        <f t="shared" si="2"/>
        <v>2. febrero</v>
      </c>
    </row>
    <row r="7" spans="1:16" x14ac:dyDescent="0.35">
      <c r="A7">
        <v>722488</v>
      </c>
      <c r="B7" t="s">
        <v>7</v>
      </c>
      <c r="C7" t="s">
        <v>138</v>
      </c>
      <c r="D7" t="s">
        <v>148</v>
      </c>
      <c r="E7" t="s">
        <v>651</v>
      </c>
      <c r="F7" t="s">
        <v>773</v>
      </c>
      <c r="G7" s="1">
        <v>45986</v>
      </c>
      <c r="H7" s="1">
        <v>45986</v>
      </c>
      <c r="I7" s="2">
        <v>250</v>
      </c>
      <c r="J7" t="s">
        <v>774</v>
      </c>
      <c r="K7" t="s">
        <v>783</v>
      </c>
      <c r="L7" t="s">
        <v>823</v>
      </c>
      <c r="M7" t="s">
        <v>830</v>
      </c>
      <c r="N7" t="str">
        <f t="shared" si="0"/>
        <v>T-4</v>
      </c>
      <c r="O7">
        <f t="shared" si="1"/>
        <v>2025</v>
      </c>
      <c r="P7" t="str">
        <f t="shared" si="2"/>
        <v>11. noviembre</v>
      </c>
    </row>
    <row r="8" spans="1:16" x14ac:dyDescent="0.35">
      <c r="A8">
        <v>24787</v>
      </c>
      <c r="B8" t="s">
        <v>9</v>
      </c>
      <c r="C8" t="s">
        <v>139</v>
      </c>
      <c r="D8" t="s">
        <v>193</v>
      </c>
      <c r="E8" t="s">
        <v>652</v>
      </c>
      <c r="F8" t="s">
        <v>187</v>
      </c>
      <c r="G8" s="1">
        <v>45691</v>
      </c>
      <c r="H8" s="1">
        <v>45708</v>
      </c>
      <c r="I8" s="2">
        <v>780</v>
      </c>
      <c r="J8" t="s">
        <v>776</v>
      </c>
      <c r="K8" t="s">
        <v>783</v>
      </c>
      <c r="L8" t="s">
        <v>823</v>
      </c>
      <c r="M8" t="s">
        <v>828</v>
      </c>
      <c r="N8" t="str">
        <f t="shared" si="0"/>
        <v>T-1</v>
      </c>
      <c r="O8">
        <f t="shared" si="1"/>
        <v>2025</v>
      </c>
      <c r="P8" t="str">
        <f t="shared" si="2"/>
        <v>2. febrero</v>
      </c>
    </row>
    <row r="9" spans="1:16" x14ac:dyDescent="0.35">
      <c r="A9">
        <v>702454</v>
      </c>
      <c r="B9" t="s">
        <v>2</v>
      </c>
      <c r="C9" t="s">
        <v>138</v>
      </c>
      <c r="D9" t="s">
        <v>194</v>
      </c>
      <c r="E9" t="s">
        <v>653</v>
      </c>
      <c r="F9" t="s">
        <v>187</v>
      </c>
      <c r="G9" s="1">
        <v>45797</v>
      </c>
      <c r="H9" s="1">
        <v>45800</v>
      </c>
      <c r="I9" s="2">
        <v>2994</v>
      </c>
      <c r="J9" t="s">
        <v>776</v>
      </c>
      <c r="K9" t="s">
        <v>783</v>
      </c>
      <c r="L9" t="s">
        <v>824</v>
      </c>
      <c r="M9" t="s">
        <v>828</v>
      </c>
      <c r="N9" t="str">
        <f t="shared" si="0"/>
        <v>T-2</v>
      </c>
      <c r="O9">
        <f t="shared" si="1"/>
        <v>2025</v>
      </c>
      <c r="P9" t="str">
        <f t="shared" si="2"/>
        <v>5. mayo</v>
      </c>
    </row>
    <row r="10" spans="1:16" x14ac:dyDescent="0.35">
      <c r="A10">
        <v>723326</v>
      </c>
      <c r="B10" t="s">
        <v>11</v>
      </c>
      <c r="C10" t="s">
        <v>138</v>
      </c>
      <c r="D10" t="s">
        <v>160</v>
      </c>
      <c r="E10" t="s">
        <v>654</v>
      </c>
      <c r="F10" t="s">
        <v>187</v>
      </c>
      <c r="G10" s="1">
        <v>45685</v>
      </c>
      <c r="H10" s="1">
        <v>45685</v>
      </c>
      <c r="I10" s="2">
        <v>843.02</v>
      </c>
      <c r="J10" t="s">
        <v>777</v>
      </c>
      <c r="K10" t="s">
        <v>783</v>
      </c>
      <c r="L10" t="s">
        <v>823</v>
      </c>
      <c r="M10" t="s">
        <v>830</v>
      </c>
      <c r="N10" t="str">
        <f t="shared" si="0"/>
        <v>T-1</v>
      </c>
      <c r="O10">
        <f t="shared" si="1"/>
        <v>2025</v>
      </c>
      <c r="P10" t="str">
        <f t="shared" si="2"/>
        <v>1. enero</v>
      </c>
    </row>
    <row r="11" spans="1:16" x14ac:dyDescent="0.35">
      <c r="A11">
        <v>152139</v>
      </c>
      <c r="B11" t="s">
        <v>12</v>
      </c>
      <c r="C11" t="s">
        <v>140</v>
      </c>
      <c r="D11" t="s">
        <v>160</v>
      </c>
      <c r="E11" t="s">
        <v>654</v>
      </c>
      <c r="F11" t="s">
        <v>187</v>
      </c>
      <c r="G11" s="1">
        <v>45685</v>
      </c>
      <c r="H11" s="1">
        <v>45685</v>
      </c>
      <c r="I11" s="2">
        <v>281</v>
      </c>
      <c r="J11" t="s">
        <v>777</v>
      </c>
      <c r="K11" t="s">
        <v>783</v>
      </c>
      <c r="L11" t="s">
        <v>823</v>
      </c>
      <c r="M11" t="s">
        <v>830</v>
      </c>
      <c r="N11" t="str">
        <f t="shared" si="0"/>
        <v>T-1</v>
      </c>
      <c r="O11">
        <f t="shared" si="1"/>
        <v>2025</v>
      </c>
      <c r="P11" t="str">
        <f t="shared" si="2"/>
        <v>1. enero</v>
      </c>
    </row>
    <row r="12" spans="1:16" x14ac:dyDescent="0.35">
      <c r="A12">
        <v>607108</v>
      </c>
      <c r="B12" t="s">
        <v>13</v>
      </c>
      <c r="C12" t="s">
        <v>136</v>
      </c>
      <c r="D12" t="s">
        <v>195</v>
      </c>
      <c r="E12" t="s">
        <v>654</v>
      </c>
      <c r="F12" t="s">
        <v>187</v>
      </c>
      <c r="G12" s="1">
        <v>45684</v>
      </c>
      <c r="H12" s="1">
        <v>45684</v>
      </c>
      <c r="I12" s="2">
        <v>1190</v>
      </c>
      <c r="J12" t="s">
        <v>777</v>
      </c>
      <c r="K12" t="s">
        <v>783</v>
      </c>
      <c r="L12" t="s">
        <v>823</v>
      </c>
      <c r="M12" t="s">
        <v>829</v>
      </c>
      <c r="N12" t="str">
        <f t="shared" si="0"/>
        <v>T-1</v>
      </c>
      <c r="O12">
        <f t="shared" si="1"/>
        <v>2025</v>
      </c>
      <c r="P12" t="str">
        <f t="shared" si="2"/>
        <v>1. enero</v>
      </c>
    </row>
    <row r="13" spans="1:16" x14ac:dyDescent="0.35">
      <c r="A13">
        <v>714290</v>
      </c>
      <c r="B13" t="s">
        <v>14</v>
      </c>
      <c r="C13" t="s">
        <v>137</v>
      </c>
      <c r="D13" t="s">
        <v>148</v>
      </c>
      <c r="E13" t="s">
        <v>651</v>
      </c>
      <c r="F13" t="s">
        <v>187</v>
      </c>
      <c r="G13" s="1">
        <v>45747</v>
      </c>
      <c r="H13" s="1">
        <v>45747</v>
      </c>
      <c r="I13" s="2">
        <v>250</v>
      </c>
      <c r="J13" t="s">
        <v>774</v>
      </c>
      <c r="K13" t="s">
        <v>783</v>
      </c>
      <c r="L13" t="s">
        <v>824</v>
      </c>
      <c r="M13" t="s">
        <v>828</v>
      </c>
      <c r="N13" t="str">
        <f t="shared" si="0"/>
        <v>T-1</v>
      </c>
      <c r="O13">
        <f t="shared" si="1"/>
        <v>2025</v>
      </c>
      <c r="P13" t="str">
        <f t="shared" si="2"/>
        <v>3. marzo</v>
      </c>
    </row>
    <row r="14" spans="1:16" x14ac:dyDescent="0.35">
      <c r="A14">
        <v>560502</v>
      </c>
      <c r="B14" t="s">
        <v>4</v>
      </c>
      <c r="C14" t="s">
        <v>138</v>
      </c>
      <c r="D14" t="s">
        <v>148</v>
      </c>
      <c r="E14" t="s">
        <v>651</v>
      </c>
      <c r="F14" t="s">
        <v>773</v>
      </c>
      <c r="G14" s="1">
        <v>45986</v>
      </c>
      <c r="H14" s="1">
        <v>45986</v>
      </c>
      <c r="I14" s="2">
        <v>250</v>
      </c>
      <c r="J14" t="s">
        <v>774</v>
      </c>
      <c r="K14" t="s">
        <v>785</v>
      </c>
      <c r="L14" t="s">
        <v>823</v>
      </c>
      <c r="M14" t="s">
        <v>828</v>
      </c>
      <c r="N14" t="str">
        <f t="shared" si="0"/>
        <v>T-4</v>
      </c>
      <c r="O14">
        <f t="shared" si="1"/>
        <v>2025</v>
      </c>
      <c r="P14" t="str">
        <f t="shared" si="2"/>
        <v>11. noviembre</v>
      </c>
    </row>
    <row r="15" spans="1:16" x14ac:dyDescent="0.35">
      <c r="A15">
        <v>400541</v>
      </c>
      <c r="B15" t="s">
        <v>15</v>
      </c>
      <c r="C15" t="s">
        <v>136</v>
      </c>
      <c r="D15" t="s">
        <v>148</v>
      </c>
      <c r="E15" t="s">
        <v>651</v>
      </c>
      <c r="F15" t="s">
        <v>773</v>
      </c>
      <c r="G15" s="1">
        <v>45986</v>
      </c>
      <c r="H15" s="1">
        <v>45986</v>
      </c>
      <c r="I15" s="2">
        <v>250</v>
      </c>
      <c r="J15" t="s">
        <v>774</v>
      </c>
      <c r="K15" t="s">
        <v>783</v>
      </c>
      <c r="L15" t="s">
        <v>823</v>
      </c>
      <c r="M15" t="s">
        <v>830</v>
      </c>
      <c r="N15" t="str">
        <f t="shared" si="0"/>
        <v>T-4</v>
      </c>
      <c r="O15">
        <f t="shared" si="1"/>
        <v>2025</v>
      </c>
      <c r="P15" t="str">
        <f t="shared" si="2"/>
        <v>11. noviembre</v>
      </c>
    </row>
    <row r="16" spans="1:16" x14ac:dyDescent="0.35">
      <c r="A16">
        <v>427268</v>
      </c>
      <c r="B16" t="s">
        <v>16</v>
      </c>
      <c r="C16" t="s">
        <v>136</v>
      </c>
      <c r="D16" t="s">
        <v>148</v>
      </c>
      <c r="E16" t="s">
        <v>651</v>
      </c>
      <c r="F16" t="s">
        <v>773</v>
      </c>
      <c r="G16" s="1">
        <v>45986</v>
      </c>
      <c r="H16" s="1">
        <v>45986</v>
      </c>
      <c r="I16" s="2">
        <v>250</v>
      </c>
      <c r="J16" t="s">
        <v>774</v>
      </c>
      <c r="K16" t="s">
        <v>783</v>
      </c>
      <c r="L16" t="s">
        <v>823</v>
      </c>
      <c r="M16" t="s">
        <v>829</v>
      </c>
      <c r="N16" t="str">
        <f t="shared" si="0"/>
        <v>T-4</v>
      </c>
      <c r="O16">
        <f t="shared" si="1"/>
        <v>2025</v>
      </c>
      <c r="P16" t="str">
        <f t="shared" si="2"/>
        <v>11. noviembre</v>
      </c>
    </row>
    <row r="17" spans="1:16" x14ac:dyDescent="0.35">
      <c r="A17">
        <v>415261</v>
      </c>
      <c r="B17" t="s">
        <v>17</v>
      </c>
      <c r="C17" t="s">
        <v>138</v>
      </c>
      <c r="D17" t="s">
        <v>148</v>
      </c>
      <c r="E17" t="s">
        <v>651</v>
      </c>
      <c r="F17" t="s">
        <v>773</v>
      </c>
      <c r="G17" s="1">
        <v>45986</v>
      </c>
      <c r="H17" s="1">
        <v>45986</v>
      </c>
      <c r="I17" s="2">
        <v>250</v>
      </c>
      <c r="J17" t="s">
        <v>774</v>
      </c>
      <c r="K17" t="s">
        <v>783</v>
      </c>
      <c r="L17" t="s">
        <v>823</v>
      </c>
      <c r="M17" t="s">
        <v>828</v>
      </c>
      <c r="N17" t="str">
        <f t="shared" si="0"/>
        <v>T-4</v>
      </c>
      <c r="O17">
        <f t="shared" si="1"/>
        <v>2025</v>
      </c>
      <c r="P17" t="str">
        <f t="shared" si="2"/>
        <v>11. noviembre</v>
      </c>
    </row>
    <row r="18" spans="1:16" x14ac:dyDescent="0.35">
      <c r="A18">
        <v>720186</v>
      </c>
      <c r="B18" t="s">
        <v>18</v>
      </c>
      <c r="C18" t="s">
        <v>136</v>
      </c>
      <c r="D18" t="s">
        <v>148</v>
      </c>
      <c r="E18" t="s">
        <v>651</v>
      </c>
      <c r="F18" t="s">
        <v>773</v>
      </c>
      <c r="G18" s="1">
        <v>45986</v>
      </c>
      <c r="H18" s="1">
        <v>45986</v>
      </c>
      <c r="I18" s="2">
        <v>250</v>
      </c>
      <c r="J18" t="s">
        <v>774</v>
      </c>
      <c r="K18" t="s">
        <v>783</v>
      </c>
      <c r="L18" t="s">
        <v>823</v>
      </c>
      <c r="M18" t="s">
        <v>830</v>
      </c>
      <c r="N18" t="str">
        <f t="shared" si="0"/>
        <v>T-4</v>
      </c>
      <c r="O18">
        <f t="shared" si="1"/>
        <v>2025</v>
      </c>
      <c r="P18" t="str">
        <f t="shared" si="2"/>
        <v>11. noviembre</v>
      </c>
    </row>
    <row r="19" spans="1:16" x14ac:dyDescent="0.35">
      <c r="A19">
        <v>413232</v>
      </c>
      <c r="B19" t="s">
        <v>5</v>
      </c>
      <c r="C19" t="s">
        <v>139</v>
      </c>
      <c r="D19" t="s">
        <v>191</v>
      </c>
      <c r="E19" t="s">
        <v>650</v>
      </c>
      <c r="F19" t="s">
        <v>773</v>
      </c>
      <c r="G19" s="1">
        <v>45703</v>
      </c>
      <c r="H19" s="1">
        <v>46044</v>
      </c>
      <c r="I19" s="2">
        <v>3599</v>
      </c>
      <c r="J19" t="s">
        <v>776</v>
      </c>
      <c r="K19" t="s">
        <v>783</v>
      </c>
      <c r="L19" t="s">
        <v>823</v>
      </c>
      <c r="M19" t="s">
        <v>828</v>
      </c>
      <c r="N19" t="str">
        <f t="shared" si="0"/>
        <v>T-1</v>
      </c>
      <c r="O19">
        <f t="shared" si="1"/>
        <v>2025</v>
      </c>
      <c r="P19" t="str">
        <f t="shared" si="2"/>
        <v>2. febrero</v>
      </c>
    </row>
    <row r="20" spans="1:16" x14ac:dyDescent="0.35">
      <c r="A20">
        <v>563501</v>
      </c>
      <c r="B20" t="s">
        <v>19</v>
      </c>
      <c r="C20" t="s">
        <v>138</v>
      </c>
      <c r="D20" t="s">
        <v>196</v>
      </c>
      <c r="E20" t="s">
        <v>655</v>
      </c>
      <c r="F20" t="s">
        <v>187</v>
      </c>
      <c r="G20" s="1">
        <v>45686</v>
      </c>
      <c r="H20" s="1">
        <v>45687</v>
      </c>
      <c r="I20" s="2">
        <v>1717.2</v>
      </c>
      <c r="J20" t="s">
        <v>778</v>
      </c>
      <c r="K20" t="s">
        <v>783</v>
      </c>
      <c r="L20" t="s">
        <v>824</v>
      </c>
      <c r="M20" t="s">
        <v>830</v>
      </c>
      <c r="N20" t="str">
        <f t="shared" si="0"/>
        <v>T-1</v>
      </c>
      <c r="O20">
        <f t="shared" si="1"/>
        <v>2025</v>
      </c>
      <c r="P20" t="str">
        <f t="shared" si="2"/>
        <v>1. enero</v>
      </c>
    </row>
    <row r="21" spans="1:16" x14ac:dyDescent="0.35">
      <c r="A21">
        <v>718095</v>
      </c>
      <c r="B21" t="s">
        <v>21</v>
      </c>
      <c r="C21" t="s">
        <v>139</v>
      </c>
      <c r="D21" t="s">
        <v>197</v>
      </c>
      <c r="E21" t="s">
        <v>647</v>
      </c>
      <c r="F21" t="s">
        <v>187</v>
      </c>
      <c r="G21" s="1">
        <v>45700</v>
      </c>
      <c r="H21" s="1">
        <v>45701</v>
      </c>
      <c r="I21" s="2">
        <v>900</v>
      </c>
      <c r="J21" t="s">
        <v>774</v>
      </c>
      <c r="K21" t="s">
        <v>783</v>
      </c>
      <c r="L21" t="s">
        <v>823</v>
      </c>
      <c r="M21" t="s">
        <v>828</v>
      </c>
      <c r="N21" t="str">
        <f t="shared" si="0"/>
        <v>T-1</v>
      </c>
      <c r="O21">
        <f t="shared" si="1"/>
        <v>2025</v>
      </c>
      <c r="P21" t="str">
        <f t="shared" si="2"/>
        <v>2. febrero</v>
      </c>
    </row>
    <row r="22" spans="1:16" x14ac:dyDescent="0.35">
      <c r="A22">
        <v>565362</v>
      </c>
      <c r="B22" t="s">
        <v>22</v>
      </c>
      <c r="C22" t="s">
        <v>138</v>
      </c>
      <c r="D22" t="s">
        <v>197</v>
      </c>
      <c r="E22" t="s">
        <v>647</v>
      </c>
      <c r="F22" t="s">
        <v>187</v>
      </c>
      <c r="G22" s="1">
        <v>45700</v>
      </c>
      <c r="H22" s="1">
        <v>45701</v>
      </c>
      <c r="I22" s="2">
        <v>1350</v>
      </c>
      <c r="J22" t="s">
        <v>774</v>
      </c>
      <c r="K22" t="s">
        <v>786</v>
      </c>
      <c r="L22" t="s">
        <v>823</v>
      </c>
      <c r="M22" t="s">
        <v>830</v>
      </c>
      <c r="N22" t="str">
        <f t="shared" si="0"/>
        <v>T-1</v>
      </c>
      <c r="O22">
        <f t="shared" si="1"/>
        <v>2025</v>
      </c>
      <c r="P22" t="str">
        <f t="shared" si="2"/>
        <v>2. febrero</v>
      </c>
    </row>
    <row r="23" spans="1:16" x14ac:dyDescent="0.35">
      <c r="A23">
        <v>715802</v>
      </c>
      <c r="B23" t="s">
        <v>23</v>
      </c>
      <c r="C23" t="s">
        <v>138</v>
      </c>
      <c r="D23" t="s">
        <v>198</v>
      </c>
      <c r="E23" t="s">
        <v>651</v>
      </c>
      <c r="F23" t="s">
        <v>187</v>
      </c>
      <c r="G23" s="1">
        <v>45712</v>
      </c>
      <c r="H23" s="1">
        <v>45715</v>
      </c>
      <c r="I23" s="2">
        <v>2492.5</v>
      </c>
      <c r="J23" t="s">
        <v>774</v>
      </c>
      <c r="K23" t="s">
        <v>783</v>
      </c>
      <c r="L23" t="s">
        <v>823</v>
      </c>
      <c r="M23" t="s">
        <v>830</v>
      </c>
      <c r="N23" t="str">
        <f t="shared" si="0"/>
        <v>T-1</v>
      </c>
      <c r="O23">
        <f t="shared" si="1"/>
        <v>2025</v>
      </c>
      <c r="P23" t="str">
        <f t="shared" si="2"/>
        <v>2. febrero</v>
      </c>
    </row>
    <row r="24" spans="1:16" x14ac:dyDescent="0.35">
      <c r="A24">
        <v>716842</v>
      </c>
      <c r="B24" t="s">
        <v>5</v>
      </c>
      <c r="C24" t="s">
        <v>137</v>
      </c>
      <c r="D24" t="s">
        <v>199</v>
      </c>
      <c r="E24" t="s">
        <v>651</v>
      </c>
      <c r="F24" t="s">
        <v>187</v>
      </c>
      <c r="G24" s="1">
        <v>45670</v>
      </c>
      <c r="H24" s="1">
        <v>45674</v>
      </c>
      <c r="I24" s="2">
        <v>792</v>
      </c>
      <c r="J24" t="s">
        <v>774</v>
      </c>
      <c r="K24" t="s">
        <v>783</v>
      </c>
      <c r="L24" t="s">
        <v>823</v>
      </c>
      <c r="M24" t="s">
        <v>830</v>
      </c>
      <c r="N24" t="str">
        <f t="shared" si="0"/>
        <v>T-1</v>
      </c>
      <c r="O24">
        <f t="shared" si="1"/>
        <v>2025</v>
      </c>
      <c r="P24" t="str">
        <f t="shared" si="2"/>
        <v>1. enero</v>
      </c>
    </row>
    <row r="25" spans="1:16" x14ac:dyDescent="0.35">
      <c r="A25">
        <v>445660</v>
      </c>
      <c r="B25" t="s">
        <v>28</v>
      </c>
      <c r="C25" t="s">
        <v>138</v>
      </c>
      <c r="D25" t="s">
        <v>199</v>
      </c>
      <c r="E25" t="s">
        <v>651</v>
      </c>
      <c r="F25" t="s">
        <v>187</v>
      </c>
      <c r="G25" s="1">
        <v>45670</v>
      </c>
      <c r="H25" s="1">
        <v>45674</v>
      </c>
      <c r="I25" s="2">
        <v>6338</v>
      </c>
      <c r="J25" t="s">
        <v>774</v>
      </c>
      <c r="K25" t="s">
        <v>783</v>
      </c>
      <c r="L25" t="s">
        <v>824</v>
      </c>
      <c r="M25" t="s">
        <v>828</v>
      </c>
      <c r="N25" t="str">
        <f t="shared" si="0"/>
        <v>T-1</v>
      </c>
      <c r="O25">
        <f t="shared" si="1"/>
        <v>2025</v>
      </c>
      <c r="P25" t="str">
        <f t="shared" si="2"/>
        <v>1. enero</v>
      </c>
    </row>
    <row r="26" spans="1:16" x14ac:dyDescent="0.35">
      <c r="A26">
        <v>466590</v>
      </c>
      <c r="B26" t="s">
        <v>29</v>
      </c>
      <c r="C26" t="s">
        <v>138</v>
      </c>
      <c r="D26" t="s">
        <v>200</v>
      </c>
      <c r="E26" t="s">
        <v>656</v>
      </c>
      <c r="F26" t="s">
        <v>187</v>
      </c>
      <c r="G26" s="1">
        <v>45747</v>
      </c>
      <c r="H26" s="1">
        <v>45750</v>
      </c>
      <c r="I26" s="2">
        <v>2275</v>
      </c>
      <c r="J26" t="s">
        <v>774</v>
      </c>
      <c r="K26" t="s">
        <v>783</v>
      </c>
      <c r="L26" t="s">
        <v>823</v>
      </c>
      <c r="M26" t="s">
        <v>829</v>
      </c>
      <c r="N26" t="str">
        <f t="shared" si="0"/>
        <v>T-1</v>
      </c>
      <c r="O26">
        <f t="shared" si="1"/>
        <v>2025</v>
      </c>
      <c r="P26" t="str">
        <f t="shared" si="2"/>
        <v>3. marzo</v>
      </c>
    </row>
    <row r="27" spans="1:16" x14ac:dyDescent="0.35">
      <c r="A27">
        <v>454895</v>
      </c>
      <c r="B27" t="s">
        <v>30</v>
      </c>
      <c r="C27" t="s">
        <v>138</v>
      </c>
      <c r="D27" t="s">
        <v>201</v>
      </c>
      <c r="E27" t="s">
        <v>648</v>
      </c>
      <c r="F27" t="s">
        <v>187</v>
      </c>
      <c r="G27" s="1">
        <v>45680</v>
      </c>
      <c r="H27" s="1">
        <v>45918</v>
      </c>
      <c r="I27" s="2">
        <v>1400</v>
      </c>
      <c r="J27" t="s">
        <v>775</v>
      </c>
      <c r="K27" t="s">
        <v>783</v>
      </c>
      <c r="L27" t="s">
        <v>823</v>
      </c>
      <c r="M27" t="s">
        <v>830</v>
      </c>
      <c r="N27" t="str">
        <f t="shared" si="0"/>
        <v>T-1</v>
      </c>
      <c r="O27">
        <f t="shared" si="1"/>
        <v>2025</v>
      </c>
      <c r="P27" t="str">
        <f t="shared" si="2"/>
        <v>1. enero</v>
      </c>
    </row>
    <row r="28" spans="1:16" x14ac:dyDescent="0.35">
      <c r="A28">
        <v>588151</v>
      </c>
      <c r="B28" t="s">
        <v>31</v>
      </c>
      <c r="C28" t="s">
        <v>136</v>
      </c>
      <c r="D28" t="s">
        <v>203</v>
      </c>
      <c r="E28" t="s">
        <v>658</v>
      </c>
      <c r="F28" t="s">
        <v>187</v>
      </c>
      <c r="G28" s="1">
        <v>45946</v>
      </c>
      <c r="H28" s="1">
        <v>45946</v>
      </c>
      <c r="I28" s="2">
        <v>399</v>
      </c>
      <c r="J28" t="s">
        <v>774</v>
      </c>
      <c r="K28" t="s">
        <v>783</v>
      </c>
      <c r="L28" t="s">
        <v>823</v>
      </c>
      <c r="M28" t="s">
        <v>828</v>
      </c>
      <c r="N28" t="str">
        <f t="shared" si="0"/>
        <v>T-4</v>
      </c>
      <c r="O28">
        <f t="shared" si="1"/>
        <v>2025</v>
      </c>
      <c r="P28" t="str">
        <f t="shared" si="2"/>
        <v>10. octubre</v>
      </c>
    </row>
    <row r="29" spans="1:16" x14ac:dyDescent="0.35">
      <c r="A29">
        <v>716239</v>
      </c>
      <c r="B29" t="s">
        <v>32</v>
      </c>
      <c r="C29" t="s">
        <v>138</v>
      </c>
      <c r="D29" t="s">
        <v>204</v>
      </c>
      <c r="E29" t="s">
        <v>659</v>
      </c>
      <c r="F29" t="s">
        <v>187</v>
      </c>
      <c r="G29" s="1">
        <v>45684</v>
      </c>
      <c r="H29" s="1">
        <v>45688</v>
      </c>
      <c r="I29" s="2">
        <v>6750</v>
      </c>
      <c r="J29" t="s">
        <v>774</v>
      </c>
      <c r="K29" t="s">
        <v>787</v>
      </c>
      <c r="L29" t="s">
        <v>823</v>
      </c>
      <c r="M29" t="s">
        <v>830</v>
      </c>
      <c r="N29" t="str">
        <f t="shared" si="0"/>
        <v>T-1</v>
      </c>
      <c r="O29">
        <f t="shared" si="1"/>
        <v>2025</v>
      </c>
      <c r="P29" t="str">
        <f t="shared" si="2"/>
        <v>1. enero</v>
      </c>
    </row>
    <row r="30" spans="1:16" x14ac:dyDescent="0.35">
      <c r="A30">
        <v>723200</v>
      </c>
      <c r="B30" t="s">
        <v>32</v>
      </c>
      <c r="C30" t="s">
        <v>137</v>
      </c>
      <c r="D30" t="s">
        <v>204</v>
      </c>
      <c r="E30" t="s">
        <v>659</v>
      </c>
      <c r="F30" t="s">
        <v>187</v>
      </c>
      <c r="G30" s="1">
        <v>45684</v>
      </c>
      <c r="H30" s="1">
        <v>45688</v>
      </c>
      <c r="I30" s="2">
        <v>6750</v>
      </c>
      <c r="J30" t="s">
        <v>774</v>
      </c>
      <c r="K30" t="s">
        <v>783</v>
      </c>
      <c r="L30" t="s">
        <v>823</v>
      </c>
      <c r="M30" t="s">
        <v>830</v>
      </c>
      <c r="N30" t="str">
        <f t="shared" si="0"/>
        <v>T-1</v>
      </c>
      <c r="O30">
        <f t="shared" si="1"/>
        <v>2025</v>
      </c>
      <c r="P30" t="str">
        <f t="shared" si="2"/>
        <v>1. enero</v>
      </c>
    </row>
    <row r="31" spans="1:16" x14ac:dyDescent="0.35">
      <c r="A31">
        <v>477003</v>
      </c>
      <c r="B31" t="s">
        <v>27</v>
      </c>
      <c r="C31" t="s">
        <v>139</v>
      </c>
      <c r="D31" t="s">
        <v>204</v>
      </c>
      <c r="E31" t="s">
        <v>659</v>
      </c>
      <c r="F31" t="s">
        <v>187</v>
      </c>
      <c r="G31" s="1">
        <v>45691</v>
      </c>
      <c r="H31" s="1">
        <v>45695</v>
      </c>
      <c r="I31" s="2">
        <v>6750</v>
      </c>
      <c r="J31" t="s">
        <v>774</v>
      </c>
      <c r="K31" t="s">
        <v>783</v>
      </c>
      <c r="L31" t="s">
        <v>824</v>
      </c>
      <c r="M31" t="s">
        <v>828</v>
      </c>
      <c r="N31" t="str">
        <f t="shared" si="0"/>
        <v>T-1</v>
      </c>
      <c r="O31">
        <f t="shared" si="1"/>
        <v>2025</v>
      </c>
      <c r="P31" t="str">
        <f t="shared" si="2"/>
        <v>2. febrero</v>
      </c>
    </row>
    <row r="32" spans="1:16" x14ac:dyDescent="0.35">
      <c r="A32">
        <v>400963</v>
      </c>
      <c r="B32" t="s">
        <v>33</v>
      </c>
      <c r="C32" t="s">
        <v>141</v>
      </c>
      <c r="D32" t="s">
        <v>204</v>
      </c>
      <c r="E32" t="s">
        <v>659</v>
      </c>
      <c r="F32" t="s">
        <v>187</v>
      </c>
      <c r="G32" s="1">
        <v>45691</v>
      </c>
      <c r="H32" s="1">
        <v>45695</v>
      </c>
      <c r="I32" s="2">
        <v>6750</v>
      </c>
      <c r="J32" t="s">
        <v>774</v>
      </c>
      <c r="K32" t="s">
        <v>783</v>
      </c>
      <c r="L32" t="s">
        <v>823</v>
      </c>
      <c r="M32" t="s">
        <v>829</v>
      </c>
      <c r="N32" t="str">
        <f t="shared" si="0"/>
        <v>T-1</v>
      </c>
      <c r="O32">
        <f t="shared" si="1"/>
        <v>2025</v>
      </c>
      <c r="P32" t="str">
        <f t="shared" si="2"/>
        <v>2. febrero</v>
      </c>
    </row>
    <row r="33" spans="1:16" x14ac:dyDescent="0.35">
      <c r="A33">
        <v>721554</v>
      </c>
      <c r="B33" t="s">
        <v>34</v>
      </c>
      <c r="C33" t="s">
        <v>138</v>
      </c>
      <c r="D33" t="s">
        <v>205</v>
      </c>
      <c r="E33" t="s">
        <v>660</v>
      </c>
      <c r="F33" t="s">
        <v>187</v>
      </c>
      <c r="G33" s="1">
        <v>45681</v>
      </c>
      <c r="H33" s="1">
        <v>45707</v>
      </c>
      <c r="I33" s="2">
        <v>6760</v>
      </c>
      <c r="J33" t="s">
        <v>779</v>
      </c>
      <c r="K33" t="s">
        <v>787</v>
      </c>
      <c r="L33" t="s">
        <v>823</v>
      </c>
      <c r="M33" t="s">
        <v>830</v>
      </c>
      <c r="N33" t="str">
        <f t="shared" si="0"/>
        <v>T-1</v>
      </c>
      <c r="O33">
        <f t="shared" si="1"/>
        <v>2025</v>
      </c>
      <c r="P33" t="str">
        <f t="shared" si="2"/>
        <v>1. enero</v>
      </c>
    </row>
    <row r="34" spans="1:16" x14ac:dyDescent="0.35">
      <c r="A34">
        <v>604210</v>
      </c>
      <c r="B34" t="s">
        <v>35</v>
      </c>
      <c r="C34" t="s">
        <v>136</v>
      </c>
      <c r="D34" t="s">
        <v>207</v>
      </c>
      <c r="E34" t="s">
        <v>661</v>
      </c>
      <c r="F34" t="s">
        <v>187</v>
      </c>
      <c r="G34" s="1">
        <v>45677</v>
      </c>
      <c r="H34" s="1">
        <v>45677</v>
      </c>
      <c r="I34" s="2">
        <v>1500</v>
      </c>
      <c r="J34" t="s">
        <v>779</v>
      </c>
      <c r="K34" t="s">
        <v>787</v>
      </c>
      <c r="L34" t="s">
        <v>823</v>
      </c>
      <c r="M34" t="s">
        <v>828</v>
      </c>
      <c r="N34" t="str">
        <f t="shared" si="0"/>
        <v>T-1</v>
      </c>
      <c r="O34">
        <f t="shared" si="1"/>
        <v>2025</v>
      </c>
      <c r="P34" t="str">
        <f t="shared" si="2"/>
        <v>1. enero</v>
      </c>
    </row>
    <row r="35" spans="1:16" x14ac:dyDescent="0.35">
      <c r="A35">
        <v>565299</v>
      </c>
      <c r="B35" t="s">
        <v>4</v>
      </c>
      <c r="C35" t="s">
        <v>138</v>
      </c>
      <c r="D35" t="s">
        <v>208</v>
      </c>
      <c r="E35" t="s">
        <v>663</v>
      </c>
      <c r="F35" t="s">
        <v>187</v>
      </c>
      <c r="G35" s="1">
        <v>45681</v>
      </c>
      <c r="H35" s="1">
        <v>45707</v>
      </c>
      <c r="I35" s="2">
        <v>5155.8</v>
      </c>
      <c r="J35" t="s">
        <v>779</v>
      </c>
      <c r="K35" t="s">
        <v>783</v>
      </c>
      <c r="L35" t="s">
        <v>823</v>
      </c>
      <c r="M35" t="s">
        <v>830</v>
      </c>
      <c r="N35" t="str">
        <f t="shared" si="0"/>
        <v>T-1</v>
      </c>
      <c r="O35">
        <f t="shared" si="1"/>
        <v>2025</v>
      </c>
      <c r="P35" t="str">
        <f t="shared" si="2"/>
        <v>1. enero</v>
      </c>
    </row>
    <row r="36" spans="1:16" x14ac:dyDescent="0.35">
      <c r="A36">
        <v>711957</v>
      </c>
      <c r="B36" t="s">
        <v>23</v>
      </c>
      <c r="C36" t="s">
        <v>138</v>
      </c>
      <c r="D36" t="s">
        <v>209</v>
      </c>
      <c r="E36" t="s">
        <v>647</v>
      </c>
      <c r="F36" t="s">
        <v>187</v>
      </c>
      <c r="G36" s="1">
        <v>45681</v>
      </c>
      <c r="H36" s="1">
        <v>45686</v>
      </c>
      <c r="I36" s="2">
        <v>838</v>
      </c>
      <c r="J36" t="s">
        <v>779</v>
      </c>
      <c r="K36" t="s">
        <v>783</v>
      </c>
      <c r="L36" t="s">
        <v>823</v>
      </c>
      <c r="M36" t="s">
        <v>830</v>
      </c>
      <c r="N36" t="str">
        <f t="shared" si="0"/>
        <v>T-1</v>
      </c>
      <c r="O36">
        <f t="shared" si="1"/>
        <v>2025</v>
      </c>
      <c r="P36" t="str">
        <f t="shared" si="2"/>
        <v>1. enero</v>
      </c>
    </row>
    <row r="37" spans="1:16" x14ac:dyDescent="0.35">
      <c r="A37">
        <v>723413</v>
      </c>
      <c r="B37" t="s">
        <v>36</v>
      </c>
      <c r="C37" t="s">
        <v>138</v>
      </c>
      <c r="D37" t="s">
        <v>209</v>
      </c>
      <c r="E37" t="s">
        <v>647</v>
      </c>
      <c r="F37" t="s">
        <v>187</v>
      </c>
      <c r="G37" s="1">
        <v>45681</v>
      </c>
      <c r="H37" s="1">
        <v>45686</v>
      </c>
      <c r="I37" s="2">
        <v>838</v>
      </c>
      <c r="J37" t="s">
        <v>779</v>
      </c>
      <c r="K37" t="s">
        <v>785</v>
      </c>
      <c r="L37" t="s">
        <v>824</v>
      </c>
      <c r="M37" t="s">
        <v>829</v>
      </c>
      <c r="N37" t="str">
        <f t="shared" si="0"/>
        <v>T-1</v>
      </c>
      <c r="O37">
        <f t="shared" si="1"/>
        <v>2025</v>
      </c>
      <c r="P37" t="str">
        <f t="shared" si="2"/>
        <v>1. enero</v>
      </c>
    </row>
    <row r="38" spans="1:16" x14ac:dyDescent="0.35">
      <c r="A38">
        <v>720655</v>
      </c>
      <c r="B38" t="s">
        <v>30</v>
      </c>
      <c r="C38" t="s">
        <v>137</v>
      </c>
      <c r="D38" t="s">
        <v>209</v>
      </c>
      <c r="E38" t="s">
        <v>647</v>
      </c>
      <c r="F38" t="s">
        <v>187</v>
      </c>
      <c r="G38" s="1">
        <v>45681</v>
      </c>
      <c r="H38" s="1">
        <v>45686</v>
      </c>
      <c r="I38" s="2">
        <v>3354</v>
      </c>
      <c r="J38" t="s">
        <v>779</v>
      </c>
      <c r="K38" t="s">
        <v>783</v>
      </c>
      <c r="L38" t="s">
        <v>823</v>
      </c>
      <c r="M38" t="s">
        <v>828</v>
      </c>
      <c r="N38" t="str">
        <f t="shared" si="0"/>
        <v>T-1</v>
      </c>
      <c r="O38">
        <f t="shared" si="1"/>
        <v>2025</v>
      </c>
      <c r="P38" t="str">
        <f t="shared" si="2"/>
        <v>1. enero</v>
      </c>
    </row>
    <row r="39" spans="1:16" x14ac:dyDescent="0.35">
      <c r="A39">
        <v>428381</v>
      </c>
      <c r="B39" t="s">
        <v>4</v>
      </c>
      <c r="C39" t="s">
        <v>138</v>
      </c>
      <c r="D39" t="s">
        <v>210</v>
      </c>
      <c r="E39" t="s">
        <v>665</v>
      </c>
      <c r="F39" t="s">
        <v>187</v>
      </c>
      <c r="G39" s="1">
        <v>45671</v>
      </c>
      <c r="H39" s="1">
        <v>45699</v>
      </c>
      <c r="I39" s="2">
        <v>500</v>
      </c>
      <c r="J39" t="s">
        <v>777</v>
      </c>
      <c r="K39" t="s">
        <v>788</v>
      </c>
      <c r="L39" t="s">
        <v>823</v>
      </c>
      <c r="M39" t="s">
        <v>830</v>
      </c>
      <c r="N39" t="str">
        <f t="shared" si="0"/>
        <v>T-1</v>
      </c>
      <c r="O39">
        <f t="shared" si="1"/>
        <v>2025</v>
      </c>
      <c r="P39" t="str">
        <f t="shared" si="2"/>
        <v>1. enero</v>
      </c>
    </row>
    <row r="40" spans="1:16" x14ac:dyDescent="0.35">
      <c r="A40">
        <v>709677</v>
      </c>
      <c r="B40" t="s">
        <v>26</v>
      </c>
      <c r="C40" t="s">
        <v>136</v>
      </c>
      <c r="D40" t="s">
        <v>211</v>
      </c>
      <c r="E40" t="s">
        <v>666</v>
      </c>
      <c r="F40" t="s">
        <v>187</v>
      </c>
      <c r="G40" s="1">
        <v>45726</v>
      </c>
      <c r="H40" s="1">
        <v>45756</v>
      </c>
      <c r="I40" s="2">
        <v>3488.4</v>
      </c>
      <c r="J40" t="s">
        <v>774</v>
      </c>
      <c r="K40" t="s">
        <v>789</v>
      </c>
      <c r="L40" t="s">
        <v>823</v>
      </c>
      <c r="M40" t="s">
        <v>828</v>
      </c>
      <c r="N40" t="str">
        <f t="shared" si="0"/>
        <v>T-1</v>
      </c>
      <c r="O40">
        <f t="shared" si="1"/>
        <v>2025</v>
      </c>
      <c r="P40" t="str">
        <f t="shared" si="2"/>
        <v>3. marzo</v>
      </c>
    </row>
    <row r="41" spans="1:16" x14ac:dyDescent="0.35">
      <c r="A41">
        <v>567566</v>
      </c>
      <c r="B41" t="s">
        <v>5</v>
      </c>
      <c r="C41" t="s">
        <v>138</v>
      </c>
      <c r="D41" t="s">
        <v>212</v>
      </c>
      <c r="E41" t="s">
        <v>667</v>
      </c>
      <c r="F41" t="s">
        <v>187</v>
      </c>
      <c r="G41" s="1">
        <v>45687</v>
      </c>
      <c r="H41" s="1">
        <v>45687</v>
      </c>
      <c r="I41" s="2">
        <v>975</v>
      </c>
      <c r="J41" t="s">
        <v>777</v>
      </c>
      <c r="K41" t="s">
        <v>785</v>
      </c>
      <c r="L41" t="s">
        <v>823</v>
      </c>
      <c r="M41" t="s">
        <v>830</v>
      </c>
      <c r="N41" t="str">
        <f t="shared" si="0"/>
        <v>T-1</v>
      </c>
      <c r="O41">
        <f t="shared" si="1"/>
        <v>2025</v>
      </c>
      <c r="P41" t="str">
        <f t="shared" si="2"/>
        <v>1. enero</v>
      </c>
    </row>
    <row r="42" spans="1:16" x14ac:dyDescent="0.35">
      <c r="A42">
        <v>564474</v>
      </c>
      <c r="B42" t="s">
        <v>20</v>
      </c>
      <c r="C42" t="s">
        <v>136</v>
      </c>
      <c r="D42" t="s">
        <v>201</v>
      </c>
      <c r="E42" t="s">
        <v>648</v>
      </c>
      <c r="F42" t="s">
        <v>187</v>
      </c>
      <c r="G42" s="1">
        <v>45714</v>
      </c>
      <c r="H42" s="1">
        <v>45860</v>
      </c>
      <c r="I42" s="2">
        <v>1400</v>
      </c>
      <c r="J42" t="s">
        <v>775</v>
      </c>
      <c r="K42" t="s">
        <v>783</v>
      </c>
      <c r="L42" t="s">
        <v>823</v>
      </c>
      <c r="M42" t="s">
        <v>830</v>
      </c>
      <c r="N42" t="str">
        <f t="shared" si="0"/>
        <v>T-1</v>
      </c>
      <c r="O42">
        <f t="shared" si="1"/>
        <v>2025</v>
      </c>
      <c r="P42" t="str">
        <f t="shared" si="2"/>
        <v>2. febrero</v>
      </c>
    </row>
    <row r="43" spans="1:16" x14ac:dyDescent="0.35">
      <c r="A43">
        <v>721188</v>
      </c>
      <c r="B43" t="s">
        <v>37</v>
      </c>
      <c r="C43" t="s">
        <v>137</v>
      </c>
      <c r="D43" t="s">
        <v>213</v>
      </c>
      <c r="E43" t="s">
        <v>652</v>
      </c>
      <c r="F43" t="s">
        <v>187</v>
      </c>
      <c r="G43" s="1">
        <v>45734</v>
      </c>
      <c r="H43" s="1">
        <v>45737</v>
      </c>
      <c r="I43" s="2">
        <v>2288</v>
      </c>
      <c r="J43" t="s">
        <v>778</v>
      </c>
      <c r="K43" t="s">
        <v>786</v>
      </c>
      <c r="L43" t="s">
        <v>823</v>
      </c>
      <c r="M43" t="s">
        <v>829</v>
      </c>
      <c r="N43" t="str">
        <f t="shared" si="0"/>
        <v>T-1</v>
      </c>
      <c r="O43">
        <f t="shared" si="1"/>
        <v>2025</v>
      </c>
      <c r="P43" t="str">
        <f t="shared" si="2"/>
        <v>3. marzo</v>
      </c>
    </row>
    <row r="44" spans="1:16" x14ac:dyDescent="0.35">
      <c r="A44">
        <v>710310</v>
      </c>
      <c r="B44" t="s">
        <v>32</v>
      </c>
      <c r="C44" t="s">
        <v>138</v>
      </c>
      <c r="D44" t="s">
        <v>203</v>
      </c>
      <c r="E44" t="s">
        <v>658</v>
      </c>
      <c r="F44" t="s">
        <v>187</v>
      </c>
      <c r="G44" s="1">
        <v>45744</v>
      </c>
      <c r="H44" s="1">
        <v>45744</v>
      </c>
      <c r="I44" s="2">
        <v>419</v>
      </c>
      <c r="J44" t="s">
        <v>774</v>
      </c>
      <c r="K44" t="s">
        <v>787</v>
      </c>
      <c r="L44" t="s">
        <v>824</v>
      </c>
      <c r="M44" t="s">
        <v>828</v>
      </c>
      <c r="N44" t="str">
        <f t="shared" si="0"/>
        <v>T-1</v>
      </c>
      <c r="O44">
        <f t="shared" si="1"/>
        <v>2025</v>
      </c>
      <c r="P44" t="str">
        <f t="shared" si="2"/>
        <v>3. marzo</v>
      </c>
    </row>
    <row r="45" spans="1:16" x14ac:dyDescent="0.35">
      <c r="A45">
        <v>750716</v>
      </c>
      <c r="B45" t="s">
        <v>31</v>
      </c>
      <c r="C45" t="s">
        <v>138</v>
      </c>
      <c r="D45" t="s">
        <v>214</v>
      </c>
      <c r="E45" t="s">
        <v>668</v>
      </c>
      <c r="F45" t="s">
        <v>187</v>
      </c>
      <c r="G45" s="1">
        <v>45736</v>
      </c>
      <c r="H45" s="1">
        <v>45737</v>
      </c>
      <c r="I45" s="2">
        <v>2590</v>
      </c>
      <c r="J45" t="s">
        <v>776</v>
      </c>
      <c r="K45" t="s">
        <v>783</v>
      </c>
      <c r="L45" t="s">
        <v>823</v>
      </c>
      <c r="M45" t="s">
        <v>830</v>
      </c>
      <c r="N45" t="str">
        <f t="shared" si="0"/>
        <v>T-1</v>
      </c>
      <c r="O45">
        <f t="shared" si="1"/>
        <v>2025</v>
      </c>
      <c r="P45" t="str">
        <f t="shared" si="2"/>
        <v>3. marzo</v>
      </c>
    </row>
    <row r="46" spans="1:16" x14ac:dyDescent="0.35">
      <c r="A46">
        <v>111430</v>
      </c>
      <c r="B46" t="s">
        <v>23</v>
      </c>
      <c r="C46" t="s">
        <v>141</v>
      </c>
      <c r="D46" t="s">
        <v>215</v>
      </c>
      <c r="E46" t="s">
        <v>668</v>
      </c>
      <c r="F46" t="s">
        <v>188</v>
      </c>
      <c r="G46" s="1">
        <v>45733</v>
      </c>
      <c r="H46" s="1">
        <v>45735</v>
      </c>
      <c r="I46" s="2">
        <v>3360</v>
      </c>
      <c r="J46" t="s">
        <v>776</v>
      </c>
      <c r="K46" t="s">
        <v>787</v>
      </c>
      <c r="L46" t="s">
        <v>823</v>
      </c>
      <c r="M46" t="s">
        <v>830</v>
      </c>
      <c r="N46" t="str">
        <f t="shared" si="0"/>
        <v>T-1</v>
      </c>
      <c r="O46">
        <f t="shared" si="1"/>
        <v>2025</v>
      </c>
      <c r="P46" t="str">
        <f t="shared" si="2"/>
        <v>3. marzo</v>
      </c>
    </row>
    <row r="47" spans="1:16" x14ac:dyDescent="0.35">
      <c r="A47">
        <v>705043</v>
      </c>
      <c r="B47" t="s">
        <v>22</v>
      </c>
      <c r="C47" t="s">
        <v>138</v>
      </c>
      <c r="D47" t="s">
        <v>207</v>
      </c>
      <c r="E47" t="s">
        <v>661</v>
      </c>
      <c r="F47" t="s">
        <v>187</v>
      </c>
      <c r="G47" s="1">
        <v>45677</v>
      </c>
      <c r="H47" s="1">
        <v>45677</v>
      </c>
      <c r="I47" s="2">
        <v>1500</v>
      </c>
      <c r="J47" t="s">
        <v>779</v>
      </c>
      <c r="K47" t="s">
        <v>783</v>
      </c>
      <c r="L47" t="s">
        <v>823</v>
      </c>
      <c r="M47" t="s">
        <v>830</v>
      </c>
      <c r="N47" t="str">
        <f t="shared" si="0"/>
        <v>T-1</v>
      </c>
      <c r="O47">
        <f t="shared" si="1"/>
        <v>2025</v>
      </c>
      <c r="P47" t="str">
        <f t="shared" si="2"/>
        <v>1. enero</v>
      </c>
    </row>
    <row r="48" spans="1:16" x14ac:dyDescent="0.35">
      <c r="A48">
        <v>560933</v>
      </c>
      <c r="B48" t="s">
        <v>22</v>
      </c>
      <c r="C48" t="s">
        <v>138</v>
      </c>
      <c r="D48" t="s">
        <v>218</v>
      </c>
      <c r="E48" t="s">
        <v>669</v>
      </c>
      <c r="F48" t="s">
        <v>187</v>
      </c>
      <c r="G48" s="1">
        <v>45726</v>
      </c>
      <c r="H48" s="1">
        <v>45730</v>
      </c>
      <c r="I48" s="2">
        <v>3500</v>
      </c>
      <c r="J48" t="s">
        <v>779</v>
      </c>
      <c r="K48" t="s">
        <v>783</v>
      </c>
      <c r="L48" t="s">
        <v>823</v>
      </c>
      <c r="M48" t="s">
        <v>828</v>
      </c>
      <c r="N48" t="str">
        <f t="shared" si="0"/>
        <v>T-1</v>
      </c>
      <c r="O48">
        <f t="shared" si="1"/>
        <v>2025</v>
      </c>
      <c r="P48" t="str">
        <f t="shared" si="2"/>
        <v>3. marzo</v>
      </c>
    </row>
    <row r="49" spans="1:16" x14ac:dyDescent="0.35">
      <c r="A49">
        <v>720786</v>
      </c>
      <c r="B49" t="s">
        <v>27</v>
      </c>
      <c r="C49" t="s">
        <v>137</v>
      </c>
      <c r="D49" t="s">
        <v>219</v>
      </c>
      <c r="E49" t="s">
        <v>670</v>
      </c>
      <c r="F49" t="s">
        <v>187</v>
      </c>
      <c r="G49" s="1">
        <v>45769</v>
      </c>
      <c r="H49" s="1">
        <v>45790</v>
      </c>
      <c r="I49" s="2">
        <v>990</v>
      </c>
      <c r="J49" t="s">
        <v>776</v>
      </c>
      <c r="K49" t="s">
        <v>783</v>
      </c>
      <c r="L49" t="s">
        <v>823</v>
      </c>
      <c r="M49" t="s">
        <v>830</v>
      </c>
      <c r="N49" t="str">
        <f t="shared" si="0"/>
        <v>T-2</v>
      </c>
      <c r="O49">
        <f t="shared" si="1"/>
        <v>2025</v>
      </c>
      <c r="P49" t="str">
        <f t="shared" si="2"/>
        <v>4. abril</v>
      </c>
    </row>
    <row r="50" spans="1:16" x14ac:dyDescent="0.35">
      <c r="A50">
        <v>715675</v>
      </c>
      <c r="B50" t="s">
        <v>4</v>
      </c>
      <c r="C50" t="s">
        <v>138</v>
      </c>
      <c r="D50" t="s">
        <v>220</v>
      </c>
      <c r="E50" t="s">
        <v>671</v>
      </c>
      <c r="F50" t="s">
        <v>187</v>
      </c>
      <c r="G50" s="1">
        <v>45748</v>
      </c>
      <c r="H50" s="1">
        <v>45748</v>
      </c>
      <c r="I50" s="2">
        <v>1350</v>
      </c>
      <c r="J50" t="s">
        <v>776</v>
      </c>
      <c r="K50" t="s">
        <v>783</v>
      </c>
      <c r="L50" t="s">
        <v>823</v>
      </c>
      <c r="M50" t="s">
        <v>828</v>
      </c>
      <c r="N50" t="str">
        <f t="shared" si="0"/>
        <v>T-2</v>
      </c>
      <c r="O50">
        <f t="shared" si="1"/>
        <v>2025</v>
      </c>
      <c r="P50" t="str">
        <f t="shared" si="2"/>
        <v>4. abril</v>
      </c>
    </row>
    <row r="51" spans="1:16" x14ac:dyDescent="0.35">
      <c r="A51">
        <v>364121</v>
      </c>
      <c r="B51" t="s">
        <v>4</v>
      </c>
      <c r="C51" t="s">
        <v>139</v>
      </c>
      <c r="D51" t="s">
        <v>221</v>
      </c>
      <c r="E51" t="s">
        <v>668</v>
      </c>
      <c r="F51" t="s">
        <v>773</v>
      </c>
      <c r="G51" s="1">
        <v>45811</v>
      </c>
      <c r="H51" s="1">
        <v>46071</v>
      </c>
      <c r="I51" s="2">
        <v>5110</v>
      </c>
      <c r="J51" t="s">
        <v>776</v>
      </c>
      <c r="K51" t="s">
        <v>783</v>
      </c>
      <c r="L51" t="s">
        <v>824</v>
      </c>
      <c r="M51" t="s">
        <v>830</v>
      </c>
      <c r="N51" t="str">
        <f t="shared" si="0"/>
        <v>T-2</v>
      </c>
      <c r="O51">
        <f t="shared" si="1"/>
        <v>2025</v>
      </c>
      <c r="P51" t="str">
        <f t="shared" si="2"/>
        <v>6. junio</v>
      </c>
    </row>
    <row r="52" spans="1:16" x14ac:dyDescent="0.35">
      <c r="A52">
        <v>720097</v>
      </c>
      <c r="B52" t="s">
        <v>30</v>
      </c>
      <c r="C52" t="s">
        <v>138</v>
      </c>
      <c r="D52" t="s">
        <v>222</v>
      </c>
      <c r="E52" t="s">
        <v>672</v>
      </c>
      <c r="F52" t="s">
        <v>187</v>
      </c>
      <c r="G52" s="1">
        <v>45733</v>
      </c>
      <c r="H52" s="1">
        <v>45735</v>
      </c>
      <c r="I52" s="2">
        <v>1530</v>
      </c>
      <c r="J52" t="s">
        <v>776</v>
      </c>
      <c r="K52" t="s">
        <v>790</v>
      </c>
      <c r="L52" t="s">
        <v>823</v>
      </c>
      <c r="M52" t="s">
        <v>829</v>
      </c>
      <c r="N52" t="str">
        <f t="shared" si="0"/>
        <v>T-1</v>
      </c>
      <c r="O52">
        <f t="shared" si="1"/>
        <v>2025</v>
      </c>
      <c r="P52" t="str">
        <f t="shared" si="2"/>
        <v>3. marzo</v>
      </c>
    </row>
    <row r="53" spans="1:16" x14ac:dyDescent="0.35">
      <c r="A53">
        <v>564684</v>
      </c>
      <c r="B53" t="s">
        <v>20</v>
      </c>
      <c r="C53" t="s">
        <v>136</v>
      </c>
      <c r="D53" t="s">
        <v>156</v>
      </c>
      <c r="E53" t="s">
        <v>673</v>
      </c>
      <c r="F53" t="s">
        <v>188</v>
      </c>
      <c r="G53" s="1">
        <v>45716</v>
      </c>
      <c r="H53" s="1">
        <v>45716</v>
      </c>
      <c r="I53" s="2">
        <v>2500</v>
      </c>
      <c r="J53" t="s">
        <v>779</v>
      </c>
      <c r="K53" t="s">
        <v>791</v>
      </c>
      <c r="L53" t="s">
        <v>823</v>
      </c>
      <c r="M53" t="s">
        <v>828</v>
      </c>
      <c r="N53" t="str">
        <f t="shared" si="0"/>
        <v>T-1</v>
      </c>
      <c r="O53">
        <f t="shared" si="1"/>
        <v>2025</v>
      </c>
      <c r="P53" t="str">
        <f t="shared" si="2"/>
        <v>2. febrero</v>
      </c>
    </row>
    <row r="54" spans="1:16" x14ac:dyDescent="0.35">
      <c r="A54">
        <v>704523</v>
      </c>
      <c r="B54" t="s">
        <v>25</v>
      </c>
      <c r="C54" t="s">
        <v>138</v>
      </c>
      <c r="D54" t="s">
        <v>223</v>
      </c>
      <c r="E54" t="s">
        <v>674</v>
      </c>
      <c r="F54" t="s">
        <v>187</v>
      </c>
      <c r="G54" s="1">
        <v>45715</v>
      </c>
      <c r="H54" s="1">
        <v>45715</v>
      </c>
      <c r="I54" s="2">
        <v>1297.8</v>
      </c>
      <c r="J54" t="s">
        <v>777</v>
      </c>
      <c r="K54" t="s">
        <v>787</v>
      </c>
      <c r="L54" t="s">
        <v>823</v>
      </c>
      <c r="M54" t="s">
        <v>830</v>
      </c>
      <c r="N54" t="str">
        <f t="shared" si="0"/>
        <v>T-1</v>
      </c>
      <c r="O54">
        <f t="shared" si="1"/>
        <v>2025</v>
      </c>
      <c r="P54" t="str">
        <f t="shared" si="2"/>
        <v>2. febrero</v>
      </c>
    </row>
    <row r="55" spans="1:16" x14ac:dyDescent="0.35">
      <c r="A55">
        <v>721874</v>
      </c>
      <c r="B55" t="s">
        <v>2</v>
      </c>
      <c r="C55" t="s">
        <v>139</v>
      </c>
      <c r="D55" t="s">
        <v>156</v>
      </c>
      <c r="E55" t="s">
        <v>673</v>
      </c>
      <c r="F55" t="s">
        <v>187</v>
      </c>
      <c r="G55" s="1">
        <v>45719</v>
      </c>
      <c r="H55" s="1">
        <v>45719</v>
      </c>
      <c r="I55" s="2">
        <v>1750</v>
      </c>
      <c r="J55" t="s">
        <v>779</v>
      </c>
      <c r="K55" t="s">
        <v>783</v>
      </c>
      <c r="L55" t="s">
        <v>823</v>
      </c>
      <c r="M55" t="s">
        <v>830</v>
      </c>
      <c r="N55" t="str">
        <f t="shared" si="0"/>
        <v>T-1</v>
      </c>
      <c r="O55">
        <f t="shared" si="1"/>
        <v>2025</v>
      </c>
      <c r="P55" t="str">
        <f t="shared" si="2"/>
        <v>3. marzo</v>
      </c>
    </row>
    <row r="56" spans="1:16" x14ac:dyDescent="0.35">
      <c r="A56">
        <v>486293</v>
      </c>
      <c r="B56" t="s">
        <v>24</v>
      </c>
      <c r="C56" t="s">
        <v>138</v>
      </c>
      <c r="D56" t="s">
        <v>156</v>
      </c>
      <c r="E56" t="s">
        <v>673</v>
      </c>
      <c r="F56" t="s">
        <v>187</v>
      </c>
      <c r="G56" s="1">
        <v>45719</v>
      </c>
      <c r="H56" s="1">
        <v>45719</v>
      </c>
      <c r="I56" s="2">
        <v>625</v>
      </c>
      <c r="J56" t="s">
        <v>779</v>
      </c>
      <c r="K56" t="s">
        <v>791</v>
      </c>
      <c r="L56" t="s">
        <v>823</v>
      </c>
      <c r="M56" t="s">
        <v>829</v>
      </c>
      <c r="N56" t="str">
        <f t="shared" si="0"/>
        <v>T-1</v>
      </c>
      <c r="O56">
        <f t="shared" si="1"/>
        <v>2025</v>
      </c>
      <c r="P56" t="str">
        <f t="shared" si="2"/>
        <v>3. marzo</v>
      </c>
    </row>
    <row r="57" spans="1:16" x14ac:dyDescent="0.35">
      <c r="A57">
        <v>722446</v>
      </c>
      <c r="B57" t="s">
        <v>7</v>
      </c>
      <c r="C57" t="s">
        <v>138</v>
      </c>
      <c r="D57" t="s">
        <v>164</v>
      </c>
      <c r="E57" t="s">
        <v>675</v>
      </c>
      <c r="F57" t="s">
        <v>187</v>
      </c>
      <c r="G57" s="1">
        <v>45713</v>
      </c>
      <c r="H57" s="1">
        <v>45716</v>
      </c>
      <c r="I57" s="2">
        <v>208</v>
      </c>
      <c r="J57" t="s">
        <v>779</v>
      </c>
      <c r="K57" t="s">
        <v>786</v>
      </c>
      <c r="L57" t="s">
        <v>823</v>
      </c>
      <c r="M57" t="s">
        <v>828</v>
      </c>
      <c r="N57" t="str">
        <f t="shared" si="0"/>
        <v>T-1</v>
      </c>
      <c r="O57">
        <f t="shared" si="1"/>
        <v>2025</v>
      </c>
      <c r="P57" t="str">
        <f t="shared" si="2"/>
        <v>2. febrero</v>
      </c>
    </row>
    <row r="58" spans="1:16" x14ac:dyDescent="0.35">
      <c r="A58">
        <v>411944</v>
      </c>
      <c r="B58" t="s">
        <v>13</v>
      </c>
      <c r="C58" t="s">
        <v>138</v>
      </c>
      <c r="D58" t="s">
        <v>224</v>
      </c>
      <c r="E58" t="s">
        <v>676</v>
      </c>
      <c r="F58" t="s">
        <v>187</v>
      </c>
      <c r="G58" s="1">
        <v>45712</v>
      </c>
      <c r="H58" s="1">
        <v>45712</v>
      </c>
      <c r="I58" s="2">
        <v>1635</v>
      </c>
      <c r="J58" t="s">
        <v>779</v>
      </c>
      <c r="K58" t="s">
        <v>792</v>
      </c>
      <c r="L58" t="s">
        <v>824</v>
      </c>
      <c r="M58" t="s">
        <v>830</v>
      </c>
      <c r="N58" t="str">
        <f t="shared" si="0"/>
        <v>T-1</v>
      </c>
      <c r="O58">
        <f t="shared" si="1"/>
        <v>2025</v>
      </c>
      <c r="P58" t="str">
        <f t="shared" si="2"/>
        <v>2. febrero</v>
      </c>
    </row>
    <row r="59" spans="1:16" x14ac:dyDescent="0.35">
      <c r="A59">
        <v>708610</v>
      </c>
      <c r="B59" t="s">
        <v>24</v>
      </c>
      <c r="C59" t="s">
        <v>138</v>
      </c>
      <c r="D59" t="s">
        <v>224</v>
      </c>
      <c r="E59" t="s">
        <v>676</v>
      </c>
      <c r="F59" t="s">
        <v>187</v>
      </c>
      <c r="G59" s="1">
        <v>45713</v>
      </c>
      <c r="H59" s="1">
        <v>45713</v>
      </c>
      <c r="I59" s="2">
        <v>1635</v>
      </c>
      <c r="J59" t="s">
        <v>779</v>
      </c>
      <c r="K59" t="s">
        <v>783</v>
      </c>
      <c r="L59" t="s">
        <v>823</v>
      </c>
      <c r="M59" t="s">
        <v>828</v>
      </c>
      <c r="N59" t="str">
        <f t="shared" si="0"/>
        <v>T-1</v>
      </c>
      <c r="O59">
        <f t="shared" si="1"/>
        <v>2025</v>
      </c>
      <c r="P59" t="str">
        <f t="shared" si="2"/>
        <v>2. febrero</v>
      </c>
    </row>
    <row r="60" spans="1:16" x14ac:dyDescent="0.35">
      <c r="A60">
        <v>715463</v>
      </c>
      <c r="B60" t="s">
        <v>30</v>
      </c>
      <c r="C60" t="s">
        <v>137</v>
      </c>
      <c r="D60" t="s">
        <v>225</v>
      </c>
      <c r="E60" t="s">
        <v>676</v>
      </c>
      <c r="F60" t="s">
        <v>188</v>
      </c>
      <c r="G60" s="1">
        <v>45714</v>
      </c>
      <c r="H60" s="1">
        <v>45714</v>
      </c>
      <c r="I60" s="2">
        <v>1635</v>
      </c>
      <c r="J60" t="s">
        <v>779</v>
      </c>
      <c r="K60" t="s">
        <v>783</v>
      </c>
      <c r="L60" t="s">
        <v>823</v>
      </c>
      <c r="M60" t="s">
        <v>830</v>
      </c>
      <c r="N60" t="str">
        <f t="shared" si="0"/>
        <v>T-1</v>
      </c>
      <c r="O60">
        <f t="shared" si="1"/>
        <v>2025</v>
      </c>
      <c r="P60" t="str">
        <f t="shared" si="2"/>
        <v>2. febrero</v>
      </c>
    </row>
    <row r="61" spans="1:16" x14ac:dyDescent="0.35">
      <c r="A61">
        <v>503916</v>
      </c>
      <c r="B61" t="s">
        <v>38</v>
      </c>
      <c r="C61" t="s">
        <v>139</v>
      </c>
      <c r="D61" t="s">
        <v>226</v>
      </c>
      <c r="E61" t="s">
        <v>676</v>
      </c>
      <c r="F61" t="s">
        <v>187</v>
      </c>
      <c r="G61" s="1">
        <v>45714</v>
      </c>
      <c r="H61" s="1">
        <v>45714</v>
      </c>
      <c r="I61" s="2">
        <v>1635</v>
      </c>
      <c r="J61" t="s">
        <v>779</v>
      </c>
      <c r="K61" t="s">
        <v>783</v>
      </c>
      <c r="L61" t="s">
        <v>823</v>
      </c>
      <c r="M61" t="s">
        <v>830</v>
      </c>
      <c r="N61" t="str">
        <f t="shared" si="0"/>
        <v>T-1</v>
      </c>
      <c r="O61">
        <f t="shared" si="1"/>
        <v>2025</v>
      </c>
      <c r="P61" t="str">
        <f t="shared" si="2"/>
        <v>2. febrero</v>
      </c>
    </row>
    <row r="62" spans="1:16" x14ac:dyDescent="0.35">
      <c r="A62">
        <v>406591</v>
      </c>
      <c r="B62" t="s">
        <v>39</v>
      </c>
      <c r="C62" t="s">
        <v>139</v>
      </c>
      <c r="D62" t="s">
        <v>224</v>
      </c>
      <c r="E62" t="s">
        <v>676</v>
      </c>
      <c r="F62" t="s">
        <v>187</v>
      </c>
      <c r="G62" s="1">
        <v>45713</v>
      </c>
      <c r="H62" s="1">
        <v>45713</v>
      </c>
      <c r="I62" s="2">
        <v>1635</v>
      </c>
      <c r="J62" t="s">
        <v>779</v>
      </c>
      <c r="K62" t="s">
        <v>793</v>
      </c>
      <c r="L62" t="s">
        <v>823</v>
      </c>
      <c r="M62" t="s">
        <v>830</v>
      </c>
      <c r="N62" t="str">
        <f t="shared" si="0"/>
        <v>T-1</v>
      </c>
      <c r="O62">
        <f t="shared" si="1"/>
        <v>2025</v>
      </c>
      <c r="P62" t="str">
        <f t="shared" si="2"/>
        <v>2. febrero</v>
      </c>
    </row>
    <row r="63" spans="1:16" x14ac:dyDescent="0.35">
      <c r="A63">
        <v>486348</v>
      </c>
      <c r="B63" t="s">
        <v>40</v>
      </c>
      <c r="C63" t="s">
        <v>138</v>
      </c>
      <c r="D63" t="s">
        <v>227</v>
      </c>
      <c r="E63" t="s">
        <v>647</v>
      </c>
      <c r="F63" t="s">
        <v>773</v>
      </c>
      <c r="G63" s="1">
        <v>45960</v>
      </c>
      <c r="H63" s="1">
        <v>45961</v>
      </c>
      <c r="I63" s="2">
        <v>425</v>
      </c>
      <c r="J63" t="s">
        <v>774</v>
      </c>
      <c r="K63" t="s">
        <v>790</v>
      </c>
      <c r="L63" t="s">
        <v>823</v>
      </c>
      <c r="M63" t="s">
        <v>829</v>
      </c>
      <c r="N63" t="str">
        <f t="shared" si="0"/>
        <v>T-4</v>
      </c>
      <c r="O63">
        <f t="shared" si="1"/>
        <v>2025</v>
      </c>
      <c r="P63" t="str">
        <f t="shared" si="2"/>
        <v>10. octubre</v>
      </c>
    </row>
    <row r="64" spans="1:16" x14ac:dyDescent="0.35">
      <c r="A64">
        <v>720096</v>
      </c>
      <c r="B64" t="s">
        <v>20</v>
      </c>
      <c r="C64" t="s">
        <v>136</v>
      </c>
      <c r="D64" t="s">
        <v>228</v>
      </c>
      <c r="E64" t="s">
        <v>677</v>
      </c>
      <c r="F64" t="s">
        <v>188</v>
      </c>
      <c r="G64" s="1">
        <v>45772</v>
      </c>
      <c r="H64" s="1">
        <v>45772</v>
      </c>
      <c r="I64" s="2">
        <v>1376.55</v>
      </c>
      <c r="J64" t="s">
        <v>778</v>
      </c>
      <c r="K64" t="s">
        <v>790</v>
      </c>
      <c r="L64" t="s">
        <v>823</v>
      </c>
      <c r="M64" t="s">
        <v>828</v>
      </c>
      <c r="N64" t="str">
        <f t="shared" si="0"/>
        <v>T-2</v>
      </c>
      <c r="O64">
        <f t="shared" si="1"/>
        <v>2025</v>
      </c>
      <c r="P64" t="str">
        <f t="shared" si="2"/>
        <v>4. abril</v>
      </c>
    </row>
    <row r="65" spans="1:16" x14ac:dyDescent="0.35">
      <c r="A65">
        <v>716312</v>
      </c>
      <c r="B65" t="s">
        <v>2</v>
      </c>
      <c r="C65" t="s">
        <v>137</v>
      </c>
      <c r="D65" t="s">
        <v>229</v>
      </c>
      <c r="E65" t="s">
        <v>678</v>
      </c>
      <c r="F65" t="s">
        <v>187</v>
      </c>
      <c r="G65" s="1">
        <v>45726</v>
      </c>
      <c r="H65" s="1">
        <v>45729</v>
      </c>
      <c r="I65" s="2">
        <v>1725</v>
      </c>
      <c r="J65" t="s">
        <v>776</v>
      </c>
      <c r="K65" t="s">
        <v>790</v>
      </c>
      <c r="L65" t="s">
        <v>823</v>
      </c>
      <c r="M65" t="s">
        <v>830</v>
      </c>
      <c r="N65" t="str">
        <f t="shared" si="0"/>
        <v>T-1</v>
      </c>
      <c r="O65">
        <f t="shared" si="1"/>
        <v>2025</v>
      </c>
      <c r="P65" t="str">
        <f t="shared" si="2"/>
        <v>3. marzo</v>
      </c>
    </row>
    <row r="66" spans="1:16" x14ac:dyDescent="0.35">
      <c r="A66">
        <v>714680</v>
      </c>
      <c r="B66" t="s">
        <v>30</v>
      </c>
      <c r="C66" t="s">
        <v>137</v>
      </c>
      <c r="D66" t="s">
        <v>203</v>
      </c>
      <c r="E66" t="s">
        <v>658</v>
      </c>
      <c r="F66" t="s">
        <v>187</v>
      </c>
      <c r="G66" s="1">
        <v>45770</v>
      </c>
      <c r="H66" s="1">
        <v>45770</v>
      </c>
      <c r="I66" s="2">
        <v>399</v>
      </c>
      <c r="J66" t="s">
        <v>774</v>
      </c>
      <c r="K66" t="s">
        <v>793</v>
      </c>
      <c r="L66" t="s">
        <v>824</v>
      </c>
      <c r="M66" t="s">
        <v>830</v>
      </c>
      <c r="N66" t="str">
        <f t="shared" si="0"/>
        <v>T-2</v>
      </c>
      <c r="O66">
        <f t="shared" si="1"/>
        <v>2025</v>
      </c>
      <c r="P66" t="str">
        <f t="shared" si="2"/>
        <v>4. abril</v>
      </c>
    </row>
    <row r="67" spans="1:16" x14ac:dyDescent="0.35">
      <c r="A67">
        <v>410955</v>
      </c>
      <c r="B67" t="s">
        <v>41</v>
      </c>
      <c r="C67" t="s">
        <v>138</v>
      </c>
      <c r="D67" t="s">
        <v>210</v>
      </c>
      <c r="E67" t="s">
        <v>665</v>
      </c>
      <c r="F67" t="s">
        <v>187</v>
      </c>
      <c r="G67" s="1">
        <v>45684</v>
      </c>
      <c r="H67" s="1">
        <v>45712</v>
      </c>
      <c r="I67" s="2">
        <v>4250</v>
      </c>
      <c r="J67" t="s">
        <v>777</v>
      </c>
      <c r="K67" t="s">
        <v>783</v>
      </c>
      <c r="L67" t="s">
        <v>823</v>
      </c>
      <c r="M67" t="s">
        <v>828</v>
      </c>
      <c r="N67" t="str">
        <f t="shared" ref="N67:N130" si="3">"T-" &amp; ROUNDUP((MONTH(G67)/3), 0)</f>
        <v>T-1</v>
      </c>
      <c r="O67">
        <f t="shared" ref="O67:O130" si="4">YEAR(G67)</f>
        <v>2025</v>
      </c>
      <c r="P67" t="str">
        <f t="shared" ref="P67:P130" si="5">MONTH(G67) &amp; ". " &amp; TEXT(G67, "MMMM")</f>
        <v>1. enero</v>
      </c>
    </row>
    <row r="68" spans="1:16" x14ac:dyDescent="0.35">
      <c r="A68">
        <v>715837</v>
      </c>
      <c r="B68" t="s">
        <v>32</v>
      </c>
      <c r="C68" t="s">
        <v>138</v>
      </c>
      <c r="D68" t="s">
        <v>230</v>
      </c>
      <c r="E68" t="s">
        <v>652</v>
      </c>
      <c r="F68" t="s">
        <v>187</v>
      </c>
      <c r="G68" s="1">
        <v>45705</v>
      </c>
      <c r="H68" s="1">
        <v>45709</v>
      </c>
      <c r="I68" s="2">
        <v>5766.67</v>
      </c>
      <c r="J68" t="s">
        <v>774</v>
      </c>
      <c r="K68" t="s">
        <v>794</v>
      </c>
      <c r="L68" t="s">
        <v>823</v>
      </c>
      <c r="M68" t="s">
        <v>829</v>
      </c>
      <c r="N68" t="str">
        <f t="shared" si="3"/>
        <v>T-1</v>
      </c>
      <c r="O68">
        <f t="shared" si="4"/>
        <v>2025</v>
      </c>
      <c r="P68" t="str">
        <f t="shared" si="5"/>
        <v>2. febrero</v>
      </c>
    </row>
    <row r="69" spans="1:16" x14ac:dyDescent="0.35">
      <c r="A69">
        <v>432441</v>
      </c>
      <c r="B69" t="s">
        <v>30</v>
      </c>
      <c r="C69" t="s">
        <v>138</v>
      </c>
      <c r="D69" t="s">
        <v>210</v>
      </c>
      <c r="E69" t="s">
        <v>665</v>
      </c>
      <c r="F69" t="s">
        <v>187</v>
      </c>
      <c r="G69" s="1">
        <v>45684</v>
      </c>
      <c r="H69" s="1">
        <v>45712</v>
      </c>
      <c r="I69" s="2">
        <v>500</v>
      </c>
      <c r="J69" t="s">
        <v>777</v>
      </c>
      <c r="K69" t="s">
        <v>795</v>
      </c>
      <c r="L69" t="s">
        <v>823</v>
      </c>
      <c r="M69" t="s">
        <v>830</v>
      </c>
      <c r="N69" t="str">
        <f t="shared" si="3"/>
        <v>T-1</v>
      </c>
      <c r="O69">
        <f t="shared" si="4"/>
        <v>2025</v>
      </c>
      <c r="P69" t="str">
        <f t="shared" si="5"/>
        <v>1. enero</v>
      </c>
    </row>
    <row r="70" spans="1:16" x14ac:dyDescent="0.35">
      <c r="A70">
        <v>465843</v>
      </c>
      <c r="B70" t="s">
        <v>5</v>
      </c>
      <c r="C70" t="s">
        <v>139</v>
      </c>
      <c r="D70" t="s">
        <v>231</v>
      </c>
      <c r="E70" t="s">
        <v>654</v>
      </c>
      <c r="F70" t="s">
        <v>187</v>
      </c>
      <c r="G70" s="1">
        <v>45712</v>
      </c>
      <c r="H70" s="1">
        <v>45712</v>
      </c>
      <c r="I70" s="2">
        <v>1190</v>
      </c>
      <c r="J70" t="s">
        <v>777</v>
      </c>
      <c r="K70" t="s">
        <v>790</v>
      </c>
      <c r="L70" t="s">
        <v>823</v>
      </c>
      <c r="M70" t="s">
        <v>830</v>
      </c>
      <c r="N70" t="str">
        <f t="shared" si="3"/>
        <v>T-1</v>
      </c>
      <c r="O70">
        <f t="shared" si="4"/>
        <v>2025</v>
      </c>
      <c r="P70" t="str">
        <f t="shared" si="5"/>
        <v>2. febrero</v>
      </c>
    </row>
    <row r="71" spans="1:16" x14ac:dyDescent="0.35">
      <c r="A71">
        <v>474339</v>
      </c>
      <c r="B71" t="s">
        <v>8</v>
      </c>
      <c r="C71" t="s">
        <v>138</v>
      </c>
      <c r="D71" t="s">
        <v>195</v>
      </c>
      <c r="E71" t="s">
        <v>654</v>
      </c>
      <c r="F71" t="s">
        <v>187</v>
      </c>
      <c r="G71" s="1">
        <v>45714</v>
      </c>
      <c r="H71" s="1">
        <v>45714</v>
      </c>
      <c r="I71" s="2">
        <v>238</v>
      </c>
      <c r="J71" t="s">
        <v>777</v>
      </c>
      <c r="K71" t="s">
        <v>783</v>
      </c>
      <c r="L71" t="s">
        <v>824</v>
      </c>
      <c r="M71" t="s">
        <v>828</v>
      </c>
      <c r="N71" t="str">
        <f t="shared" si="3"/>
        <v>T-1</v>
      </c>
      <c r="O71">
        <f t="shared" si="4"/>
        <v>2025</v>
      </c>
      <c r="P71" t="str">
        <f t="shared" si="5"/>
        <v>2. febrero</v>
      </c>
    </row>
    <row r="72" spans="1:16" x14ac:dyDescent="0.35">
      <c r="A72">
        <v>360002</v>
      </c>
      <c r="B72" t="s">
        <v>5</v>
      </c>
      <c r="C72" t="s">
        <v>139</v>
      </c>
      <c r="D72" t="s">
        <v>160</v>
      </c>
      <c r="E72" t="s">
        <v>654</v>
      </c>
      <c r="F72" t="s">
        <v>188</v>
      </c>
      <c r="G72" s="1">
        <v>45719</v>
      </c>
      <c r="H72" s="1">
        <v>45719</v>
      </c>
      <c r="I72" s="2">
        <v>892.5</v>
      </c>
      <c r="J72" t="s">
        <v>777</v>
      </c>
      <c r="K72" t="s">
        <v>786</v>
      </c>
      <c r="L72" t="s">
        <v>823</v>
      </c>
      <c r="M72" t="s">
        <v>830</v>
      </c>
      <c r="N72" t="str">
        <f t="shared" si="3"/>
        <v>T-1</v>
      </c>
      <c r="O72">
        <f t="shared" si="4"/>
        <v>2025</v>
      </c>
      <c r="P72" t="str">
        <f t="shared" si="5"/>
        <v>3. marzo</v>
      </c>
    </row>
    <row r="73" spans="1:16" x14ac:dyDescent="0.35">
      <c r="A73">
        <v>723202</v>
      </c>
      <c r="B73" t="s">
        <v>26</v>
      </c>
      <c r="C73" t="s">
        <v>138</v>
      </c>
      <c r="D73" t="s">
        <v>160</v>
      </c>
      <c r="E73" t="s">
        <v>654</v>
      </c>
      <c r="F73" t="s">
        <v>188</v>
      </c>
      <c r="G73" s="1">
        <v>45719</v>
      </c>
      <c r="H73" s="1">
        <v>45719</v>
      </c>
      <c r="I73" s="2">
        <v>297.5</v>
      </c>
      <c r="J73" t="s">
        <v>777</v>
      </c>
      <c r="K73" t="s">
        <v>783</v>
      </c>
      <c r="L73" t="s">
        <v>823</v>
      </c>
      <c r="M73" t="s">
        <v>830</v>
      </c>
      <c r="N73" t="str">
        <f t="shared" si="3"/>
        <v>T-1</v>
      </c>
      <c r="O73">
        <f t="shared" si="4"/>
        <v>2025</v>
      </c>
      <c r="P73" t="str">
        <f t="shared" si="5"/>
        <v>3. marzo</v>
      </c>
    </row>
    <row r="74" spans="1:16" x14ac:dyDescent="0.35">
      <c r="A74">
        <v>718245</v>
      </c>
      <c r="B74" t="s">
        <v>25</v>
      </c>
      <c r="C74" t="s">
        <v>138</v>
      </c>
      <c r="D74" t="s">
        <v>232</v>
      </c>
      <c r="E74" t="s">
        <v>675</v>
      </c>
      <c r="F74" t="s">
        <v>188</v>
      </c>
      <c r="G74" s="1">
        <v>45720</v>
      </c>
      <c r="H74" s="1">
        <v>45721</v>
      </c>
      <c r="I74" s="2">
        <v>208</v>
      </c>
      <c r="J74" t="s">
        <v>779</v>
      </c>
      <c r="K74" t="s">
        <v>790</v>
      </c>
      <c r="L74" t="s">
        <v>823</v>
      </c>
      <c r="M74" t="s">
        <v>829</v>
      </c>
      <c r="N74" t="str">
        <f t="shared" si="3"/>
        <v>T-1</v>
      </c>
      <c r="O74">
        <f t="shared" si="4"/>
        <v>2025</v>
      </c>
      <c r="P74" t="str">
        <f t="shared" si="5"/>
        <v>3. marzo</v>
      </c>
    </row>
    <row r="75" spans="1:16" x14ac:dyDescent="0.35">
      <c r="A75">
        <v>486816</v>
      </c>
      <c r="B75" t="s">
        <v>5</v>
      </c>
      <c r="C75" t="s">
        <v>138</v>
      </c>
      <c r="D75" t="s">
        <v>233</v>
      </c>
      <c r="E75" t="s">
        <v>675</v>
      </c>
      <c r="F75" t="s">
        <v>187</v>
      </c>
      <c r="G75" s="1">
        <v>45712</v>
      </c>
      <c r="H75" s="1">
        <v>45719</v>
      </c>
      <c r="I75" s="2">
        <v>448.5</v>
      </c>
      <c r="J75" t="s">
        <v>779</v>
      </c>
      <c r="K75" t="s">
        <v>796</v>
      </c>
      <c r="L75" t="s">
        <v>823</v>
      </c>
      <c r="M75" t="s">
        <v>830</v>
      </c>
      <c r="N75" t="str">
        <f t="shared" si="3"/>
        <v>T-1</v>
      </c>
      <c r="O75">
        <f t="shared" si="4"/>
        <v>2025</v>
      </c>
      <c r="P75" t="str">
        <f t="shared" si="5"/>
        <v>2. febrero</v>
      </c>
    </row>
    <row r="76" spans="1:16" x14ac:dyDescent="0.35">
      <c r="A76">
        <v>608038</v>
      </c>
      <c r="B76" t="s">
        <v>13</v>
      </c>
      <c r="C76" t="s">
        <v>136</v>
      </c>
      <c r="D76" t="s">
        <v>233</v>
      </c>
      <c r="E76" t="s">
        <v>675</v>
      </c>
      <c r="F76" t="s">
        <v>187</v>
      </c>
      <c r="G76" s="1">
        <v>45712</v>
      </c>
      <c r="H76" s="1">
        <v>45719</v>
      </c>
      <c r="I76" s="2">
        <v>3588</v>
      </c>
      <c r="J76" t="s">
        <v>779</v>
      </c>
      <c r="K76" t="s">
        <v>787</v>
      </c>
      <c r="L76" t="s">
        <v>823</v>
      </c>
      <c r="M76" t="s">
        <v>828</v>
      </c>
      <c r="N76" t="str">
        <f t="shared" si="3"/>
        <v>T-1</v>
      </c>
      <c r="O76">
        <f t="shared" si="4"/>
        <v>2025</v>
      </c>
      <c r="P76" t="str">
        <f t="shared" si="5"/>
        <v>2. febrero</v>
      </c>
    </row>
    <row r="77" spans="1:16" x14ac:dyDescent="0.35">
      <c r="A77">
        <v>709665</v>
      </c>
      <c r="B77" t="s">
        <v>23</v>
      </c>
      <c r="C77" t="s">
        <v>141</v>
      </c>
      <c r="D77" t="s">
        <v>234</v>
      </c>
      <c r="E77" t="s">
        <v>660</v>
      </c>
      <c r="F77" t="s">
        <v>187</v>
      </c>
      <c r="G77" s="1">
        <v>45730</v>
      </c>
      <c r="H77" s="1">
        <v>45742</v>
      </c>
      <c r="I77" s="2">
        <v>6760</v>
      </c>
      <c r="J77" t="s">
        <v>776</v>
      </c>
      <c r="K77" t="s">
        <v>795</v>
      </c>
      <c r="L77" t="s">
        <v>823</v>
      </c>
      <c r="M77" t="s">
        <v>828</v>
      </c>
      <c r="N77" t="str">
        <f t="shared" si="3"/>
        <v>T-1</v>
      </c>
      <c r="O77">
        <f t="shared" si="4"/>
        <v>2025</v>
      </c>
      <c r="P77" t="str">
        <f t="shared" si="5"/>
        <v>3. marzo</v>
      </c>
    </row>
    <row r="78" spans="1:16" x14ac:dyDescent="0.35">
      <c r="A78">
        <v>716913</v>
      </c>
      <c r="B78" t="s">
        <v>3</v>
      </c>
      <c r="C78" t="s">
        <v>136</v>
      </c>
      <c r="D78" t="s">
        <v>206</v>
      </c>
      <c r="E78" t="s">
        <v>660</v>
      </c>
      <c r="F78" t="s">
        <v>187</v>
      </c>
      <c r="G78" s="1">
        <v>45730</v>
      </c>
      <c r="H78" s="1">
        <v>45742</v>
      </c>
      <c r="I78" s="2">
        <v>5720</v>
      </c>
      <c r="J78" t="s">
        <v>776</v>
      </c>
      <c r="K78" t="s">
        <v>790</v>
      </c>
      <c r="L78" t="s">
        <v>824</v>
      </c>
      <c r="M78" t="s">
        <v>830</v>
      </c>
      <c r="N78" t="str">
        <f t="shared" si="3"/>
        <v>T-1</v>
      </c>
      <c r="O78">
        <f t="shared" si="4"/>
        <v>2025</v>
      </c>
      <c r="P78" t="str">
        <f t="shared" si="5"/>
        <v>3. marzo</v>
      </c>
    </row>
    <row r="79" spans="1:16" x14ac:dyDescent="0.35">
      <c r="A79">
        <v>560705</v>
      </c>
      <c r="B79" t="s">
        <v>5</v>
      </c>
      <c r="C79" t="s">
        <v>138</v>
      </c>
      <c r="D79" t="s">
        <v>205</v>
      </c>
      <c r="E79" t="s">
        <v>660</v>
      </c>
      <c r="F79" t="s">
        <v>187</v>
      </c>
      <c r="G79" s="1">
        <v>45726</v>
      </c>
      <c r="H79" s="1">
        <v>45742</v>
      </c>
      <c r="I79" s="2">
        <v>6760</v>
      </c>
      <c r="J79" t="s">
        <v>776</v>
      </c>
      <c r="K79" t="s">
        <v>788</v>
      </c>
      <c r="L79" t="s">
        <v>823</v>
      </c>
      <c r="M79" t="s">
        <v>830</v>
      </c>
      <c r="N79" t="str">
        <f t="shared" si="3"/>
        <v>T-1</v>
      </c>
      <c r="O79">
        <f t="shared" si="4"/>
        <v>2025</v>
      </c>
      <c r="P79" t="str">
        <f t="shared" si="5"/>
        <v>3. marzo</v>
      </c>
    </row>
    <row r="80" spans="1:16" x14ac:dyDescent="0.35">
      <c r="A80">
        <v>499088</v>
      </c>
      <c r="B80" t="s">
        <v>4</v>
      </c>
      <c r="C80" t="s">
        <v>138</v>
      </c>
      <c r="D80" t="s">
        <v>161</v>
      </c>
      <c r="E80" t="s">
        <v>679</v>
      </c>
      <c r="F80" t="s">
        <v>187</v>
      </c>
      <c r="G80" s="1">
        <v>45716</v>
      </c>
      <c r="H80" s="1">
        <v>45716</v>
      </c>
      <c r="I80" s="2">
        <v>3850</v>
      </c>
      <c r="J80" t="s">
        <v>779</v>
      </c>
      <c r="K80" t="s">
        <v>786</v>
      </c>
      <c r="L80" t="s">
        <v>823</v>
      </c>
      <c r="M80" t="s">
        <v>828</v>
      </c>
      <c r="N80" t="str">
        <f t="shared" si="3"/>
        <v>T-1</v>
      </c>
      <c r="O80">
        <f t="shared" si="4"/>
        <v>2025</v>
      </c>
      <c r="P80" t="str">
        <f t="shared" si="5"/>
        <v>2. febrero</v>
      </c>
    </row>
    <row r="81" spans="1:16" x14ac:dyDescent="0.35">
      <c r="A81">
        <v>717226</v>
      </c>
      <c r="B81" t="s">
        <v>23</v>
      </c>
      <c r="C81" t="s">
        <v>136</v>
      </c>
      <c r="D81" t="s">
        <v>161</v>
      </c>
      <c r="E81" t="s">
        <v>679</v>
      </c>
      <c r="F81" t="s">
        <v>188</v>
      </c>
      <c r="G81" s="1">
        <v>45716</v>
      </c>
      <c r="H81" s="1">
        <v>45716</v>
      </c>
      <c r="I81" s="2">
        <v>350</v>
      </c>
      <c r="J81" t="s">
        <v>779</v>
      </c>
      <c r="K81" t="s">
        <v>783</v>
      </c>
      <c r="L81" t="s">
        <v>823</v>
      </c>
      <c r="M81" t="s">
        <v>829</v>
      </c>
      <c r="N81" t="str">
        <f t="shared" si="3"/>
        <v>T-1</v>
      </c>
      <c r="O81">
        <f t="shared" si="4"/>
        <v>2025</v>
      </c>
      <c r="P81" t="str">
        <f t="shared" si="5"/>
        <v>2. febrero</v>
      </c>
    </row>
    <row r="82" spans="1:16" x14ac:dyDescent="0.35">
      <c r="A82">
        <v>751067</v>
      </c>
      <c r="B82" t="s">
        <v>31</v>
      </c>
      <c r="C82" t="s">
        <v>139</v>
      </c>
      <c r="D82" t="s">
        <v>198</v>
      </c>
      <c r="E82" t="s">
        <v>651</v>
      </c>
      <c r="F82" t="s">
        <v>188</v>
      </c>
      <c r="G82" s="1">
        <v>45712</v>
      </c>
      <c r="H82" s="1">
        <v>45715</v>
      </c>
      <c r="I82" s="2">
        <v>295.5</v>
      </c>
      <c r="J82" t="s">
        <v>774</v>
      </c>
      <c r="K82" t="s">
        <v>783</v>
      </c>
      <c r="L82" t="s">
        <v>823</v>
      </c>
      <c r="M82" t="s">
        <v>830</v>
      </c>
      <c r="N82" t="str">
        <f t="shared" si="3"/>
        <v>T-1</v>
      </c>
      <c r="O82">
        <f t="shared" si="4"/>
        <v>2025</v>
      </c>
      <c r="P82" t="str">
        <f t="shared" si="5"/>
        <v>2. febrero</v>
      </c>
    </row>
    <row r="83" spans="1:16" x14ac:dyDescent="0.35">
      <c r="A83">
        <v>751167</v>
      </c>
      <c r="B83" t="s">
        <v>31</v>
      </c>
      <c r="C83" t="s">
        <v>138</v>
      </c>
      <c r="D83" t="s">
        <v>161</v>
      </c>
      <c r="E83" t="s">
        <v>679</v>
      </c>
      <c r="F83" t="s">
        <v>188</v>
      </c>
      <c r="G83" s="1">
        <v>45723</v>
      </c>
      <c r="H83" s="1">
        <v>45723</v>
      </c>
      <c r="I83" s="2">
        <v>4200</v>
      </c>
      <c r="J83" t="s">
        <v>779</v>
      </c>
      <c r="K83" t="s">
        <v>783</v>
      </c>
      <c r="L83" t="s">
        <v>823</v>
      </c>
      <c r="M83" t="s">
        <v>830</v>
      </c>
      <c r="N83" t="str">
        <f t="shared" si="3"/>
        <v>T-1</v>
      </c>
      <c r="O83">
        <f t="shared" si="4"/>
        <v>2025</v>
      </c>
      <c r="P83" t="str">
        <f t="shared" si="5"/>
        <v>3. marzo</v>
      </c>
    </row>
    <row r="84" spans="1:16" x14ac:dyDescent="0.35">
      <c r="A84">
        <v>701901</v>
      </c>
      <c r="B84" t="s">
        <v>25</v>
      </c>
      <c r="C84" t="s">
        <v>138</v>
      </c>
      <c r="D84" t="s">
        <v>156</v>
      </c>
      <c r="E84" t="s">
        <v>673</v>
      </c>
      <c r="F84" t="s">
        <v>187</v>
      </c>
      <c r="G84" s="1">
        <v>45722</v>
      </c>
      <c r="H84" s="1">
        <v>45722</v>
      </c>
      <c r="I84" s="2">
        <v>2375</v>
      </c>
      <c r="J84" t="s">
        <v>779</v>
      </c>
      <c r="K84" t="s">
        <v>783</v>
      </c>
      <c r="L84" t="s">
        <v>824</v>
      </c>
      <c r="M84" t="s">
        <v>828</v>
      </c>
      <c r="N84" t="str">
        <f t="shared" si="3"/>
        <v>T-1</v>
      </c>
      <c r="O84">
        <f t="shared" si="4"/>
        <v>2025</v>
      </c>
      <c r="P84" t="str">
        <f t="shared" si="5"/>
        <v>3. marzo</v>
      </c>
    </row>
    <row r="85" spans="1:16" x14ac:dyDescent="0.35">
      <c r="A85">
        <v>453150</v>
      </c>
      <c r="B85" t="s">
        <v>28</v>
      </c>
      <c r="C85" t="s">
        <v>141</v>
      </c>
      <c r="D85" t="s">
        <v>235</v>
      </c>
      <c r="E85" t="s">
        <v>680</v>
      </c>
      <c r="F85" t="s">
        <v>187</v>
      </c>
      <c r="G85" s="1">
        <v>45726</v>
      </c>
      <c r="H85" s="1">
        <v>45845</v>
      </c>
      <c r="I85" s="2">
        <v>787.1</v>
      </c>
      <c r="J85" t="s">
        <v>778</v>
      </c>
      <c r="K85" t="s">
        <v>783</v>
      </c>
      <c r="L85" t="s">
        <v>823</v>
      </c>
      <c r="M85" t="s">
        <v>828</v>
      </c>
      <c r="N85" t="str">
        <f t="shared" si="3"/>
        <v>T-1</v>
      </c>
      <c r="O85">
        <f t="shared" si="4"/>
        <v>2025</v>
      </c>
      <c r="P85" t="str">
        <f t="shared" si="5"/>
        <v>3. marzo</v>
      </c>
    </row>
    <row r="86" spans="1:16" x14ac:dyDescent="0.35">
      <c r="A86">
        <v>475194</v>
      </c>
      <c r="B86" t="s">
        <v>31</v>
      </c>
      <c r="C86" t="s">
        <v>138</v>
      </c>
      <c r="D86" t="s">
        <v>236</v>
      </c>
      <c r="E86" t="s">
        <v>681</v>
      </c>
      <c r="F86" t="s">
        <v>187</v>
      </c>
      <c r="G86" s="1">
        <v>45678</v>
      </c>
      <c r="H86" s="1">
        <v>45678</v>
      </c>
      <c r="I86" s="2">
        <v>970.16</v>
      </c>
      <c r="J86" t="s">
        <v>779</v>
      </c>
      <c r="K86" t="s">
        <v>783</v>
      </c>
      <c r="L86" t="s">
        <v>823</v>
      </c>
      <c r="M86" t="s">
        <v>830</v>
      </c>
      <c r="N86" t="str">
        <f t="shared" si="3"/>
        <v>T-1</v>
      </c>
      <c r="O86">
        <f t="shared" si="4"/>
        <v>2025</v>
      </c>
      <c r="P86" t="str">
        <f t="shared" si="5"/>
        <v>1. enero</v>
      </c>
    </row>
    <row r="87" spans="1:16" x14ac:dyDescent="0.35">
      <c r="A87">
        <v>560465</v>
      </c>
      <c r="B87" t="s">
        <v>5</v>
      </c>
      <c r="C87" t="s">
        <v>138</v>
      </c>
      <c r="D87" t="s">
        <v>236</v>
      </c>
      <c r="E87" t="s">
        <v>681</v>
      </c>
      <c r="F87" t="s">
        <v>187</v>
      </c>
      <c r="G87" s="1">
        <v>45678</v>
      </c>
      <c r="H87" s="1">
        <v>45678</v>
      </c>
      <c r="I87" s="2">
        <v>390.57</v>
      </c>
      <c r="J87" t="s">
        <v>779</v>
      </c>
      <c r="K87" t="s">
        <v>783</v>
      </c>
      <c r="L87" t="s">
        <v>823</v>
      </c>
      <c r="M87" t="s">
        <v>829</v>
      </c>
      <c r="N87" t="str">
        <f t="shared" si="3"/>
        <v>T-1</v>
      </c>
      <c r="O87">
        <f t="shared" si="4"/>
        <v>2025</v>
      </c>
      <c r="P87" t="str">
        <f t="shared" si="5"/>
        <v>1. enero</v>
      </c>
    </row>
    <row r="88" spans="1:16" x14ac:dyDescent="0.35">
      <c r="A88">
        <v>475692</v>
      </c>
      <c r="B88" t="s">
        <v>6</v>
      </c>
      <c r="C88" t="s">
        <v>138</v>
      </c>
      <c r="D88" t="s">
        <v>236</v>
      </c>
      <c r="E88" t="s">
        <v>681</v>
      </c>
      <c r="F88" t="s">
        <v>187</v>
      </c>
      <c r="G88" s="1">
        <v>45678</v>
      </c>
      <c r="H88" s="1">
        <v>45678</v>
      </c>
      <c r="I88" s="2">
        <v>390.41</v>
      </c>
      <c r="J88" t="s">
        <v>779</v>
      </c>
      <c r="K88" t="s">
        <v>797</v>
      </c>
      <c r="L88" t="s">
        <v>823</v>
      </c>
      <c r="M88" t="s">
        <v>830</v>
      </c>
      <c r="N88" t="str">
        <f t="shared" si="3"/>
        <v>T-1</v>
      </c>
      <c r="O88">
        <f t="shared" si="4"/>
        <v>2025</v>
      </c>
      <c r="P88" t="str">
        <f t="shared" si="5"/>
        <v>1. enero</v>
      </c>
    </row>
    <row r="89" spans="1:16" x14ac:dyDescent="0.35">
      <c r="A89">
        <v>477942</v>
      </c>
      <c r="B89" t="s">
        <v>30</v>
      </c>
      <c r="C89" t="s">
        <v>138</v>
      </c>
      <c r="D89" t="s">
        <v>237</v>
      </c>
      <c r="E89" t="s">
        <v>681</v>
      </c>
      <c r="F89" t="s">
        <v>187</v>
      </c>
      <c r="G89" s="1">
        <v>45698</v>
      </c>
      <c r="H89" s="1">
        <v>45698</v>
      </c>
      <c r="I89" s="2">
        <v>933.6</v>
      </c>
      <c r="J89" t="s">
        <v>779</v>
      </c>
      <c r="K89" t="s">
        <v>783</v>
      </c>
      <c r="L89" t="s">
        <v>823</v>
      </c>
      <c r="M89" t="s">
        <v>830</v>
      </c>
      <c r="N89" t="str">
        <f t="shared" si="3"/>
        <v>T-1</v>
      </c>
      <c r="O89">
        <f t="shared" si="4"/>
        <v>2025</v>
      </c>
      <c r="P89" t="str">
        <f t="shared" si="5"/>
        <v>2. febrero</v>
      </c>
    </row>
    <row r="90" spans="1:16" x14ac:dyDescent="0.35">
      <c r="A90">
        <v>494891</v>
      </c>
      <c r="B90" t="s">
        <v>42</v>
      </c>
      <c r="C90" t="s">
        <v>138</v>
      </c>
      <c r="D90" t="s">
        <v>238</v>
      </c>
      <c r="E90" t="s">
        <v>681</v>
      </c>
      <c r="F90" t="s">
        <v>187</v>
      </c>
      <c r="G90" s="1">
        <v>45679</v>
      </c>
      <c r="H90" s="1">
        <v>45716</v>
      </c>
      <c r="I90" s="2">
        <v>5599.46</v>
      </c>
      <c r="J90" t="s">
        <v>779</v>
      </c>
      <c r="K90" t="s">
        <v>783</v>
      </c>
      <c r="L90" t="s">
        <v>823</v>
      </c>
      <c r="M90" t="s">
        <v>828</v>
      </c>
      <c r="N90" t="str">
        <f t="shared" si="3"/>
        <v>T-1</v>
      </c>
      <c r="O90">
        <f t="shared" si="4"/>
        <v>2025</v>
      </c>
      <c r="P90" t="str">
        <f t="shared" si="5"/>
        <v>1. enero</v>
      </c>
    </row>
    <row r="91" spans="1:16" x14ac:dyDescent="0.35">
      <c r="A91">
        <v>400659</v>
      </c>
      <c r="B91" t="s">
        <v>37</v>
      </c>
      <c r="C91" t="s">
        <v>141</v>
      </c>
      <c r="D91" t="s">
        <v>238</v>
      </c>
      <c r="E91" t="s">
        <v>681</v>
      </c>
      <c r="F91" t="s">
        <v>187</v>
      </c>
      <c r="G91" s="1">
        <v>45679</v>
      </c>
      <c r="H91" s="1">
        <v>45716</v>
      </c>
      <c r="I91" s="2">
        <v>700.54</v>
      </c>
      <c r="J91" t="s">
        <v>779</v>
      </c>
      <c r="K91" t="s">
        <v>783</v>
      </c>
      <c r="L91" t="s">
        <v>823</v>
      </c>
      <c r="M91" t="s">
        <v>830</v>
      </c>
      <c r="N91" t="str">
        <f t="shared" si="3"/>
        <v>T-1</v>
      </c>
      <c r="O91">
        <f t="shared" si="4"/>
        <v>2025</v>
      </c>
      <c r="P91" t="str">
        <f t="shared" si="5"/>
        <v>1. enero</v>
      </c>
    </row>
    <row r="92" spans="1:16" x14ac:dyDescent="0.35">
      <c r="A92">
        <v>717380</v>
      </c>
      <c r="B92" t="s">
        <v>30</v>
      </c>
      <c r="C92" t="s">
        <v>137</v>
      </c>
      <c r="D92" t="s">
        <v>237</v>
      </c>
      <c r="E92" t="s">
        <v>681</v>
      </c>
      <c r="F92" t="s">
        <v>187</v>
      </c>
      <c r="G92" s="1">
        <v>45698</v>
      </c>
      <c r="H92" s="1">
        <v>45698</v>
      </c>
      <c r="I92" s="2">
        <v>924</v>
      </c>
      <c r="J92" t="s">
        <v>779</v>
      </c>
      <c r="K92" t="s">
        <v>783</v>
      </c>
      <c r="L92" t="s">
        <v>824</v>
      </c>
      <c r="M92" t="s">
        <v>829</v>
      </c>
      <c r="N92" t="str">
        <f t="shared" si="3"/>
        <v>T-1</v>
      </c>
      <c r="O92">
        <f t="shared" si="4"/>
        <v>2025</v>
      </c>
      <c r="P92" t="str">
        <f t="shared" si="5"/>
        <v>2. febrero</v>
      </c>
    </row>
    <row r="93" spans="1:16" x14ac:dyDescent="0.35">
      <c r="A93">
        <v>400271</v>
      </c>
      <c r="B93" t="s">
        <v>8</v>
      </c>
      <c r="C93" t="s">
        <v>138</v>
      </c>
      <c r="D93" t="s">
        <v>238</v>
      </c>
      <c r="E93" t="s">
        <v>681</v>
      </c>
      <c r="F93" t="s">
        <v>187</v>
      </c>
      <c r="G93" s="1">
        <v>45679</v>
      </c>
      <c r="H93" s="1">
        <v>45716</v>
      </c>
      <c r="I93" s="2">
        <v>5544</v>
      </c>
      <c r="J93" t="s">
        <v>779</v>
      </c>
      <c r="K93" t="s">
        <v>783</v>
      </c>
      <c r="L93" t="s">
        <v>823</v>
      </c>
      <c r="M93" t="s">
        <v>830</v>
      </c>
      <c r="N93" t="str">
        <f t="shared" si="3"/>
        <v>T-1</v>
      </c>
      <c r="O93">
        <f t="shared" si="4"/>
        <v>2025</v>
      </c>
      <c r="P93" t="str">
        <f t="shared" si="5"/>
        <v>1. enero</v>
      </c>
    </row>
    <row r="94" spans="1:16" x14ac:dyDescent="0.35">
      <c r="A94">
        <v>461286</v>
      </c>
      <c r="B94" t="s">
        <v>5</v>
      </c>
      <c r="C94" t="s">
        <v>138</v>
      </c>
      <c r="D94" t="s">
        <v>238</v>
      </c>
      <c r="E94" t="s">
        <v>681</v>
      </c>
      <c r="F94" t="s">
        <v>187</v>
      </c>
      <c r="G94" s="1">
        <v>45679</v>
      </c>
      <c r="H94" s="1">
        <v>45716</v>
      </c>
      <c r="I94" s="2">
        <v>756</v>
      </c>
      <c r="J94" t="s">
        <v>779</v>
      </c>
      <c r="K94" t="s">
        <v>783</v>
      </c>
      <c r="L94" t="s">
        <v>823</v>
      </c>
      <c r="M94" t="s">
        <v>830</v>
      </c>
      <c r="N94" t="str">
        <f t="shared" si="3"/>
        <v>T-1</v>
      </c>
      <c r="O94">
        <f t="shared" si="4"/>
        <v>2025</v>
      </c>
      <c r="P94" t="str">
        <f t="shared" si="5"/>
        <v>1. enero</v>
      </c>
    </row>
    <row r="95" spans="1:16" x14ac:dyDescent="0.35">
      <c r="A95">
        <v>407615</v>
      </c>
      <c r="B95" t="s">
        <v>22</v>
      </c>
      <c r="C95" t="s">
        <v>138</v>
      </c>
      <c r="D95" t="s">
        <v>195</v>
      </c>
      <c r="E95" t="s">
        <v>654</v>
      </c>
      <c r="F95" t="s">
        <v>187</v>
      </c>
      <c r="G95" s="1">
        <v>45720</v>
      </c>
      <c r="H95" s="1">
        <v>45720</v>
      </c>
      <c r="I95" s="2">
        <v>418</v>
      </c>
      <c r="J95" t="s">
        <v>777</v>
      </c>
      <c r="K95" t="s">
        <v>783</v>
      </c>
      <c r="L95" t="s">
        <v>823</v>
      </c>
      <c r="M95" t="s">
        <v>828</v>
      </c>
      <c r="N95" t="str">
        <f t="shared" si="3"/>
        <v>T-1</v>
      </c>
      <c r="O95">
        <f t="shared" si="4"/>
        <v>2025</v>
      </c>
      <c r="P95" t="str">
        <f t="shared" si="5"/>
        <v>3. marzo</v>
      </c>
    </row>
    <row r="96" spans="1:16" x14ac:dyDescent="0.35">
      <c r="A96">
        <v>432433</v>
      </c>
      <c r="B96" t="s">
        <v>30</v>
      </c>
      <c r="C96" t="s">
        <v>138</v>
      </c>
      <c r="D96" t="s">
        <v>239</v>
      </c>
      <c r="E96" t="s">
        <v>682</v>
      </c>
      <c r="F96" t="s">
        <v>187</v>
      </c>
      <c r="G96" s="1">
        <v>45713</v>
      </c>
      <c r="H96" s="1">
        <v>45713</v>
      </c>
      <c r="I96" s="2">
        <v>800</v>
      </c>
      <c r="J96" t="s">
        <v>777</v>
      </c>
      <c r="K96" t="s">
        <v>783</v>
      </c>
      <c r="L96" t="s">
        <v>823</v>
      </c>
      <c r="M96" t="s">
        <v>829</v>
      </c>
      <c r="N96" t="str">
        <f t="shared" si="3"/>
        <v>T-1</v>
      </c>
      <c r="O96">
        <f t="shared" si="4"/>
        <v>2025</v>
      </c>
      <c r="P96" t="str">
        <f t="shared" si="5"/>
        <v>2. febrero</v>
      </c>
    </row>
    <row r="97" spans="1:16" x14ac:dyDescent="0.35">
      <c r="A97">
        <v>490942</v>
      </c>
      <c r="B97" t="s">
        <v>43</v>
      </c>
      <c r="C97" t="s">
        <v>138</v>
      </c>
      <c r="D97" t="s">
        <v>240</v>
      </c>
      <c r="E97" t="s">
        <v>681</v>
      </c>
      <c r="F97" t="s">
        <v>187</v>
      </c>
      <c r="G97" s="1">
        <v>45719</v>
      </c>
      <c r="H97" s="1">
        <v>45719</v>
      </c>
      <c r="I97" s="2">
        <v>265</v>
      </c>
      <c r="J97" t="s">
        <v>779</v>
      </c>
      <c r="K97" t="s">
        <v>783</v>
      </c>
      <c r="L97" t="s">
        <v>823</v>
      </c>
      <c r="M97" t="s">
        <v>828</v>
      </c>
      <c r="N97" t="str">
        <f t="shared" si="3"/>
        <v>T-1</v>
      </c>
      <c r="O97">
        <f t="shared" si="4"/>
        <v>2025</v>
      </c>
      <c r="P97" t="str">
        <f t="shared" si="5"/>
        <v>3. marzo</v>
      </c>
    </row>
    <row r="98" spans="1:16" x14ac:dyDescent="0.35">
      <c r="A98">
        <v>719198</v>
      </c>
      <c r="B98" t="s">
        <v>44</v>
      </c>
      <c r="C98" t="s">
        <v>138</v>
      </c>
      <c r="D98" t="s">
        <v>240</v>
      </c>
      <c r="E98" t="s">
        <v>681</v>
      </c>
      <c r="F98" t="s">
        <v>187</v>
      </c>
      <c r="G98" s="1">
        <v>45719</v>
      </c>
      <c r="H98" s="1">
        <v>45719</v>
      </c>
      <c r="I98" s="2">
        <v>397.5</v>
      </c>
      <c r="J98" t="s">
        <v>779</v>
      </c>
      <c r="K98" t="s">
        <v>783</v>
      </c>
      <c r="L98" t="s">
        <v>824</v>
      </c>
      <c r="M98" t="s">
        <v>830</v>
      </c>
      <c r="N98" t="str">
        <f t="shared" si="3"/>
        <v>T-1</v>
      </c>
      <c r="O98">
        <f t="shared" si="4"/>
        <v>2025</v>
      </c>
      <c r="P98" t="str">
        <f t="shared" si="5"/>
        <v>3. marzo</v>
      </c>
    </row>
    <row r="99" spans="1:16" x14ac:dyDescent="0.35">
      <c r="A99">
        <v>600690</v>
      </c>
      <c r="B99" t="s">
        <v>13</v>
      </c>
      <c r="C99" t="s">
        <v>138</v>
      </c>
      <c r="D99" t="s">
        <v>240</v>
      </c>
      <c r="E99" t="s">
        <v>681</v>
      </c>
      <c r="F99" t="s">
        <v>187</v>
      </c>
      <c r="G99" s="1">
        <v>45719</v>
      </c>
      <c r="H99" s="1">
        <v>45719</v>
      </c>
      <c r="I99" s="2">
        <v>1855</v>
      </c>
      <c r="J99" t="s">
        <v>779</v>
      </c>
      <c r="K99" t="s">
        <v>783</v>
      </c>
      <c r="L99" t="s">
        <v>823</v>
      </c>
      <c r="M99" t="s">
        <v>830</v>
      </c>
      <c r="N99" t="str">
        <f t="shared" si="3"/>
        <v>T-1</v>
      </c>
      <c r="O99">
        <f t="shared" si="4"/>
        <v>2025</v>
      </c>
      <c r="P99" t="str">
        <f t="shared" si="5"/>
        <v>3. marzo</v>
      </c>
    </row>
    <row r="100" spans="1:16" x14ac:dyDescent="0.35">
      <c r="A100">
        <v>471923</v>
      </c>
      <c r="B100" t="s">
        <v>18</v>
      </c>
      <c r="C100" t="s">
        <v>138</v>
      </c>
      <c r="D100" t="s">
        <v>241</v>
      </c>
      <c r="E100" t="s">
        <v>647</v>
      </c>
      <c r="F100" t="s">
        <v>187</v>
      </c>
      <c r="G100" s="1">
        <v>45874</v>
      </c>
      <c r="H100" s="1">
        <v>45874</v>
      </c>
      <c r="I100" s="2">
        <v>240</v>
      </c>
      <c r="J100" t="s">
        <v>774</v>
      </c>
      <c r="K100" t="s">
        <v>783</v>
      </c>
      <c r="L100" t="s">
        <v>823</v>
      </c>
      <c r="M100" t="s">
        <v>828</v>
      </c>
      <c r="N100" t="str">
        <f t="shared" si="3"/>
        <v>T-3</v>
      </c>
      <c r="O100">
        <f t="shared" si="4"/>
        <v>2025</v>
      </c>
      <c r="P100" t="str">
        <f t="shared" si="5"/>
        <v>8. agosto</v>
      </c>
    </row>
    <row r="101" spans="1:16" x14ac:dyDescent="0.35">
      <c r="A101">
        <v>717813</v>
      </c>
      <c r="B101" t="s">
        <v>29</v>
      </c>
      <c r="C101" t="s">
        <v>136</v>
      </c>
      <c r="D101" t="s">
        <v>164</v>
      </c>
      <c r="E101" t="s">
        <v>675</v>
      </c>
      <c r="F101" t="s">
        <v>187</v>
      </c>
      <c r="G101" s="1">
        <v>45720</v>
      </c>
      <c r="H101" s="1">
        <v>45723</v>
      </c>
      <c r="I101" s="2">
        <v>1976</v>
      </c>
      <c r="J101" t="s">
        <v>779</v>
      </c>
      <c r="K101" t="s">
        <v>787</v>
      </c>
      <c r="L101" t="s">
        <v>823</v>
      </c>
      <c r="M101" t="s">
        <v>830</v>
      </c>
      <c r="N101" t="str">
        <f t="shared" si="3"/>
        <v>T-1</v>
      </c>
      <c r="O101">
        <f t="shared" si="4"/>
        <v>2025</v>
      </c>
      <c r="P101" t="str">
        <f t="shared" si="5"/>
        <v>3. marzo</v>
      </c>
    </row>
    <row r="102" spans="1:16" x14ac:dyDescent="0.35">
      <c r="A102">
        <v>710445</v>
      </c>
      <c r="B102" t="s">
        <v>4</v>
      </c>
      <c r="C102" t="s">
        <v>137</v>
      </c>
      <c r="D102" t="s">
        <v>207</v>
      </c>
      <c r="E102" t="s">
        <v>661</v>
      </c>
      <c r="F102" t="s">
        <v>187</v>
      </c>
      <c r="G102" s="1">
        <v>45712</v>
      </c>
      <c r="H102" s="1">
        <v>45712</v>
      </c>
      <c r="I102" s="2">
        <v>1500</v>
      </c>
      <c r="J102" t="s">
        <v>776</v>
      </c>
      <c r="K102" t="s">
        <v>783</v>
      </c>
      <c r="L102" t="s">
        <v>823</v>
      </c>
      <c r="M102" t="s">
        <v>828</v>
      </c>
      <c r="N102" t="str">
        <f t="shared" si="3"/>
        <v>T-1</v>
      </c>
      <c r="O102">
        <f t="shared" si="4"/>
        <v>2025</v>
      </c>
      <c r="P102" t="str">
        <f t="shared" si="5"/>
        <v>2. febrero</v>
      </c>
    </row>
    <row r="103" spans="1:16" x14ac:dyDescent="0.35">
      <c r="A103">
        <v>711841</v>
      </c>
      <c r="B103" t="s">
        <v>25</v>
      </c>
      <c r="C103" t="s">
        <v>138</v>
      </c>
      <c r="D103" t="s">
        <v>207</v>
      </c>
      <c r="E103" t="s">
        <v>661</v>
      </c>
      <c r="F103" t="s">
        <v>187</v>
      </c>
      <c r="G103" s="1">
        <v>45712</v>
      </c>
      <c r="H103" s="1">
        <v>45712</v>
      </c>
      <c r="I103" s="2">
        <v>1500</v>
      </c>
      <c r="J103" t="s">
        <v>776</v>
      </c>
      <c r="K103" t="s">
        <v>783</v>
      </c>
      <c r="L103" t="s">
        <v>823</v>
      </c>
      <c r="M103" t="s">
        <v>830</v>
      </c>
      <c r="N103" t="str">
        <f t="shared" si="3"/>
        <v>T-1</v>
      </c>
      <c r="O103">
        <f t="shared" si="4"/>
        <v>2025</v>
      </c>
      <c r="P103" t="str">
        <f t="shared" si="5"/>
        <v>2. febrero</v>
      </c>
    </row>
    <row r="104" spans="1:16" x14ac:dyDescent="0.35">
      <c r="A104">
        <v>495182</v>
      </c>
      <c r="B104" t="s">
        <v>45</v>
      </c>
      <c r="C104" t="s">
        <v>138</v>
      </c>
      <c r="D104" t="s">
        <v>205</v>
      </c>
      <c r="E104" t="s">
        <v>660</v>
      </c>
      <c r="F104" t="s">
        <v>187</v>
      </c>
      <c r="G104" s="1">
        <v>45726</v>
      </c>
      <c r="H104" s="1">
        <v>45742</v>
      </c>
      <c r="I104" s="2">
        <v>6760</v>
      </c>
      <c r="J104" t="s">
        <v>776</v>
      </c>
      <c r="K104" t="s">
        <v>788</v>
      </c>
      <c r="L104" t="s">
        <v>823</v>
      </c>
      <c r="M104" t="s">
        <v>829</v>
      </c>
      <c r="N104" t="str">
        <f t="shared" si="3"/>
        <v>T-1</v>
      </c>
      <c r="O104">
        <f t="shared" si="4"/>
        <v>2025</v>
      </c>
      <c r="P104" t="str">
        <f t="shared" si="5"/>
        <v>3. marzo</v>
      </c>
    </row>
    <row r="105" spans="1:16" x14ac:dyDescent="0.35">
      <c r="A105">
        <v>720467</v>
      </c>
      <c r="B105" t="s">
        <v>11</v>
      </c>
      <c r="C105" t="s">
        <v>136</v>
      </c>
      <c r="D105" t="s">
        <v>206</v>
      </c>
      <c r="E105" t="s">
        <v>660</v>
      </c>
      <c r="F105" t="s">
        <v>188</v>
      </c>
      <c r="G105" s="1">
        <v>45730</v>
      </c>
      <c r="H105" s="1">
        <v>45742</v>
      </c>
      <c r="I105" s="2">
        <v>5720</v>
      </c>
      <c r="J105" t="s">
        <v>776</v>
      </c>
      <c r="K105" t="s">
        <v>786</v>
      </c>
      <c r="L105" t="s">
        <v>823</v>
      </c>
      <c r="M105" t="s">
        <v>830</v>
      </c>
      <c r="N105" t="str">
        <f t="shared" si="3"/>
        <v>T-1</v>
      </c>
      <c r="O105">
        <f t="shared" si="4"/>
        <v>2025</v>
      </c>
      <c r="P105" t="str">
        <f t="shared" si="5"/>
        <v>3. marzo</v>
      </c>
    </row>
    <row r="106" spans="1:16" x14ac:dyDescent="0.35">
      <c r="A106">
        <v>403336</v>
      </c>
      <c r="B106" t="s">
        <v>23</v>
      </c>
      <c r="C106" t="s">
        <v>141</v>
      </c>
      <c r="D106" t="s">
        <v>238</v>
      </c>
      <c r="E106" t="s">
        <v>681</v>
      </c>
      <c r="F106" t="s">
        <v>188</v>
      </c>
      <c r="G106" s="1">
        <v>45713</v>
      </c>
      <c r="H106" s="1">
        <v>45737</v>
      </c>
      <c r="I106" s="2">
        <v>4987.5</v>
      </c>
      <c r="J106" t="s">
        <v>779</v>
      </c>
      <c r="K106" t="s">
        <v>791</v>
      </c>
      <c r="L106" t="s">
        <v>824</v>
      </c>
      <c r="M106" t="s">
        <v>828</v>
      </c>
      <c r="N106" t="str">
        <f t="shared" si="3"/>
        <v>T-1</v>
      </c>
      <c r="O106">
        <f t="shared" si="4"/>
        <v>2025</v>
      </c>
      <c r="P106" t="str">
        <f t="shared" si="5"/>
        <v>2. febrero</v>
      </c>
    </row>
    <row r="107" spans="1:16" x14ac:dyDescent="0.35">
      <c r="A107">
        <v>715399</v>
      </c>
      <c r="B107" t="s">
        <v>45</v>
      </c>
      <c r="C107" t="s">
        <v>137</v>
      </c>
      <c r="D107" t="s">
        <v>238</v>
      </c>
      <c r="E107" t="s">
        <v>681</v>
      </c>
      <c r="F107" t="s">
        <v>188</v>
      </c>
      <c r="G107" s="1">
        <v>45713</v>
      </c>
      <c r="H107" s="1">
        <v>45737</v>
      </c>
      <c r="I107" s="2">
        <v>4987.5</v>
      </c>
      <c r="J107" t="s">
        <v>779</v>
      </c>
      <c r="K107" t="s">
        <v>783</v>
      </c>
      <c r="L107" t="s">
        <v>823</v>
      </c>
      <c r="M107" t="s">
        <v>830</v>
      </c>
      <c r="N107" t="str">
        <f t="shared" si="3"/>
        <v>T-1</v>
      </c>
      <c r="O107">
        <f t="shared" si="4"/>
        <v>2025</v>
      </c>
      <c r="P107" t="str">
        <f t="shared" si="5"/>
        <v>2. febrero</v>
      </c>
    </row>
    <row r="108" spans="1:16" x14ac:dyDescent="0.35">
      <c r="A108">
        <v>415743</v>
      </c>
      <c r="B108" t="s">
        <v>4</v>
      </c>
      <c r="C108" t="s">
        <v>138</v>
      </c>
      <c r="D108" t="s">
        <v>237</v>
      </c>
      <c r="E108" t="s">
        <v>681</v>
      </c>
      <c r="F108" t="s">
        <v>188</v>
      </c>
      <c r="G108" s="1">
        <v>45733</v>
      </c>
      <c r="H108" s="1">
        <v>45733</v>
      </c>
      <c r="I108" s="2">
        <v>1312.5</v>
      </c>
      <c r="J108" t="s">
        <v>779</v>
      </c>
      <c r="K108" t="s">
        <v>785</v>
      </c>
      <c r="L108" t="s">
        <v>823</v>
      </c>
      <c r="M108" t="s">
        <v>830</v>
      </c>
      <c r="N108" t="str">
        <f t="shared" si="3"/>
        <v>T-1</v>
      </c>
      <c r="O108">
        <f t="shared" si="4"/>
        <v>2025</v>
      </c>
      <c r="P108" t="str">
        <f t="shared" si="5"/>
        <v>3. marzo</v>
      </c>
    </row>
    <row r="109" spans="1:16" x14ac:dyDescent="0.35">
      <c r="A109">
        <v>611146</v>
      </c>
      <c r="B109" t="s">
        <v>13</v>
      </c>
      <c r="C109" t="s">
        <v>136</v>
      </c>
      <c r="D109" t="s">
        <v>237</v>
      </c>
      <c r="E109" t="s">
        <v>681</v>
      </c>
      <c r="F109" t="s">
        <v>187</v>
      </c>
      <c r="G109" s="1">
        <v>45733</v>
      </c>
      <c r="H109" s="1">
        <v>45733</v>
      </c>
      <c r="I109" s="2">
        <v>1312.5</v>
      </c>
      <c r="J109" t="s">
        <v>779</v>
      </c>
      <c r="K109" t="s">
        <v>783</v>
      </c>
      <c r="L109" t="s">
        <v>823</v>
      </c>
      <c r="M109" t="s">
        <v>828</v>
      </c>
      <c r="N109" t="str">
        <f t="shared" si="3"/>
        <v>T-1</v>
      </c>
      <c r="O109">
        <f t="shared" si="4"/>
        <v>2025</v>
      </c>
      <c r="P109" t="str">
        <f t="shared" si="5"/>
        <v>3. marzo</v>
      </c>
    </row>
    <row r="110" spans="1:16" x14ac:dyDescent="0.35">
      <c r="A110">
        <v>715093</v>
      </c>
      <c r="B110" t="s">
        <v>30</v>
      </c>
      <c r="C110" t="s">
        <v>137</v>
      </c>
      <c r="D110" t="s">
        <v>242</v>
      </c>
      <c r="E110" t="s">
        <v>675</v>
      </c>
      <c r="F110" t="s">
        <v>188</v>
      </c>
      <c r="G110" s="1">
        <v>45719</v>
      </c>
      <c r="H110" s="1">
        <v>45728</v>
      </c>
      <c r="I110" s="2">
        <v>2028</v>
      </c>
      <c r="J110" t="s">
        <v>779</v>
      </c>
      <c r="K110" t="s">
        <v>783</v>
      </c>
      <c r="L110" t="s">
        <v>823</v>
      </c>
      <c r="M110" t="s">
        <v>829</v>
      </c>
      <c r="N110" t="str">
        <f t="shared" si="3"/>
        <v>T-1</v>
      </c>
      <c r="O110">
        <f t="shared" si="4"/>
        <v>2025</v>
      </c>
      <c r="P110" t="str">
        <f t="shared" si="5"/>
        <v>3. marzo</v>
      </c>
    </row>
    <row r="111" spans="1:16" x14ac:dyDescent="0.35">
      <c r="A111">
        <v>491429</v>
      </c>
      <c r="B111" t="s">
        <v>22</v>
      </c>
      <c r="C111" t="s">
        <v>139</v>
      </c>
      <c r="D111" t="s">
        <v>161</v>
      </c>
      <c r="E111" t="s">
        <v>679</v>
      </c>
      <c r="F111" t="s">
        <v>188</v>
      </c>
      <c r="G111" s="1">
        <v>45728</v>
      </c>
      <c r="H111" s="1">
        <v>45728</v>
      </c>
      <c r="I111" s="2">
        <v>1925</v>
      </c>
      <c r="J111" t="s">
        <v>779</v>
      </c>
      <c r="K111" t="s">
        <v>783</v>
      </c>
      <c r="L111" t="s">
        <v>823</v>
      </c>
      <c r="M111" t="s">
        <v>830</v>
      </c>
      <c r="N111" t="str">
        <f t="shared" si="3"/>
        <v>T-1</v>
      </c>
      <c r="O111">
        <f t="shared" si="4"/>
        <v>2025</v>
      </c>
      <c r="P111" t="str">
        <f t="shared" si="5"/>
        <v>3. marzo</v>
      </c>
    </row>
    <row r="112" spans="1:16" x14ac:dyDescent="0.35">
      <c r="A112">
        <v>719784</v>
      </c>
      <c r="B112" t="s">
        <v>46</v>
      </c>
      <c r="C112" t="s">
        <v>138</v>
      </c>
      <c r="D112" t="s">
        <v>232</v>
      </c>
      <c r="E112" t="s">
        <v>675</v>
      </c>
      <c r="F112" t="s">
        <v>188</v>
      </c>
      <c r="G112" s="1">
        <v>45728</v>
      </c>
      <c r="H112" s="1">
        <v>45729</v>
      </c>
      <c r="I112" s="2">
        <v>520</v>
      </c>
      <c r="J112" t="s">
        <v>779</v>
      </c>
      <c r="K112" t="s">
        <v>789</v>
      </c>
      <c r="L112" t="s">
        <v>824</v>
      </c>
      <c r="M112" t="s">
        <v>830</v>
      </c>
      <c r="N112" t="str">
        <f t="shared" si="3"/>
        <v>T-1</v>
      </c>
      <c r="O112">
        <f t="shared" si="4"/>
        <v>2025</v>
      </c>
      <c r="P112" t="str">
        <f t="shared" si="5"/>
        <v>3. marzo</v>
      </c>
    </row>
    <row r="113" spans="1:16" x14ac:dyDescent="0.35">
      <c r="A113">
        <v>589543</v>
      </c>
      <c r="B113" t="s">
        <v>31</v>
      </c>
      <c r="C113" t="s">
        <v>138</v>
      </c>
      <c r="D113" t="s">
        <v>151</v>
      </c>
      <c r="E113" t="s">
        <v>675</v>
      </c>
      <c r="F113" t="s">
        <v>187</v>
      </c>
      <c r="G113" s="1">
        <v>45726</v>
      </c>
      <c r="H113" s="1">
        <v>45729</v>
      </c>
      <c r="I113" s="2">
        <v>1040</v>
      </c>
      <c r="J113" t="s">
        <v>779</v>
      </c>
      <c r="K113" t="s">
        <v>787</v>
      </c>
      <c r="L113" t="s">
        <v>823</v>
      </c>
      <c r="M113" t="s">
        <v>828</v>
      </c>
      <c r="N113" t="str">
        <f t="shared" si="3"/>
        <v>T-1</v>
      </c>
      <c r="O113">
        <f t="shared" si="4"/>
        <v>2025</v>
      </c>
      <c r="P113" t="str">
        <f t="shared" si="5"/>
        <v>3. marzo</v>
      </c>
    </row>
    <row r="114" spans="1:16" x14ac:dyDescent="0.35">
      <c r="A114">
        <v>709822</v>
      </c>
      <c r="B114" t="s">
        <v>30</v>
      </c>
      <c r="C114" t="s">
        <v>138</v>
      </c>
      <c r="D114" t="s">
        <v>151</v>
      </c>
      <c r="E114" t="s">
        <v>675</v>
      </c>
      <c r="F114" t="s">
        <v>187</v>
      </c>
      <c r="G114" s="1">
        <v>45726</v>
      </c>
      <c r="H114" s="1">
        <v>45729</v>
      </c>
      <c r="I114" s="2">
        <v>208</v>
      </c>
      <c r="J114" t="s">
        <v>779</v>
      </c>
      <c r="K114" t="s">
        <v>783</v>
      </c>
      <c r="L114" t="s">
        <v>823</v>
      </c>
      <c r="M114" t="s">
        <v>828</v>
      </c>
      <c r="N114" t="str">
        <f t="shared" si="3"/>
        <v>T-1</v>
      </c>
      <c r="O114">
        <f t="shared" si="4"/>
        <v>2025</v>
      </c>
      <c r="P114" t="str">
        <f t="shared" si="5"/>
        <v>3. marzo</v>
      </c>
    </row>
    <row r="115" spans="1:16" x14ac:dyDescent="0.35">
      <c r="A115">
        <v>707753</v>
      </c>
      <c r="B115" t="s">
        <v>30</v>
      </c>
      <c r="C115" t="s">
        <v>138</v>
      </c>
      <c r="D115" t="s">
        <v>223</v>
      </c>
      <c r="E115" t="s">
        <v>674</v>
      </c>
      <c r="F115" t="s">
        <v>187</v>
      </c>
      <c r="G115" s="1">
        <v>45723</v>
      </c>
      <c r="H115" s="1">
        <v>45723</v>
      </c>
      <c r="I115" s="2">
        <v>1297.8</v>
      </c>
      <c r="J115" t="s">
        <v>777</v>
      </c>
      <c r="K115" t="s">
        <v>798</v>
      </c>
      <c r="L115" t="s">
        <v>823</v>
      </c>
      <c r="M115" t="s">
        <v>829</v>
      </c>
      <c r="N115" t="str">
        <f t="shared" si="3"/>
        <v>T-1</v>
      </c>
      <c r="O115">
        <f t="shared" si="4"/>
        <v>2025</v>
      </c>
      <c r="P115" t="str">
        <f t="shared" si="5"/>
        <v>3. marzo</v>
      </c>
    </row>
    <row r="116" spans="1:16" x14ac:dyDescent="0.35">
      <c r="A116">
        <v>752337</v>
      </c>
      <c r="B116" t="s">
        <v>31</v>
      </c>
      <c r="C116" t="s">
        <v>138</v>
      </c>
      <c r="D116" t="s">
        <v>243</v>
      </c>
      <c r="E116" t="s">
        <v>654</v>
      </c>
      <c r="F116" t="s">
        <v>187</v>
      </c>
      <c r="G116" s="1">
        <v>45726</v>
      </c>
      <c r="H116" s="1">
        <v>45726</v>
      </c>
      <c r="I116" s="2">
        <v>1190</v>
      </c>
      <c r="J116" t="s">
        <v>777</v>
      </c>
      <c r="K116" t="s">
        <v>789</v>
      </c>
      <c r="L116" t="s">
        <v>823</v>
      </c>
      <c r="M116" t="s">
        <v>830</v>
      </c>
      <c r="N116" t="str">
        <f t="shared" si="3"/>
        <v>T-1</v>
      </c>
      <c r="O116">
        <f t="shared" si="4"/>
        <v>2025</v>
      </c>
      <c r="P116" t="str">
        <f t="shared" si="5"/>
        <v>3. marzo</v>
      </c>
    </row>
    <row r="117" spans="1:16" x14ac:dyDescent="0.35">
      <c r="A117">
        <v>714962</v>
      </c>
      <c r="B117" t="s">
        <v>33</v>
      </c>
      <c r="C117" t="s">
        <v>136</v>
      </c>
      <c r="D117" t="s">
        <v>244</v>
      </c>
      <c r="E117" t="s">
        <v>683</v>
      </c>
      <c r="F117" t="s">
        <v>187</v>
      </c>
      <c r="G117" s="1">
        <v>45740</v>
      </c>
      <c r="H117" s="1">
        <v>45742</v>
      </c>
      <c r="I117" s="2">
        <v>1051</v>
      </c>
      <c r="J117" t="s">
        <v>776</v>
      </c>
      <c r="K117" t="s">
        <v>783</v>
      </c>
      <c r="L117" t="s">
        <v>823</v>
      </c>
      <c r="M117" t="s">
        <v>830</v>
      </c>
      <c r="N117" t="str">
        <f t="shared" si="3"/>
        <v>T-1</v>
      </c>
      <c r="O117">
        <f t="shared" si="4"/>
        <v>2025</v>
      </c>
      <c r="P117" t="str">
        <f t="shared" si="5"/>
        <v>3. marzo</v>
      </c>
    </row>
    <row r="118" spans="1:16" x14ac:dyDescent="0.35">
      <c r="A118">
        <v>718237</v>
      </c>
      <c r="B118" t="s">
        <v>23</v>
      </c>
      <c r="C118" t="s">
        <v>138</v>
      </c>
      <c r="D118" t="s">
        <v>161</v>
      </c>
      <c r="E118" t="s">
        <v>679</v>
      </c>
      <c r="F118" t="s">
        <v>187</v>
      </c>
      <c r="G118" s="1">
        <v>45730</v>
      </c>
      <c r="H118" s="1">
        <v>45730</v>
      </c>
      <c r="I118" s="2">
        <v>3186.04</v>
      </c>
      <c r="J118" t="s">
        <v>779</v>
      </c>
      <c r="K118" t="s">
        <v>783</v>
      </c>
      <c r="L118" t="s">
        <v>823</v>
      </c>
      <c r="M118" t="s">
        <v>828</v>
      </c>
      <c r="N118" t="str">
        <f t="shared" si="3"/>
        <v>T-1</v>
      </c>
      <c r="O118">
        <f t="shared" si="4"/>
        <v>2025</v>
      </c>
      <c r="P118" t="str">
        <f t="shared" si="5"/>
        <v>3. marzo</v>
      </c>
    </row>
    <row r="119" spans="1:16" x14ac:dyDescent="0.35">
      <c r="A119">
        <v>360005</v>
      </c>
      <c r="B119" t="s">
        <v>4</v>
      </c>
      <c r="C119" t="s">
        <v>139</v>
      </c>
      <c r="D119" t="s">
        <v>161</v>
      </c>
      <c r="E119" t="s">
        <v>679</v>
      </c>
      <c r="F119" t="s">
        <v>187</v>
      </c>
      <c r="G119" s="1">
        <v>45730</v>
      </c>
      <c r="H119" s="1">
        <v>45730</v>
      </c>
      <c r="I119" s="2">
        <v>1013.96</v>
      </c>
      <c r="J119" t="s">
        <v>779</v>
      </c>
      <c r="K119" t="s">
        <v>786</v>
      </c>
      <c r="L119" t="s">
        <v>824</v>
      </c>
      <c r="M119" t="s">
        <v>830</v>
      </c>
      <c r="N119" t="str">
        <f t="shared" si="3"/>
        <v>T-1</v>
      </c>
      <c r="O119">
        <f t="shared" si="4"/>
        <v>2025</v>
      </c>
      <c r="P119" t="str">
        <f t="shared" si="5"/>
        <v>3. marzo</v>
      </c>
    </row>
    <row r="120" spans="1:16" x14ac:dyDescent="0.35">
      <c r="A120">
        <v>709033</v>
      </c>
      <c r="B120" t="s">
        <v>20</v>
      </c>
      <c r="C120" t="s">
        <v>136</v>
      </c>
      <c r="D120" t="s">
        <v>156</v>
      </c>
      <c r="E120" t="s">
        <v>673</v>
      </c>
      <c r="F120" t="s">
        <v>187</v>
      </c>
      <c r="G120" s="1">
        <v>45730</v>
      </c>
      <c r="H120" s="1">
        <v>45730</v>
      </c>
      <c r="I120" s="2">
        <v>2500</v>
      </c>
      <c r="J120" t="s">
        <v>779</v>
      </c>
      <c r="K120" t="s">
        <v>786</v>
      </c>
      <c r="L120" t="s">
        <v>823</v>
      </c>
      <c r="M120" t="s">
        <v>828</v>
      </c>
      <c r="N120" t="str">
        <f t="shared" si="3"/>
        <v>T-1</v>
      </c>
      <c r="O120">
        <f t="shared" si="4"/>
        <v>2025</v>
      </c>
      <c r="P120" t="str">
        <f t="shared" si="5"/>
        <v>3. marzo</v>
      </c>
    </row>
    <row r="121" spans="1:16" x14ac:dyDescent="0.35">
      <c r="A121">
        <v>403194</v>
      </c>
      <c r="B121" t="s">
        <v>48</v>
      </c>
      <c r="C121" t="s">
        <v>139</v>
      </c>
      <c r="D121" t="s">
        <v>246</v>
      </c>
      <c r="E121" t="s">
        <v>652</v>
      </c>
      <c r="F121" t="s">
        <v>187</v>
      </c>
      <c r="G121" s="1">
        <v>45730</v>
      </c>
      <c r="H121" s="1">
        <v>45730</v>
      </c>
      <c r="I121" s="2">
        <v>780</v>
      </c>
      <c r="J121" t="s">
        <v>774</v>
      </c>
      <c r="K121" t="s">
        <v>785</v>
      </c>
      <c r="L121" t="s">
        <v>823</v>
      </c>
      <c r="M121" t="s">
        <v>829</v>
      </c>
      <c r="N121" t="str">
        <f t="shared" si="3"/>
        <v>T-1</v>
      </c>
      <c r="O121">
        <f t="shared" si="4"/>
        <v>2025</v>
      </c>
      <c r="P121" t="str">
        <f t="shared" si="5"/>
        <v>3. marzo</v>
      </c>
    </row>
    <row r="122" spans="1:16" x14ac:dyDescent="0.35">
      <c r="A122">
        <v>418442</v>
      </c>
      <c r="B122" t="s">
        <v>3</v>
      </c>
      <c r="C122" t="s">
        <v>138</v>
      </c>
      <c r="D122" t="s">
        <v>246</v>
      </c>
      <c r="E122" t="s">
        <v>652</v>
      </c>
      <c r="F122" t="s">
        <v>187</v>
      </c>
      <c r="G122" s="1">
        <v>45730</v>
      </c>
      <c r="H122" s="1">
        <v>45730</v>
      </c>
      <c r="I122" s="2">
        <v>780</v>
      </c>
      <c r="J122" t="s">
        <v>774</v>
      </c>
      <c r="K122" t="s">
        <v>800</v>
      </c>
      <c r="L122" t="s">
        <v>823</v>
      </c>
      <c r="M122" t="s">
        <v>830</v>
      </c>
      <c r="N122" t="str">
        <f t="shared" si="3"/>
        <v>T-1</v>
      </c>
      <c r="O122">
        <f t="shared" si="4"/>
        <v>2025</v>
      </c>
      <c r="P122" t="str">
        <f t="shared" si="5"/>
        <v>3. marzo</v>
      </c>
    </row>
    <row r="123" spans="1:16" x14ac:dyDescent="0.35">
      <c r="A123">
        <v>464515</v>
      </c>
      <c r="B123" t="s">
        <v>30</v>
      </c>
      <c r="C123" t="s">
        <v>138</v>
      </c>
      <c r="D123" t="s">
        <v>247</v>
      </c>
      <c r="E123" t="s">
        <v>652</v>
      </c>
      <c r="F123" t="s">
        <v>187</v>
      </c>
      <c r="G123" s="1">
        <v>45733</v>
      </c>
      <c r="H123" s="1">
        <v>45733</v>
      </c>
      <c r="I123" s="2">
        <v>250</v>
      </c>
      <c r="J123" t="s">
        <v>774</v>
      </c>
      <c r="K123" t="s">
        <v>801</v>
      </c>
      <c r="L123" t="s">
        <v>823</v>
      </c>
      <c r="M123" t="s">
        <v>830</v>
      </c>
      <c r="N123" t="str">
        <f t="shared" si="3"/>
        <v>T-1</v>
      </c>
      <c r="O123">
        <f t="shared" si="4"/>
        <v>2025</v>
      </c>
      <c r="P123" t="str">
        <f t="shared" si="5"/>
        <v>3. marzo</v>
      </c>
    </row>
    <row r="124" spans="1:16" x14ac:dyDescent="0.35">
      <c r="A124">
        <v>705977</v>
      </c>
      <c r="B124" t="s">
        <v>30</v>
      </c>
      <c r="C124" t="s">
        <v>138</v>
      </c>
      <c r="D124" t="s">
        <v>247</v>
      </c>
      <c r="E124" t="s">
        <v>652</v>
      </c>
      <c r="F124" t="s">
        <v>187</v>
      </c>
      <c r="G124" s="1">
        <v>45733</v>
      </c>
      <c r="H124" s="1">
        <v>45733</v>
      </c>
      <c r="I124" s="2">
        <v>250</v>
      </c>
      <c r="J124" t="s">
        <v>774</v>
      </c>
      <c r="K124" t="s">
        <v>783</v>
      </c>
      <c r="L124" t="s">
        <v>823</v>
      </c>
      <c r="M124" t="s">
        <v>828</v>
      </c>
      <c r="N124" t="str">
        <f t="shared" si="3"/>
        <v>T-1</v>
      </c>
      <c r="O124">
        <f t="shared" si="4"/>
        <v>2025</v>
      </c>
      <c r="P124" t="str">
        <f t="shared" si="5"/>
        <v>3. marzo</v>
      </c>
    </row>
    <row r="125" spans="1:16" x14ac:dyDescent="0.35">
      <c r="A125">
        <v>450002</v>
      </c>
      <c r="B125" t="s">
        <v>30</v>
      </c>
      <c r="C125" t="s">
        <v>138</v>
      </c>
      <c r="D125" t="s">
        <v>248</v>
      </c>
      <c r="E125" t="s">
        <v>685</v>
      </c>
      <c r="F125" t="s">
        <v>773</v>
      </c>
      <c r="G125" s="1">
        <v>45708</v>
      </c>
      <c r="H125" s="1">
        <v>45989</v>
      </c>
      <c r="I125" s="2">
        <v>1584</v>
      </c>
      <c r="J125" t="s">
        <v>775</v>
      </c>
      <c r="K125" t="s">
        <v>786</v>
      </c>
      <c r="L125" t="s">
        <v>823</v>
      </c>
      <c r="M125" t="s">
        <v>828</v>
      </c>
      <c r="N125" t="str">
        <f t="shared" si="3"/>
        <v>T-1</v>
      </c>
      <c r="O125">
        <f t="shared" si="4"/>
        <v>2025</v>
      </c>
      <c r="P125" t="str">
        <f t="shared" si="5"/>
        <v>2. febrero</v>
      </c>
    </row>
    <row r="126" spans="1:16" x14ac:dyDescent="0.35">
      <c r="A126">
        <v>710564</v>
      </c>
      <c r="B126" t="s">
        <v>23</v>
      </c>
      <c r="C126" t="s">
        <v>138</v>
      </c>
      <c r="D126" t="s">
        <v>249</v>
      </c>
      <c r="E126" t="s">
        <v>675</v>
      </c>
      <c r="F126" t="s">
        <v>187</v>
      </c>
      <c r="G126" s="1">
        <v>45726</v>
      </c>
      <c r="H126" s="1">
        <v>45734</v>
      </c>
      <c r="I126" s="2">
        <v>1363.56</v>
      </c>
      <c r="J126" t="s">
        <v>779</v>
      </c>
      <c r="K126" t="s">
        <v>785</v>
      </c>
      <c r="L126" t="s">
        <v>823</v>
      </c>
      <c r="M126" t="s">
        <v>830</v>
      </c>
      <c r="N126" t="str">
        <f t="shared" si="3"/>
        <v>T-1</v>
      </c>
      <c r="O126">
        <f t="shared" si="4"/>
        <v>2025</v>
      </c>
      <c r="P126" t="str">
        <f t="shared" si="5"/>
        <v>3. marzo</v>
      </c>
    </row>
    <row r="127" spans="1:16" x14ac:dyDescent="0.35">
      <c r="A127">
        <v>720654</v>
      </c>
      <c r="B127" t="s">
        <v>20</v>
      </c>
      <c r="C127" t="s">
        <v>136</v>
      </c>
      <c r="D127" t="s">
        <v>251</v>
      </c>
      <c r="E127" t="s">
        <v>687</v>
      </c>
      <c r="F127" t="s">
        <v>187</v>
      </c>
      <c r="G127" s="1">
        <v>45705</v>
      </c>
      <c r="H127" s="1">
        <v>45708</v>
      </c>
      <c r="I127" s="2">
        <v>5520</v>
      </c>
      <c r="J127" t="s">
        <v>776</v>
      </c>
      <c r="K127" t="s">
        <v>783</v>
      </c>
      <c r="L127" t="s">
        <v>824</v>
      </c>
      <c r="M127" t="s">
        <v>829</v>
      </c>
      <c r="N127" t="str">
        <f t="shared" si="3"/>
        <v>T-1</v>
      </c>
      <c r="O127">
        <f t="shared" si="4"/>
        <v>2025</v>
      </c>
      <c r="P127" t="str">
        <f t="shared" si="5"/>
        <v>2. febrero</v>
      </c>
    </row>
    <row r="128" spans="1:16" x14ac:dyDescent="0.35">
      <c r="A128">
        <v>321560</v>
      </c>
      <c r="B128" t="s">
        <v>23</v>
      </c>
      <c r="C128" t="s">
        <v>141</v>
      </c>
      <c r="D128" t="s">
        <v>252</v>
      </c>
      <c r="E128" t="s">
        <v>688</v>
      </c>
      <c r="F128" t="s">
        <v>187</v>
      </c>
      <c r="G128" s="1">
        <v>45700</v>
      </c>
      <c r="H128" s="1">
        <v>45701</v>
      </c>
      <c r="I128" s="2">
        <v>2900</v>
      </c>
      <c r="J128" t="s">
        <v>776</v>
      </c>
      <c r="K128" t="s">
        <v>783</v>
      </c>
      <c r="L128" t="s">
        <v>823</v>
      </c>
      <c r="M128" t="s">
        <v>830</v>
      </c>
      <c r="N128" t="str">
        <f t="shared" si="3"/>
        <v>T-1</v>
      </c>
      <c r="O128">
        <f t="shared" si="4"/>
        <v>2025</v>
      </c>
      <c r="P128" t="str">
        <f t="shared" si="5"/>
        <v>2. febrero</v>
      </c>
    </row>
    <row r="129" spans="1:16" x14ac:dyDescent="0.35">
      <c r="A129">
        <v>35507</v>
      </c>
      <c r="B129" t="s">
        <v>5</v>
      </c>
      <c r="C129" t="s">
        <v>139</v>
      </c>
      <c r="D129" t="s">
        <v>253</v>
      </c>
      <c r="E129" t="s">
        <v>688</v>
      </c>
      <c r="F129" t="s">
        <v>187</v>
      </c>
      <c r="G129" s="1">
        <v>45714</v>
      </c>
      <c r="H129" s="1">
        <v>45714</v>
      </c>
      <c r="I129" s="2">
        <v>890</v>
      </c>
      <c r="J129" t="s">
        <v>776</v>
      </c>
      <c r="K129" t="s">
        <v>783</v>
      </c>
      <c r="L129" t="s">
        <v>823</v>
      </c>
      <c r="M129" t="s">
        <v>830</v>
      </c>
      <c r="N129" t="str">
        <f t="shared" si="3"/>
        <v>T-1</v>
      </c>
      <c r="O129">
        <f t="shared" si="4"/>
        <v>2025</v>
      </c>
      <c r="P129" t="str">
        <f t="shared" si="5"/>
        <v>2. febrero</v>
      </c>
    </row>
    <row r="130" spans="1:16" x14ac:dyDescent="0.35">
      <c r="A130">
        <v>363893</v>
      </c>
      <c r="B130" t="s">
        <v>39</v>
      </c>
      <c r="C130" t="s">
        <v>139</v>
      </c>
      <c r="D130" t="s">
        <v>254</v>
      </c>
      <c r="E130" t="s">
        <v>688</v>
      </c>
      <c r="F130" t="s">
        <v>187</v>
      </c>
      <c r="G130" s="1">
        <v>45714</v>
      </c>
      <c r="H130" s="1">
        <v>45714</v>
      </c>
      <c r="I130" s="2">
        <v>890</v>
      </c>
      <c r="J130" t="s">
        <v>776</v>
      </c>
      <c r="K130" t="s">
        <v>787</v>
      </c>
      <c r="L130" t="s">
        <v>823</v>
      </c>
      <c r="M130" t="s">
        <v>828</v>
      </c>
      <c r="N130" t="str">
        <f t="shared" si="3"/>
        <v>T-1</v>
      </c>
      <c r="O130">
        <f t="shared" si="4"/>
        <v>2025</v>
      </c>
      <c r="P130" t="str">
        <f t="shared" si="5"/>
        <v>2. febrero</v>
      </c>
    </row>
    <row r="131" spans="1:16" x14ac:dyDescent="0.35">
      <c r="A131">
        <v>250880</v>
      </c>
      <c r="B131" t="s">
        <v>5</v>
      </c>
      <c r="C131" t="s">
        <v>138</v>
      </c>
      <c r="D131" t="s">
        <v>255</v>
      </c>
      <c r="E131" t="s">
        <v>689</v>
      </c>
      <c r="F131" t="s">
        <v>187</v>
      </c>
      <c r="G131" s="1">
        <v>45742</v>
      </c>
      <c r="H131" s="1">
        <v>45743</v>
      </c>
      <c r="I131" s="2">
        <v>4800</v>
      </c>
      <c r="J131" t="s">
        <v>776</v>
      </c>
      <c r="K131" t="s">
        <v>783</v>
      </c>
      <c r="L131" t="s">
        <v>823</v>
      </c>
      <c r="M131" t="s">
        <v>830</v>
      </c>
      <c r="N131" t="str">
        <f t="shared" ref="N131:N194" si="6">"T-" &amp; ROUNDUP((MONTH(G131)/3), 0)</f>
        <v>T-1</v>
      </c>
      <c r="O131">
        <f t="shared" ref="O131:O194" si="7">YEAR(G131)</f>
        <v>2025</v>
      </c>
      <c r="P131" t="str">
        <f t="shared" ref="P131:P194" si="8">MONTH(G131) &amp; ". " &amp; TEXT(G131, "MMMM")</f>
        <v>3. marzo</v>
      </c>
    </row>
    <row r="132" spans="1:16" x14ac:dyDescent="0.35">
      <c r="A132">
        <v>719058</v>
      </c>
      <c r="B132" t="s">
        <v>34</v>
      </c>
      <c r="C132" t="s">
        <v>138</v>
      </c>
      <c r="D132" t="s">
        <v>256</v>
      </c>
      <c r="E132" t="s">
        <v>689</v>
      </c>
      <c r="F132" t="s">
        <v>187</v>
      </c>
      <c r="G132" s="1">
        <v>45754</v>
      </c>
      <c r="H132" s="1">
        <v>45754</v>
      </c>
      <c r="I132" s="2">
        <v>2500</v>
      </c>
      <c r="J132" t="s">
        <v>776</v>
      </c>
      <c r="K132" t="s">
        <v>783</v>
      </c>
      <c r="L132" t="s">
        <v>823</v>
      </c>
      <c r="M132" t="s">
        <v>829</v>
      </c>
      <c r="N132" t="str">
        <f t="shared" si="6"/>
        <v>T-2</v>
      </c>
      <c r="O132">
        <f t="shared" si="7"/>
        <v>2025</v>
      </c>
      <c r="P132" t="str">
        <f t="shared" si="8"/>
        <v>4. abril</v>
      </c>
    </row>
    <row r="133" spans="1:16" x14ac:dyDescent="0.35">
      <c r="A133">
        <v>722091</v>
      </c>
      <c r="B133" t="s">
        <v>30</v>
      </c>
      <c r="C133" t="s">
        <v>138</v>
      </c>
      <c r="D133" t="s">
        <v>257</v>
      </c>
      <c r="E133" t="s">
        <v>690</v>
      </c>
      <c r="F133" t="s">
        <v>187</v>
      </c>
      <c r="G133" s="1">
        <v>45729</v>
      </c>
      <c r="H133" s="1">
        <v>45730</v>
      </c>
      <c r="I133" s="2">
        <v>900</v>
      </c>
      <c r="J133" t="s">
        <v>776</v>
      </c>
      <c r="K133" t="s">
        <v>786</v>
      </c>
      <c r="L133" t="s">
        <v>824</v>
      </c>
      <c r="M133" t="s">
        <v>830</v>
      </c>
      <c r="N133" t="str">
        <f t="shared" si="6"/>
        <v>T-1</v>
      </c>
      <c r="O133">
        <f t="shared" si="7"/>
        <v>2025</v>
      </c>
      <c r="P133" t="str">
        <f t="shared" si="8"/>
        <v>3. marzo</v>
      </c>
    </row>
    <row r="134" spans="1:16" x14ac:dyDescent="0.35">
      <c r="A134">
        <v>708650</v>
      </c>
      <c r="B134" t="s">
        <v>27</v>
      </c>
      <c r="C134" t="s">
        <v>138</v>
      </c>
      <c r="D134" t="s">
        <v>258</v>
      </c>
      <c r="E134" t="s">
        <v>691</v>
      </c>
      <c r="F134" t="s">
        <v>187</v>
      </c>
      <c r="G134" s="1">
        <v>45740</v>
      </c>
      <c r="H134" s="1">
        <v>45924</v>
      </c>
      <c r="I134" s="2">
        <v>5215</v>
      </c>
      <c r="J134" t="s">
        <v>776</v>
      </c>
      <c r="K134" t="s">
        <v>783</v>
      </c>
      <c r="L134" t="s">
        <v>823</v>
      </c>
      <c r="M134" t="s">
        <v>830</v>
      </c>
      <c r="N134" t="str">
        <f t="shared" si="6"/>
        <v>T-1</v>
      </c>
      <c r="O134">
        <f t="shared" si="7"/>
        <v>2025</v>
      </c>
      <c r="P134" t="str">
        <f t="shared" si="8"/>
        <v>3. marzo</v>
      </c>
    </row>
    <row r="135" spans="1:16" x14ac:dyDescent="0.35">
      <c r="A135">
        <v>401292</v>
      </c>
      <c r="B135" t="s">
        <v>25</v>
      </c>
      <c r="C135" t="s">
        <v>139</v>
      </c>
      <c r="D135" t="s">
        <v>244</v>
      </c>
      <c r="E135" t="s">
        <v>683</v>
      </c>
      <c r="F135" t="s">
        <v>187</v>
      </c>
      <c r="G135" s="1">
        <v>45740</v>
      </c>
      <c r="H135" s="1">
        <v>45742</v>
      </c>
      <c r="I135" s="2">
        <v>4204</v>
      </c>
      <c r="J135" t="s">
        <v>776</v>
      </c>
      <c r="K135" t="s">
        <v>783</v>
      </c>
      <c r="L135" t="s">
        <v>823</v>
      </c>
      <c r="M135" t="s">
        <v>828</v>
      </c>
      <c r="N135" t="str">
        <f t="shared" si="6"/>
        <v>T-1</v>
      </c>
      <c r="O135">
        <f t="shared" si="7"/>
        <v>2025</v>
      </c>
      <c r="P135" t="str">
        <f t="shared" si="8"/>
        <v>3. marzo</v>
      </c>
    </row>
    <row r="136" spans="1:16" x14ac:dyDescent="0.35">
      <c r="A136">
        <v>723369</v>
      </c>
      <c r="B136" t="s">
        <v>20</v>
      </c>
      <c r="C136" t="s">
        <v>139</v>
      </c>
      <c r="D136" t="s">
        <v>259</v>
      </c>
      <c r="E136" t="s">
        <v>648</v>
      </c>
      <c r="F136" t="s">
        <v>773</v>
      </c>
      <c r="G136" s="1">
        <v>45740</v>
      </c>
      <c r="H136" s="1">
        <v>46132</v>
      </c>
      <c r="I136" s="2">
        <v>1680</v>
      </c>
      <c r="J136" t="s">
        <v>775</v>
      </c>
      <c r="K136" t="s">
        <v>791</v>
      </c>
      <c r="L136" t="s">
        <v>823</v>
      </c>
      <c r="M136" t="s">
        <v>828</v>
      </c>
      <c r="N136" t="str">
        <f t="shared" si="6"/>
        <v>T-1</v>
      </c>
      <c r="O136">
        <f t="shared" si="7"/>
        <v>2025</v>
      </c>
      <c r="P136" t="str">
        <f t="shared" si="8"/>
        <v>3. marzo</v>
      </c>
    </row>
    <row r="137" spans="1:16" x14ac:dyDescent="0.35">
      <c r="A137">
        <v>360006</v>
      </c>
      <c r="B137" t="s">
        <v>49</v>
      </c>
      <c r="C137" t="s">
        <v>138</v>
      </c>
      <c r="D137" t="s">
        <v>260</v>
      </c>
      <c r="E137" t="s">
        <v>692</v>
      </c>
      <c r="F137" t="s">
        <v>187</v>
      </c>
      <c r="G137" s="1">
        <v>45727</v>
      </c>
      <c r="H137" s="1">
        <v>45729</v>
      </c>
      <c r="I137" s="2">
        <v>453.75</v>
      </c>
      <c r="J137" t="s">
        <v>774</v>
      </c>
      <c r="K137" t="s">
        <v>787</v>
      </c>
      <c r="L137" t="s">
        <v>823</v>
      </c>
      <c r="M137" t="s">
        <v>829</v>
      </c>
      <c r="N137" t="str">
        <f t="shared" si="6"/>
        <v>T-1</v>
      </c>
      <c r="O137">
        <f t="shared" si="7"/>
        <v>2025</v>
      </c>
      <c r="P137" t="str">
        <f t="shared" si="8"/>
        <v>3. marzo</v>
      </c>
    </row>
    <row r="138" spans="1:16" x14ac:dyDescent="0.35">
      <c r="A138">
        <v>701281</v>
      </c>
      <c r="B138" t="s">
        <v>28</v>
      </c>
      <c r="C138" t="s">
        <v>138</v>
      </c>
      <c r="D138" t="s">
        <v>260</v>
      </c>
      <c r="E138" t="s">
        <v>692</v>
      </c>
      <c r="F138" t="s">
        <v>187</v>
      </c>
      <c r="G138" s="1">
        <v>45741</v>
      </c>
      <c r="H138" s="1">
        <v>45743</v>
      </c>
      <c r="I138" s="2">
        <v>453.75</v>
      </c>
      <c r="J138" t="s">
        <v>774</v>
      </c>
      <c r="K138" t="s">
        <v>783</v>
      </c>
      <c r="L138" t="s">
        <v>823</v>
      </c>
      <c r="M138" t="s">
        <v>830</v>
      </c>
      <c r="N138" t="str">
        <f t="shared" si="6"/>
        <v>T-1</v>
      </c>
      <c r="O138">
        <f t="shared" si="7"/>
        <v>2025</v>
      </c>
      <c r="P138" t="str">
        <f t="shared" si="8"/>
        <v>3. marzo</v>
      </c>
    </row>
    <row r="139" spans="1:16" x14ac:dyDescent="0.35">
      <c r="A139">
        <v>712130</v>
      </c>
      <c r="B139" t="s">
        <v>32</v>
      </c>
      <c r="C139" t="s">
        <v>137</v>
      </c>
      <c r="D139" t="s">
        <v>260</v>
      </c>
      <c r="E139" t="s">
        <v>692</v>
      </c>
      <c r="F139" t="s">
        <v>187</v>
      </c>
      <c r="G139" s="1">
        <v>45741</v>
      </c>
      <c r="H139" s="1">
        <v>45743</v>
      </c>
      <c r="I139" s="2">
        <v>592.5</v>
      </c>
      <c r="J139" t="s">
        <v>774</v>
      </c>
      <c r="K139" t="s">
        <v>783</v>
      </c>
      <c r="L139" t="s">
        <v>823</v>
      </c>
      <c r="M139" t="s">
        <v>830</v>
      </c>
      <c r="N139" t="str">
        <f t="shared" si="6"/>
        <v>T-1</v>
      </c>
      <c r="O139">
        <f t="shared" si="7"/>
        <v>2025</v>
      </c>
      <c r="P139" t="str">
        <f t="shared" si="8"/>
        <v>3. marzo</v>
      </c>
    </row>
    <row r="140" spans="1:16" x14ac:dyDescent="0.35">
      <c r="A140">
        <v>716720</v>
      </c>
      <c r="B140" t="s">
        <v>50</v>
      </c>
      <c r="C140" t="s">
        <v>138</v>
      </c>
      <c r="D140" t="s">
        <v>260</v>
      </c>
      <c r="E140" t="s">
        <v>692</v>
      </c>
      <c r="F140" t="s">
        <v>773</v>
      </c>
      <c r="G140" s="1">
        <v>45880</v>
      </c>
      <c r="H140" s="1">
        <v>45882</v>
      </c>
      <c r="I140" s="2">
        <v>395</v>
      </c>
      <c r="J140" t="s">
        <v>774</v>
      </c>
      <c r="K140" t="s">
        <v>786</v>
      </c>
      <c r="L140" t="s">
        <v>824</v>
      </c>
      <c r="M140" t="s">
        <v>828</v>
      </c>
      <c r="N140" t="str">
        <f t="shared" si="6"/>
        <v>T-3</v>
      </c>
      <c r="O140">
        <f t="shared" si="7"/>
        <v>2025</v>
      </c>
      <c r="P140" t="str">
        <f t="shared" si="8"/>
        <v>8. agosto</v>
      </c>
    </row>
    <row r="141" spans="1:16" x14ac:dyDescent="0.35">
      <c r="A141">
        <v>718244</v>
      </c>
      <c r="B141" t="s">
        <v>30</v>
      </c>
      <c r="C141" t="s">
        <v>138</v>
      </c>
      <c r="D141" t="s">
        <v>260</v>
      </c>
      <c r="E141" t="s">
        <v>692</v>
      </c>
      <c r="F141" t="s">
        <v>773</v>
      </c>
      <c r="G141" s="1">
        <v>45880</v>
      </c>
      <c r="H141" s="1">
        <v>45882</v>
      </c>
      <c r="I141" s="2">
        <v>605</v>
      </c>
      <c r="J141" t="s">
        <v>774</v>
      </c>
      <c r="K141" t="s">
        <v>786</v>
      </c>
      <c r="L141" t="s">
        <v>823</v>
      </c>
      <c r="M141" t="s">
        <v>830</v>
      </c>
      <c r="N141" t="str">
        <f t="shared" si="6"/>
        <v>T-3</v>
      </c>
      <c r="O141">
        <f t="shared" si="7"/>
        <v>2025</v>
      </c>
      <c r="P141" t="str">
        <f t="shared" si="8"/>
        <v>8. agosto</v>
      </c>
    </row>
    <row r="142" spans="1:16" x14ac:dyDescent="0.35">
      <c r="A142">
        <v>716710</v>
      </c>
      <c r="B142" t="s">
        <v>34</v>
      </c>
      <c r="C142" t="s">
        <v>138</v>
      </c>
      <c r="D142" t="s">
        <v>261</v>
      </c>
      <c r="E142" t="s">
        <v>652</v>
      </c>
      <c r="F142" t="s">
        <v>187</v>
      </c>
      <c r="G142" s="1">
        <v>45712</v>
      </c>
      <c r="H142" s="1">
        <v>45720</v>
      </c>
      <c r="I142" s="2">
        <v>1820</v>
      </c>
      <c r="J142" t="s">
        <v>776</v>
      </c>
      <c r="K142" t="s">
        <v>786</v>
      </c>
      <c r="L142" t="s">
        <v>823</v>
      </c>
      <c r="M142" t="s">
        <v>828</v>
      </c>
      <c r="N142" t="str">
        <f t="shared" si="6"/>
        <v>T-1</v>
      </c>
      <c r="O142">
        <f t="shared" si="7"/>
        <v>2025</v>
      </c>
      <c r="P142" t="str">
        <f t="shared" si="8"/>
        <v>2. febrero</v>
      </c>
    </row>
    <row r="143" spans="1:16" x14ac:dyDescent="0.35">
      <c r="A143">
        <v>489069</v>
      </c>
      <c r="B143" t="s">
        <v>27</v>
      </c>
      <c r="C143" t="s">
        <v>138</v>
      </c>
      <c r="D143" t="s">
        <v>158</v>
      </c>
      <c r="E143" t="s">
        <v>648</v>
      </c>
      <c r="F143" t="s">
        <v>773</v>
      </c>
      <c r="G143" s="1">
        <v>45747</v>
      </c>
      <c r="H143" s="1">
        <v>46055</v>
      </c>
      <c r="I143" s="2">
        <v>1820</v>
      </c>
      <c r="J143" t="s">
        <v>775</v>
      </c>
      <c r="K143" t="s">
        <v>783</v>
      </c>
      <c r="L143" t="s">
        <v>823</v>
      </c>
      <c r="M143" t="s">
        <v>829</v>
      </c>
      <c r="N143" t="str">
        <f t="shared" si="6"/>
        <v>T-1</v>
      </c>
      <c r="O143">
        <f t="shared" si="7"/>
        <v>2025</v>
      </c>
      <c r="P143" t="str">
        <f t="shared" si="8"/>
        <v>3. marzo</v>
      </c>
    </row>
    <row r="144" spans="1:16" x14ac:dyDescent="0.35">
      <c r="A144">
        <v>715924</v>
      </c>
      <c r="B144" t="s">
        <v>34</v>
      </c>
      <c r="C144" t="s">
        <v>138</v>
      </c>
      <c r="D144" t="s">
        <v>262</v>
      </c>
      <c r="E144" t="s">
        <v>693</v>
      </c>
      <c r="F144" t="s">
        <v>773</v>
      </c>
      <c r="G144" s="1">
        <v>45744</v>
      </c>
      <c r="H144" s="1">
        <v>46142</v>
      </c>
      <c r="I144" s="2">
        <v>2380</v>
      </c>
      <c r="J144" t="s">
        <v>774</v>
      </c>
      <c r="K144" t="s">
        <v>783</v>
      </c>
      <c r="L144" t="s">
        <v>823</v>
      </c>
      <c r="M144" t="s">
        <v>830</v>
      </c>
      <c r="N144" t="str">
        <f t="shared" si="6"/>
        <v>T-1</v>
      </c>
      <c r="O144">
        <f t="shared" si="7"/>
        <v>2025</v>
      </c>
      <c r="P144" t="str">
        <f t="shared" si="8"/>
        <v>3. marzo</v>
      </c>
    </row>
    <row r="145" spans="1:16" x14ac:dyDescent="0.35">
      <c r="A145">
        <v>714283</v>
      </c>
      <c r="B145" t="s">
        <v>23</v>
      </c>
      <c r="C145" t="s">
        <v>137</v>
      </c>
      <c r="D145" t="s">
        <v>263</v>
      </c>
      <c r="E145" t="s">
        <v>654</v>
      </c>
      <c r="F145" t="s">
        <v>187</v>
      </c>
      <c r="G145" s="1">
        <v>45726</v>
      </c>
      <c r="H145" s="1">
        <v>45726</v>
      </c>
      <c r="I145" s="2">
        <v>616</v>
      </c>
      <c r="J145" t="s">
        <v>777</v>
      </c>
      <c r="K145" t="s">
        <v>783</v>
      </c>
      <c r="L145" t="s">
        <v>823</v>
      </c>
      <c r="M145" t="s">
        <v>830</v>
      </c>
      <c r="N145" t="str">
        <f t="shared" si="6"/>
        <v>T-1</v>
      </c>
      <c r="O145">
        <f t="shared" si="7"/>
        <v>2025</v>
      </c>
      <c r="P145" t="str">
        <f t="shared" si="8"/>
        <v>3. marzo</v>
      </c>
    </row>
    <row r="146" spans="1:16" x14ac:dyDescent="0.35">
      <c r="A146">
        <v>135053</v>
      </c>
      <c r="B146" t="s">
        <v>13</v>
      </c>
      <c r="C146" t="s">
        <v>138</v>
      </c>
      <c r="D146" t="s">
        <v>264</v>
      </c>
      <c r="E146" t="s">
        <v>682</v>
      </c>
      <c r="F146" t="s">
        <v>187</v>
      </c>
      <c r="G146" s="1">
        <v>45723</v>
      </c>
      <c r="H146" s="1">
        <v>45728</v>
      </c>
      <c r="I146" s="2">
        <v>2000</v>
      </c>
      <c r="J146" t="s">
        <v>777</v>
      </c>
      <c r="K146" t="s">
        <v>783</v>
      </c>
      <c r="L146" t="s">
        <v>823</v>
      </c>
      <c r="M146" t="s">
        <v>828</v>
      </c>
      <c r="N146" t="str">
        <f t="shared" si="6"/>
        <v>T-1</v>
      </c>
      <c r="O146">
        <f t="shared" si="7"/>
        <v>2025</v>
      </c>
      <c r="P146" t="str">
        <f t="shared" si="8"/>
        <v>3. marzo</v>
      </c>
    </row>
    <row r="147" spans="1:16" x14ac:dyDescent="0.35">
      <c r="A147">
        <v>446014</v>
      </c>
      <c r="B147" t="s">
        <v>30</v>
      </c>
      <c r="C147" t="s">
        <v>138</v>
      </c>
      <c r="D147" t="s">
        <v>265</v>
      </c>
      <c r="E147" t="s">
        <v>682</v>
      </c>
      <c r="F147" t="s">
        <v>187</v>
      </c>
      <c r="G147" s="1">
        <v>45726</v>
      </c>
      <c r="H147" s="1">
        <v>45726</v>
      </c>
      <c r="I147" s="2">
        <v>475</v>
      </c>
      <c r="J147" t="s">
        <v>777</v>
      </c>
      <c r="K147" t="s">
        <v>783</v>
      </c>
      <c r="L147" t="s">
        <v>823</v>
      </c>
      <c r="M147" t="s">
        <v>830</v>
      </c>
      <c r="N147" t="str">
        <f t="shared" si="6"/>
        <v>T-1</v>
      </c>
      <c r="O147">
        <f t="shared" si="7"/>
        <v>2025</v>
      </c>
      <c r="P147" t="str">
        <f t="shared" si="8"/>
        <v>3. marzo</v>
      </c>
    </row>
    <row r="148" spans="1:16" x14ac:dyDescent="0.35">
      <c r="A148">
        <v>362036</v>
      </c>
      <c r="B148" t="s">
        <v>30</v>
      </c>
      <c r="C148" t="s">
        <v>139</v>
      </c>
      <c r="D148" t="s">
        <v>266</v>
      </c>
      <c r="E148" t="s">
        <v>682</v>
      </c>
      <c r="F148" t="s">
        <v>187</v>
      </c>
      <c r="G148" s="1">
        <v>45706</v>
      </c>
      <c r="H148" s="1">
        <v>45729</v>
      </c>
      <c r="I148" s="2">
        <v>200</v>
      </c>
      <c r="J148" t="s">
        <v>777</v>
      </c>
      <c r="K148" t="s">
        <v>783</v>
      </c>
      <c r="L148" t="s">
        <v>824</v>
      </c>
      <c r="M148" t="s">
        <v>828</v>
      </c>
      <c r="N148" t="str">
        <f t="shared" si="6"/>
        <v>T-1</v>
      </c>
      <c r="O148">
        <f t="shared" si="7"/>
        <v>2025</v>
      </c>
      <c r="P148" t="str">
        <f t="shared" si="8"/>
        <v>2. febrero</v>
      </c>
    </row>
    <row r="149" spans="1:16" x14ac:dyDescent="0.35">
      <c r="A149">
        <v>704616</v>
      </c>
      <c r="B149" t="s">
        <v>24</v>
      </c>
      <c r="C149" t="s">
        <v>138</v>
      </c>
      <c r="D149" t="s">
        <v>267</v>
      </c>
      <c r="E149" t="s">
        <v>682</v>
      </c>
      <c r="F149" t="s">
        <v>187</v>
      </c>
      <c r="G149" s="1">
        <v>45712</v>
      </c>
      <c r="H149" s="1">
        <v>45712</v>
      </c>
      <c r="I149" s="2">
        <v>840</v>
      </c>
      <c r="J149" t="s">
        <v>777</v>
      </c>
      <c r="K149" t="s">
        <v>783</v>
      </c>
      <c r="L149" t="s">
        <v>823</v>
      </c>
      <c r="M149" t="s">
        <v>829</v>
      </c>
      <c r="N149" t="str">
        <f t="shared" si="6"/>
        <v>T-1</v>
      </c>
      <c r="O149">
        <f t="shared" si="7"/>
        <v>2025</v>
      </c>
      <c r="P149" t="str">
        <f t="shared" si="8"/>
        <v>2. febrero</v>
      </c>
    </row>
    <row r="150" spans="1:16" x14ac:dyDescent="0.35">
      <c r="A150">
        <v>602929</v>
      </c>
      <c r="B150" t="s">
        <v>4</v>
      </c>
      <c r="C150" t="s">
        <v>138</v>
      </c>
      <c r="D150" t="s">
        <v>161</v>
      </c>
      <c r="E150" t="s">
        <v>679</v>
      </c>
      <c r="F150" t="s">
        <v>187</v>
      </c>
      <c r="G150" s="1">
        <v>45735</v>
      </c>
      <c r="H150" s="1">
        <v>45735</v>
      </c>
      <c r="I150" s="2">
        <v>1938.36</v>
      </c>
      <c r="J150" t="s">
        <v>779</v>
      </c>
      <c r="K150" t="s">
        <v>783</v>
      </c>
      <c r="L150" t="s">
        <v>823</v>
      </c>
      <c r="M150" t="s">
        <v>830</v>
      </c>
      <c r="N150" t="str">
        <f t="shared" si="6"/>
        <v>T-1</v>
      </c>
      <c r="O150">
        <f t="shared" si="7"/>
        <v>2025</v>
      </c>
      <c r="P150" t="str">
        <f t="shared" si="8"/>
        <v>3. marzo</v>
      </c>
    </row>
    <row r="151" spans="1:16" x14ac:dyDescent="0.35">
      <c r="A151">
        <v>706246</v>
      </c>
      <c r="B151" t="s">
        <v>14</v>
      </c>
      <c r="C151" t="s">
        <v>138</v>
      </c>
      <c r="D151" t="s">
        <v>176</v>
      </c>
      <c r="E151" t="s">
        <v>652</v>
      </c>
      <c r="F151" t="s">
        <v>187</v>
      </c>
      <c r="G151" s="1">
        <v>45726</v>
      </c>
      <c r="H151" s="1">
        <v>45730</v>
      </c>
      <c r="I151" s="2">
        <v>3153.1</v>
      </c>
      <c r="J151" t="s">
        <v>774</v>
      </c>
      <c r="K151" t="s">
        <v>785</v>
      </c>
      <c r="L151" t="s">
        <v>823</v>
      </c>
      <c r="M151" t="s">
        <v>830</v>
      </c>
      <c r="N151" t="str">
        <f t="shared" si="6"/>
        <v>T-1</v>
      </c>
      <c r="O151">
        <f t="shared" si="7"/>
        <v>2025</v>
      </c>
      <c r="P151" t="str">
        <f t="shared" si="8"/>
        <v>3. marzo</v>
      </c>
    </row>
    <row r="152" spans="1:16" x14ac:dyDescent="0.35">
      <c r="A152">
        <v>722867</v>
      </c>
      <c r="B152" t="s">
        <v>51</v>
      </c>
      <c r="C152" t="s">
        <v>138</v>
      </c>
      <c r="D152" t="s">
        <v>182</v>
      </c>
      <c r="E152" t="s">
        <v>648</v>
      </c>
      <c r="F152" t="s">
        <v>773</v>
      </c>
      <c r="G152" s="1">
        <v>45726</v>
      </c>
      <c r="H152" s="1">
        <v>45954</v>
      </c>
      <c r="I152" s="2">
        <v>3640</v>
      </c>
      <c r="J152" t="s">
        <v>775</v>
      </c>
      <c r="K152" t="s">
        <v>783</v>
      </c>
      <c r="L152" t="s">
        <v>823</v>
      </c>
      <c r="M152" t="s">
        <v>828</v>
      </c>
      <c r="N152" t="str">
        <f t="shared" si="6"/>
        <v>T-1</v>
      </c>
      <c r="O152">
        <f t="shared" si="7"/>
        <v>2025</v>
      </c>
      <c r="P152" t="str">
        <f t="shared" si="8"/>
        <v>3. marzo</v>
      </c>
    </row>
    <row r="153" spans="1:16" x14ac:dyDescent="0.35">
      <c r="A153">
        <v>716225</v>
      </c>
      <c r="B153" t="s">
        <v>24</v>
      </c>
      <c r="C153" t="s">
        <v>138</v>
      </c>
      <c r="D153" t="s">
        <v>268</v>
      </c>
      <c r="E153" t="s">
        <v>694</v>
      </c>
      <c r="F153" t="s">
        <v>187</v>
      </c>
      <c r="G153" s="1">
        <v>45733</v>
      </c>
      <c r="H153" s="1">
        <v>45733</v>
      </c>
      <c r="I153" s="2">
        <v>350</v>
      </c>
      <c r="J153" t="s">
        <v>777</v>
      </c>
      <c r="K153" t="s">
        <v>783</v>
      </c>
      <c r="L153" t="s">
        <v>823</v>
      </c>
      <c r="M153" t="s">
        <v>828</v>
      </c>
      <c r="N153" t="str">
        <f t="shared" si="6"/>
        <v>T-1</v>
      </c>
      <c r="O153">
        <f t="shared" si="7"/>
        <v>2025</v>
      </c>
      <c r="P153" t="str">
        <f t="shared" si="8"/>
        <v>3. marzo</v>
      </c>
    </row>
    <row r="154" spans="1:16" x14ac:dyDescent="0.35">
      <c r="A154">
        <v>431630</v>
      </c>
      <c r="B154" t="s">
        <v>5</v>
      </c>
      <c r="C154" t="s">
        <v>139</v>
      </c>
      <c r="D154" t="s">
        <v>153</v>
      </c>
      <c r="E154" t="s">
        <v>647</v>
      </c>
      <c r="F154" t="s">
        <v>773</v>
      </c>
      <c r="G154" s="1">
        <v>45938</v>
      </c>
      <c r="H154" s="1">
        <v>45938</v>
      </c>
      <c r="I154" s="2">
        <v>300</v>
      </c>
      <c r="J154" t="s">
        <v>774</v>
      </c>
      <c r="K154" t="s">
        <v>783</v>
      </c>
      <c r="L154" t="s">
        <v>824</v>
      </c>
      <c r="M154" t="s">
        <v>830</v>
      </c>
      <c r="N154" t="str">
        <f t="shared" si="6"/>
        <v>T-4</v>
      </c>
      <c r="O154">
        <f t="shared" si="7"/>
        <v>2025</v>
      </c>
      <c r="P154" t="str">
        <f t="shared" si="8"/>
        <v>10. octubre</v>
      </c>
    </row>
    <row r="155" spans="1:16" x14ac:dyDescent="0.35">
      <c r="A155">
        <v>499181</v>
      </c>
      <c r="B155" t="s">
        <v>4</v>
      </c>
      <c r="C155" t="s">
        <v>138</v>
      </c>
      <c r="D155" t="s">
        <v>161</v>
      </c>
      <c r="E155" t="s">
        <v>679</v>
      </c>
      <c r="F155" t="s">
        <v>187</v>
      </c>
      <c r="G155" s="1">
        <v>45737</v>
      </c>
      <c r="H155" s="1">
        <v>45737</v>
      </c>
      <c r="I155" s="2">
        <v>4055.84</v>
      </c>
      <c r="J155" t="s">
        <v>779</v>
      </c>
      <c r="K155" t="s">
        <v>783</v>
      </c>
      <c r="L155" t="s">
        <v>823</v>
      </c>
      <c r="M155" t="s">
        <v>829</v>
      </c>
      <c r="N155" t="str">
        <f t="shared" si="6"/>
        <v>T-1</v>
      </c>
      <c r="O155">
        <f t="shared" si="7"/>
        <v>2025</v>
      </c>
      <c r="P155" t="str">
        <f t="shared" si="8"/>
        <v>3. marzo</v>
      </c>
    </row>
    <row r="156" spans="1:16" x14ac:dyDescent="0.35">
      <c r="A156">
        <v>460117</v>
      </c>
      <c r="B156" t="s">
        <v>30</v>
      </c>
      <c r="C156" t="s">
        <v>138</v>
      </c>
      <c r="D156" t="s">
        <v>269</v>
      </c>
      <c r="E156" t="s">
        <v>695</v>
      </c>
      <c r="F156" t="s">
        <v>187</v>
      </c>
      <c r="G156" s="1">
        <v>45726</v>
      </c>
      <c r="H156" s="1">
        <v>45730</v>
      </c>
      <c r="I156" s="2">
        <v>2496</v>
      </c>
      <c r="J156" t="s">
        <v>776</v>
      </c>
      <c r="K156" t="s">
        <v>797</v>
      </c>
      <c r="L156" t="s">
        <v>823</v>
      </c>
      <c r="M156" t="s">
        <v>830</v>
      </c>
      <c r="N156" t="str">
        <f t="shared" si="6"/>
        <v>T-1</v>
      </c>
      <c r="O156">
        <f t="shared" si="7"/>
        <v>2025</v>
      </c>
      <c r="P156" t="str">
        <f t="shared" si="8"/>
        <v>3. marzo</v>
      </c>
    </row>
    <row r="157" spans="1:16" x14ac:dyDescent="0.35">
      <c r="A157">
        <v>467072</v>
      </c>
      <c r="B157" t="s">
        <v>2</v>
      </c>
      <c r="C157" t="s">
        <v>139</v>
      </c>
      <c r="D157" t="s">
        <v>270</v>
      </c>
      <c r="E157" t="s">
        <v>652</v>
      </c>
      <c r="F157" t="s">
        <v>187</v>
      </c>
      <c r="G157" s="1">
        <v>45719</v>
      </c>
      <c r="H157" s="1">
        <v>45729</v>
      </c>
      <c r="I157" s="2">
        <v>520</v>
      </c>
      <c r="J157" t="s">
        <v>776</v>
      </c>
      <c r="K157" t="s">
        <v>783</v>
      </c>
      <c r="L157" t="s">
        <v>823</v>
      </c>
      <c r="M157" t="s">
        <v>830</v>
      </c>
      <c r="N157" t="str">
        <f t="shared" si="6"/>
        <v>T-1</v>
      </c>
      <c r="O157">
        <f t="shared" si="7"/>
        <v>2025</v>
      </c>
      <c r="P157" t="str">
        <f t="shared" si="8"/>
        <v>3. marzo</v>
      </c>
    </row>
    <row r="158" spans="1:16" x14ac:dyDescent="0.35">
      <c r="A158">
        <v>460982</v>
      </c>
      <c r="B158" t="s">
        <v>10</v>
      </c>
      <c r="C158" t="s">
        <v>138</v>
      </c>
      <c r="D158" t="s">
        <v>197</v>
      </c>
      <c r="E158" t="s">
        <v>647</v>
      </c>
      <c r="F158" t="s">
        <v>187</v>
      </c>
      <c r="G158" s="1">
        <v>45736</v>
      </c>
      <c r="H158" s="1">
        <v>45737</v>
      </c>
      <c r="I158" s="2">
        <v>4200</v>
      </c>
      <c r="J158" t="s">
        <v>774</v>
      </c>
      <c r="K158" t="s">
        <v>785</v>
      </c>
      <c r="L158" t="s">
        <v>823</v>
      </c>
      <c r="M158" t="s">
        <v>828</v>
      </c>
      <c r="N158" t="str">
        <f t="shared" si="6"/>
        <v>T-1</v>
      </c>
      <c r="O158">
        <f t="shared" si="7"/>
        <v>2025</v>
      </c>
      <c r="P158" t="str">
        <f t="shared" si="8"/>
        <v>3. marzo</v>
      </c>
    </row>
    <row r="159" spans="1:16" x14ac:dyDescent="0.35">
      <c r="A159">
        <v>609550</v>
      </c>
      <c r="B159" t="s">
        <v>13</v>
      </c>
      <c r="C159" t="s">
        <v>138</v>
      </c>
      <c r="D159" t="s">
        <v>197</v>
      </c>
      <c r="E159" t="s">
        <v>647</v>
      </c>
      <c r="F159" t="s">
        <v>187</v>
      </c>
      <c r="G159" s="1">
        <v>45736</v>
      </c>
      <c r="H159" s="1">
        <v>45737</v>
      </c>
      <c r="I159" s="2">
        <v>2800</v>
      </c>
      <c r="J159" t="s">
        <v>774</v>
      </c>
      <c r="K159" t="s">
        <v>783</v>
      </c>
      <c r="L159" t="s">
        <v>823</v>
      </c>
      <c r="M159" t="s">
        <v>828</v>
      </c>
      <c r="N159" t="str">
        <f t="shared" si="6"/>
        <v>T-1</v>
      </c>
      <c r="O159">
        <f t="shared" si="7"/>
        <v>2025</v>
      </c>
      <c r="P159" t="str">
        <f t="shared" si="8"/>
        <v>3. marzo</v>
      </c>
    </row>
    <row r="160" spans="1:16" x14ac:dyDescent="0.35">
      <c r="A160">
        <v>486586</v>
      </c>
      <c r="B160" t="s">
        <v>28</v>
      </c>
      <c r="C160" t="s">
        <v>136</v>
      </c>
      <c r="D160" t="s">
        <v>271</v>
      </c>
      <c r="E160" t="s">
        <v>675</v>
      </c>
      <c r="F160" t="s">
        <v>187</v>
      </c>
      <c r="G160" s="1">
        <v>45736</v>
      </c>
      <c r="H160" s="1">
        <v>45737</v>
      </c>
      <c r="I160" s="2">
        <v>832</v>
      </c>
      <c r="J160" t="s">
        <v>779</v>
      </c>
      <c r="K160" t="s">
        <v>783</v>
      </c>
      <c r="L160" t="s">
        <v>823</v>
      </c>
      <c r="M160" t="s">
        <v>829</v>
      </c>
      <c r="N160" t="str">
        <f t="shared" si="6"/>
        <v>T-1</v>
      </c>
      <c r="O160">
        <f t="shared" si="7"/>
        <v>2025</v>
      </c>
      <c r="P160" t="str">
        <f t="shared" si="8"/>
        <v>3. marzo</v>
      </c>
    </row>
    <row r="161" spans="1:16" x14ac:dyDescent="0.35">
      <c r="A161">
        <v>400721</v>
      </c>
      <c r="B161" t="s">
        <v>52</v>
      </c>
      <c r="C161" t="s">
        <v>138</v>
      </c>
      <c r="D161" t="s">
        <v>272</v>
      </c>
      <c r="E161" t="s">
        <v>696</v>
      </c>
      <c r="F161" t="s">
        <v>187</v>
      </c>
      <c r="G161" s="1">
        <v>45737</v>
      </c>
      <c r="H161" s="1">
        <v>45737</v>
      </c>
      <c r="I161" s="2">
        <v>385</v>
      </c>
      <c r="J161" t="s">
        <v>779</v>
      </c>
      <c r="K161" t="s">
        <v>783</v>
      </c>
      <c r="L161" t="s">
        <v>824</v>
      </c>
      <c r="M161" t="s">
        <v>830</v>
      </c>
      <c r="N161" t="str">
        <f t="shared" si="6"/>
        <v>T-1</v>
      </c>
      <c r="O161">
        <f t="shared" si="7"/>
        <v>2025</v>
      </c>
      <c r="P161" t="str">
        <f t="shared" si="8"/>
        <v>3. marzo</v>
      </c>
    </row>
    <row r="162" spans="1:16" x14ac:dyDescent="0.35">
      <c r="A162">
        <v>401419</v>
      </c>
      <c r="B162" t="s">
        <v>25</v>
      </c>
      <c r="C162" t="s">
        <v>140</v>
      </c>
      <c r="D162" t="s">
        <v>272</v>
      </c>
      <c r="E162" t="s">
        <v>696</v>
      </c>
      <c r="F162" t="s">
        <v>187</v>
      </c>
      <c r="G162" s="1">
        <v>45737</v>
      </c>
      <c r="H162" s="1">
        <v>45737</v>
      </c>
      <c r="I162" s="2">
        <v>3080</v>
      </c>
      <c r="J162" t="s">
        <v>779</v>
      </c>
      <c r="K162" t="s">
        <v>800</v>
      </c>
      <c r="L162" t="s">
        <v>823</v>
      </c>
      <c r="M162" t="s">
        <v>830</v>
      </c>
      <c r="N162" t="str">
        <f t="shared" si="6"/>
        <v>T-1</v>
      </c>
      <c r="O162">
        <f t="shared" si="7"/>
        <v>2025</v>
      </c>
      <c r="P162" t="str">
        <f t="shared" si="8"/>
        <v>3. marzo</v>
      </c>
    </row>
    <row r="163" spans="1:16" x14ac:dyDescent="0.35">
      <c r="A163">
        <v>717633</v>
      </c>
      <c r="B163" t="s">
        <v>14</v>
      </c>
      <c r="C163" t="s">
        <v>137</v>
      </c>
      <c r="D163" t="s">
        <v>240</v>
      </c>
      <c r="E163" t="s">
        <v>681</v>
      </c>
      <c r="F163" t="s">
        <v>187</v>
      </c>
      <c r="G163" s="1">
        <v>45737</v>
      </c>
      <c r="H163" s="1">
        <v>45737</v>
      </c>
      <c r="I163" s="2">
        <v>2511.64</v>
      </c>
      <c r="J163" t="s">
        <v>779</v>
      </c>
      <c r="K163" t="s">
        <v>785</v>
      </c>
      <c r="L163" t="s">
        <v>823</v>
      </c>
      <c r="M163" t="s">
        <v>828</v>
      </c>
      <c r="N163" t="str">
        <f t="shared" si="6"/>
        <v>T-1</v>
      </c>
      <c r="O163">
        <f t="shared" si="7"/>
        <v>2025</v>
      </c>
      <c r="P163" t="str">
        <f t="shared" si="8"/>
        <v>3. marzo</v>
      </c>
    </row>
    <row r="164" spans="1:16" x14ac:dyDescent="0.35">
      <c r="A164">
        <v>466233</v>
      </c>
      <c r="B164" t="s">
        <v>8</v>
      </c>
      <c r="C164" t="s">
        <v>138</v>
      </c>
      <c r="D164" t="s">
        <v>162</v>
      </c>
      <c r="E164" t="s">
        <v>659</v>
      </c>
      <c r="F164" t="s">
        <v>773</v>
      </c>
      <c r="G164" s="1">
        <v>45960</v>
      </c>
      <c r="H164" s="1">
        <v>45960</v>
      </c>
      <c r="I164" s="2">
        <v>5700</v>
      </c>
      <c r="J164" t="s">
        <v>774</v>
      </c>
      <c r="K164" t="s">
        <v>800</v>
      </c>
      <c r="L164" t="s">
        <v>823</v>
      </c>
      <c r="M164" t="s">
        <v>830</v>
      </c>
      <c r="N164" t="str">
        <f t="shared" si="6"/>
        <v>T-4</v>
      </c>
      <c r="O164">
        <f t="shared" si="7"/>
        <v>2025</v>
      </c>
      <c r="P164" t="str">
        <f t="shared" si="8"/>
        <v>10. octubre</v>
      </c>
    </row>
    <row r="165" spans="1:16" x14ac:dyDescent="0.35">
      <c r="A165">
        <v>568558</v>
      </c>
      <c r="B165" t="s">
        <v>4</v>
      </c>
      <c r="C165" t="s">
        <v>138</v>
      </c>
      <c r="D165" t="s">
        <v>162</v>
      </c>
      <c r="E165" t="s">
        <v>659</v>
      </c>
      <c r="F165" t="s">
        <v>773</v>
      </c>
      <c r="G165" s="1">
        <v>45960</v>
      </c>
      <c r="H165" s="1">
        <v>45960</v>
      </c>
      <c r="I165" s="2">
        <v>6000</v>
      </c>
      <c r="J165" t="s">
        <v>774</v>
      </c>
      <c r="K165" t="s">
        <v>800</v>
      </c>
      <c r="L165" t="s">
        <v>823</v>
      </c>
      <c r="M165" t="s">
        <v>829</v>
      </c>
      <c r="N165" t="str">
        <f t="shared" si="6"/>
        <v>T-4</v>
      </c>
      <c r="O165">
        <f t="shared" si="7"/>
        <v>2025</v>
      </c>
      <c r="P165" t="str">
        <f t="shared" si="8"/>
        <v>10. octubre</v>
      </c>
    </row>
    <row r="166" spans="1:16" x14ac:dyDescent="0.35">
      <c r="A166">
        <v>454111</v>
      </c>
      <c r="B166" t="s">
        <v>20</v>
      </c>
      <c r="C166" t="s">
        <v>136</v>
      </c>
      <c r="D166" t="s">
        <v>169</v>
      </c>
      <c r="E166" t="s">
        <v>658</v>
      </c>
      <c r="F166" t="s">
        <v>187</v>
      </c>
      <c r="G166" s="1">
        <v>45726</v>
      </c>
      <c r="H166" s="1">
        <v>45729</v>
      </c>
      <c r="I166" s="2">
        <v>312</v>
      </c>
      <c r="J166" t="s">
        <v>776</v>
      </c>
      <c r="K166" t="s">
        <v>800</v>
      </c>
      <c r="L166" t="s">
        <v>823</v>
      </c>
      <c r="M166" t="s">
        <v>830</v>
      </c>
      <c r="N166" t="str">
        <f t="shared" si="6"/>
        <v>T-1</v>
      </c>
      <c r="O166">
        <f t="shared" si="7"/>
        <v>2025</v>
      </c>
      <c r="P166" t="str">
        <f t="shared" si="8"/>
        <v>3. marzo</v>
      </c>
    </row>
    <row r="167" spans="1:16" x14ac:dyDescent="0.35">
      <c r="A167">
        <v>422253</v>
      </c>
      <c r="B167" t="s">
        <v>30</v>
      </c>
      <c r="C167" t="s">
        <v>138</v>
      </c>
      <c r="D167" t="s">
        <v>156</v>
      </c>
      <c r="E167" t="s">
        <v>673</v>
      </c>
      <c r="F167" t="s">
        <v>187</v>
      </c>
      <c r="G167" s="1">
        <v>45737</v>
      </c>
      <c r="H167" s="1">
        <v>45737</v>
      </c>
      <c r="I167" s="2">
        <v>2250</v>
      </c>
      <c r="J167" t="s">
        <v>779</v>
      </c>
      <c r="K167" t="s">
        <v>783</v>
      </c>
      <c r="L167" t="s">
        <v>823</v>
      </c>
      <c r="M167" t="s">
        <v>830</v>
      </c>
      <c r="N167" t="str">
        <f t="shared" si="6"/>
        <v>T-1</v>
      </c>
      <c r="O167">
        <f t="shared" si="7"/>
        <v>2025</v>
      </c>
      <c r="P167" t="str">
        <f t="shared" si="8"/>
        <v>3. marzo</v>
      </c>
    </row>
    <row r="168" spans="1:16" x14ac:dyDescent="0.35">
      <c r="A168">
        <v>408882</v>
      </c>
      <c r="B168" t="s">
        <v>25</v>
      </c>
      <c r="C168" t="s">
        <v>138</v>
      </c>
      <c r="D168" t="s">
        <v>259</v>
      </c>
      <c r="E168" t="s">
        <v>648</v>
      </c>
      <c r="F168" t="s">
        <v>773</v>
      </c>
      <c r="G168" s="1">
        <v>45748</v>
      </c>
      <c r="H168" s="1">
        <v>45953</v>
      </c>
      <c r="I168" s="2">
        <v>1680</v>
      </c>
      <c r="J168" t="s">
        <v>775</v>
      </c>
      <c r="K168" t="s">
        <v>785</v>
      </c>
      <c r="L168" t="s">
        <v>823</v>
      </c>
      <c r="M168" t="s">
        <v>828</v>
      </c>
      <c r="N168" t="str">
        <f t="shared" si="6"/>
        <v>T-2</v>
      </c>
      <c r="O168">
        <f t="shared" si="7"/>
        <v>2025</v>
      </c>
      <c r="P168" t="str">
        <f t="shared" si="8"/>
        <v>4. abril</v>
      </c>
    </row>
    <row r="169" spans="1:16" x14ac:dyDescent="0.35">
      <c r="A169">
        <v>14155</v>
      </c>
      <c r="B169" t="s">
        <v>53</v>
      </c>
      <c r="C169" t="s">
        <v>139</v>
      </c>
      <c r="D169" t="s">
        <v>272</v>
      </c>
      <c r="E169" t="s">
        <v>696</v>
      </c>
      <c r="F169" t="s">
        <v>187</v>
      </c>
      <c r="G169" s="1">
        <v>45723</v>
      </c>
      <c r="H169" s="1">
        <v>45723</v>
      </c>
      <c r="I169" s="2">
        <v>3465</v>
      </c>
      <c r="J169" t="s">
        <v>779</v>
      </c>
      <c r="K169" t="s">
        <v>783</v>
      </c>
      <c r="L169" t="s">
        <v>824</v>
      </c>
      <c r="M169" t="s">
        <v>828</v>
      </c>
      <c r="N169" t="str">
        <f t="shared" si="6"/>
        <v>T-1</v>
      </c>
      <c r="O169">
        <f t="shared" si="7"/>
        <v>2025</v>
      </c>
      <c r="P169" t="str">
        <f t="shared" si="8"/>
        <v>3. marzo</v>
      </c>
    </row>
    <row r="170" spans="1:16" x14ac:dyDescent="0.35">
      <c r="A170">
        <v>332363</v>
      </c>
      <c r="B170" t="s">
        <v>23</v>
      </c>
      <c r="C170" t="s">
        <v>136</v>
      </c>
      <c r="D170" t="s">
        <v>228</v>
      </c>
      <c r="E170" t="s">
        <v>677</v>
      </c>
      <c r="F170" t="s">
        <v>187</v>
      </c>
      <c r="G170" s="1">
        <v>45723</v>
      </c>
      <c r="H170" s="1">
        <v>45723</v>
      </c>
      <c r="I170" s="2">
        <v>1376.55</v>
      </c>
      <c r="J170" t="s">
        <v>779</v>
      </c>
      <c r="K170" t="s">
        <v>783</v>
      </c>
      <c r="L170" t="s">
        <v>823</v>
      </c>
      <c r="M170" t="s">
        <v>830</v>
      </c>
      <c r="N170" t="str">
        <f t="shared" si="6"/>
        <v>T-1</v>
      </c>
      <c r="O170">
        <f t="shared" si="7"/>
        <v>2025</v>
      </c>
      <c r="P170" t="str">
        <f t="shared" si="8"/>
        <v>3. marzo</v>
      </c>
    </row>
    <row r="171" spans="1:16" x14ac:dyDescent="0.35">
      <c r="A171">
        <v>708627</v>
      </c>
      <c r="B171" t="s">
        <v>50</v>
      </c>
      <c r="C171" t="s">
        <v>136</v>
      </c>
      <c r="D171" t="s">
        <v>272</v>
      </c>
      <c r="E171" t="s">
        <v>696</v>
      </c>
      <c r="F171" t="s">
        <v>187</v>
      </c>
      <c r="G171" s="1">
        <v>45716</v>
      </c>
      <c r="H171" s="1">
        <v>45716</v>
      </c>
      <c r="I171" s="2">
        <v>3291.75</v>
      </c>
      <c r="J171" t="s">
        <v>779</v>
      </c>
      <c r="K171" t="s">
        <v>783</v>
      </c>
      <c r="L171" t="s">
        <v>823</v>
      </c>
      <c r="M171" t="s">
        <v>829</v>
      </c>
      <c r="N171" t="str">
        <f t="shared" si="6"/>
        <v>T-1</v>
      </c>
      <c r="O171">
        <f t="shared" si="7"/>
        <v>2025</v>
      </c>
      <c r="P171" t="str">
        <f t="shared" si="8"/>
        <v>2. febrero</v>
      </c>
    </row>
    <row r="172" spans="1:16" x14ac:dyDescent="0.35">
      <c r="A172">
        <v>565338</v>
      </c>
      <c r="B172" t="s">
        <v>20</v>
      </c>
      <c r="C172" t="s">
        <v>136</v>
      </c>
      <c r="D172" t="s">
        <v>272</v>
      </c>
      <c r="E172" t="s">
        <v>696</v>
      </c>
      <c r="F172" t="s">
        <v>187</v>
      </c>
      <c r="G172" s="1">
        <v>45730</v>
      </c>
      <c r="H172" s="1">
        <v>45730</v>
      </c>
      <c r="I172" s="2">
        <v>649.69000000000005</v>
      </c>
      <c r="J172" t="s">
        <v>779</v>
      </c>
      <c r="K172" t="s">
        <v>785</v>
      </c>
      <c r="L172" t="s">
        <v>823</v>
      </c>
      <c r="M172" t="s">
        <v>830</v>
      </c>
      <c r="N172" t="str">
        <f t="shared" si="6"/>
        <v>T-1</v>
      </c>
      <c r="O172">
        <f t="shared" si="7"/>
        <v>2025</v>
      </c>
      <c r="P172" t="str">
        <f t="shared" si="8"/>
        <v>3. marzo</v>
      </c>
    </row>
    <row r="173" spans="1:16" x14ac:dyDescent="0.35">
      <c r="A173">
        <v>360011</v>
      </c>
      <c r="B173" t="s">
        <v>4</v>
      </c>
      <c r="C173" t="s">
        <v>138</v>
      </c>
      <c r="D173" t="s">
        <v>272</v>
      </c>
      <c r="E173" t="s">
        <v>696</v>
      </c>
      <c r="F173" t="s">
        <v>187</v>
      </c>
      <c r="G173" s="1">
        <v>45730</v>
      </c>
      <c r="H173" s="1">
        <v>45730</v>
      </c>
      <c r="I173" s="2">
        <v>2815.31</v>
      </c>
      <c r="J173" t="s">
        <v>779</v>
      </c>
      <c r="K173" t="s">
        <v>800</v>
      </c>
      <c r="L173" t="s">
        <v>823</v>
      </c>
      <c r="M173" t="s">
        <v>830</v>
      </c>
      <c r="N173" t="str">
        <f t="shared" si="6"/>
        <v>T-1</v>
      </c>
      <c r="O173">
        <f t="shared" si="7"/>
        <v>2025</v>
      </c>
      <c r="P173" t="str">
        <f t="shared" si="8"/>
        <v>3. marzo</v>
      </c>
    </row>
    <row r="174" spans="1:16" x14ac:dyDescent="0.35">
      <c r="A174">
        <v>484391</v>
      </c>
      <c r="B174" t="s">
        <v>15</v>
      </c>
      <c r="C174" t="s">
        <v>136</v>
      </c>
      <c r="D174" t="s">
        <v>273</v>
      </c>
      <c r="E174" t="s">
        <v>648</v>
      </c>
      <c r="F174" t="s">
        <v>773</v>
      </c>
      <c r="G174" s="1">
        <v>45734</v>
      </c>
      <c r="H174" s="1">
        <v>46105</v>
      </c>
      <c r="I174" s="2">
        <v>1678.6</v>
      </c>
      <c r="J174" t="s">
        <v>775</v>
      </c>
      <c r="K174" t="s">
        <v>802</v>
      </c>
      <c r="L174" t="s">
        <v>823</v>
      </c>
      <c r="M174" t="s">
        <v>828</v>
      </c>
      <c r="N174" t="str">
        <f t="shared" si="6"/>
        <v>T-1</v>
      </c>
      <c r="O174">
        <f t="shared" si="7"/>
        <v>2025</v>
      </c>
      <c r="P174" t="str">
        <f t="shared" si="8"/>
        <v>3. marzo</v>
      </c>
    </row>
    <row r="175" spans="1:16" x14ac:dyDescent="0.35">
      <c r="A175">
        <v>560086</v>
      </c>
      <c r="B175" t="s">
        <v>4</v>
      </c>
      <c r="C175" t="s">
        <v>140</v>
      </c>
      <c r="D175" t="s">
        <v>273</v>
      </c>
      <c r="E175" t="s">
        <v>648</v>
      </c>
      <c r="F175" t="s">
        <v>773</v>
      </c>
      <c r="G175" s="1">
        <v>45734</v>
      </c>
      <c r="H175" s="1">
        <v>45986</v>
      </c>
      <c r="I175" s="2">
        <v>1144.5</v>
      </c>
      <c r="J175" t="s">
        <v>775</v>
      </c>
      <c r="K175" t="s">
        <v>783</v>
      </c>
      <c r="L175" t="s">
        <v>824</v>
      </c>
      <c r="M175" t="s">
        <v>828</v>
      </c>
      <c r="N175" t="str">
        <f t="shared" si="6"/>
        <v>T-1</v>
      </c>
      <c r="O175">
        <f t="shared" si="7"/>
        <v>2025</v>
      </c>
      <c r="P175" t="str">
        <f t="shared" si="8"/>
        <v>3. marzo</v>
      </c>
    </row>
    <row r="176" spans="1:16" x14ac:dyDescent="0.35">
      <c r="A176">
        <v>714586</v>
      </c>
      <c r="B176" t="s">
        <v>15</v>
      </c>
      <c r="C176" t="s">
        <v>136</v>
      </c>
      <c r="D176" t="s">
        <v>273</v>
      </c>
      <c r="E176" t="s">
        <v>648</v>
      </c>
      <c r="F176" t="s">
        <v>773</v>
      </c>
      <c r="G176" s="1">
        <v>45734</v>
      </c>
      <c r="H176" s="1">
        <v>45986</v>
      </c>
      <c r="I176" s="2">
        <v>1144.5</v>
      </c>
      <c r="J176" t="s">
        <v>775</v>
      </c>
      <c r="K176" t="s">
        <v>783</v>
      </c>
      <c r="L176" t="s">
        <v>823</v>
      </c>
      <c r="M176" t="s">
        <v>829</v>
      </c>
      <c r="N176" t="str">
        <f t="shared" si="6"/>
        <v>T-1</v>
      </c>
      <c r="O176">
        <f t="shared" si="7"/>
        <v>2025</v>
      </c>
      <c r="P176" t="str">
        <f t="shared" si="8"/>
        <v>3. marzo</v>
      </c>
    </row>
    <row r="177" spans="1:16" x14ac:dyDescent="0.35">
      <c r="A177">
        <v>723987</v>
      </c>
      <c r="B177" t="s">
        <v>2</v>
      </c>
      <c r="C177" t="s">
        <v>138</v>
      </c>
      <c r="D177" t="s">
        <v>274</v>
      </c>
      <c r="E177" t="s">
        <v>647</v>
      </c>
      <c r="F177" t="s">
        <v>187</v>
      </c>
      <c r="G177" s="1">
        <v>45726</v>
      </c>
      <c r="H177" s="1">
        <v>45729</v>
      </c>
      <c r="I177" s="2">
        <v>460</v>
      </c>
      <c r="J177" t="s">
        <v>776</v>
      </c>
      <c r="K177" t="s">
        <v>800</v>
      </c>
      <c r="L177" t="s">
        <v>823</v>
      </c>
      <c r="M177" t="s">
        <v>830</v>
      </c>
      <c r="N177" t="str">
        <f t="shared" si="6"/>
        <v>T-1</v>
      </c>
      <c r="O177">
        <f t="shared" si="7"/>
        <v>2025</v>
      </c>
      <c r="P177" t="str">
        <f t="shared" si="8"/>
        <v>3. marzo</v>
      </c>
    </row>
    <row r="178" spans="1:16" x14ac:dyDescent="0.35">
      <c r="A178">
        <v>701494</v>
      </c>
      <c r="B178" t="s">
        <v>2</v>
      </c>
      <c r="C178" t="s">
        <v>139</v>
      </c>
      <c r="D178" t="s">
        <v>274</v>
      </c>
      <c r="E178" t="s">
        <v>647</v>
      </c>
      <c r="F178" t="s">
        <v>187</v>
      </c>
      <c r="G178" s="1">
        <v>45726</v>
      </c>
      <c r="H178" s="1">
        <v>45729</v>
      </c>
      <c r="I178" s="2">
        <v>460</v>
      </c>
      <c r="J178" t="s">
        <v>776</v>
      </c>
      <c r="K178" t="s">
        <v>800</v>
      </c>
      <c r="L178" t="s">
        <v>823</v>
      </c>
      <c r="M178" t="s">
        <v>830</v>
      </c>
      <c r="N178" t="str">
        <f t="shared" si="6"/>
        <v>T-1</v>
      </c>
      <c r="O178">
        <f t="shared" si="7"/>
        <v>2025</v>
      </c>
      <c r="P178" t="str">
        <f t="shared" si="8"/>
        <v>3. marzo</v>
      </c>
    </row>
    <row r="179" spans="1:16" x14ac:dyDescent="0.35">
      <c r="A179">
        <v>700581</v>
      </c>
      <c r="B179" t="s">
        <v>54</v>
      </c>
      <c r="C179" t="s">
        <v>136</v>
      </c>
      <c r="D179" t="s">
        <v>275</v>
      </c>
      <c r="E179" t="s">
        <v>647</v>
      </c>
      <c r="F179" t="s">
        <v>187</v>
      </c>
      <c r="G179" s="1">
        <v>45726</v>
      </c>
      <c r="H179" s="1">
        <v>45735</v>
      </c>
      <c r="I179" s="2">
        <v>920</v>
      </c>
      <c r="J179" t="s">
        <v>776</v>
      </c>
      <c r="K179" t="s">
        <v>783</v>
      </c>
      <c r="L179" t="s">
        <v>823</v>
      </c>
      <c r="M179" t="s">
        <v>828</v>
      </c>
      <c r="N179" t="str">
        <f t="shared" si="6"/>
        <v>T-1</v>
      </c>
      <c r="O179">
        <f t="shared" si="7"/>
        <v>2025</v>
      </c>
      <c r="P179" t="str">
        <f t="shared" si="8"/>
        <v>3. marzo</v>
      </c>
    </row>
    <row r="180" spans="1:16" x14ac:dyDescent="0.35">
      <c r="A180">
        <v>419508</v>
      </c>
      <c r="B180" t="s">
        <v>23</v>
      </c>
      <c r="C180" t="s">
        <v>141</v>
      </c>
      <c r="D180" t="s">
        <v>275</v>
      </c>
      <c r="E180" t="s">
        <v>647</v>
      </c>
      <c r="F180" t="s">
        <v>187</v>
      </c>
      <c r="G180" s="1">
        <v>45726</v>
      </c>
      <c r="H180" s="1">
        <v>45735</v>
      </c>
      <c r="I180" s="2">
        <v>920</v>
      </c>
      <c r="J180" t="s">
        <v>776</v>
      </c>
      <c r="K180" t="s">
        <v>785</v>
      </c>
      <c r="L180" t="s">
        <v>823</v>
      </c>
      <c r="M180" t="s">
        <v>830</v>
      </c>
      <c r="N180" t="str">
        <f t="shared" si="6"/>
        <v>T-1</v>
      </c>
      <c r="O180">
        <f t="shared" si="7"/>
        <v>2025</v>
      </c>
      <c r="P180" t="str">
        <f t="shared" si="8"/>
        <v>3. marzo</v>
      </c>
    </row>
    <row r="181" spans="1:16" x14ac:dyDescent="0.35">
      <c r="A181">
        <v>472959</v>
      </c>
      <c r="B181" t="s">
        <v>25</v>
      </c>
      <c r="C181" t="s">
        <v>139</v>
      </c>
      <c r="D181" t="s">
        <v>276</v>
      </c>
      <c r="E181" t="s">
        <v>697</v>
      </c>
      <c r="F181" t="s">
        <v>187</v>
      </c>
      <c r="G181" s="1">
        <v>45747</v>
      </c>
      <c r="H181" s="1">
        <v>45901</v>
      </c>
      <c r="I181" s="2">
        <v>2950</v>
      </c>
      <c r="J181" t="s">
        <v>776</v>
      </c>
      <c r="K181" t="s">
        <v>800</v>
      </c>
      <c r="L181" t="s">
        <v>823</v>
      </c>
      <c r="M181" t="s">
        <v>829</v>
      </c>
      <c r="N181" t="str">
        <f t="shared" si="6"/>
        <v>T-1</v>
      </c>
      <c r="O181">
        <f t="shared" si="7"/>
        <v>2025</v>
      </c>
      <c r="P181" t="str">
        <f t="shared" si="8"/>
        <v>3. marzo</v>
      </c>
    </row>
    <row r="182" spans="1:16" x14ac:dyDescent="0.35">
      <c r="A182">
        <v>712663</v>
      </c>
      <c r="B182" t="s">
        <v>46</v>
      </c>
      <c r="C182" t="s">
        <v>137</v>
      </c>
      <c r="D182" t="s">
        <v>160</v>
      </c>
      <c r="E182" t="s">
        <v>654</v>
      </c>
      <c r="F182" t="s">
        <v>187</v>
      </c>
      <c r="G182" s="1">
        <v>45734</v>
      </c>
      <c r="H182" s="1">
        <v>45734</v>
      </c>
      <c r="I182" s="2">
        <v>308</v>
      </c>
      <c r="J182" t="s">
        <v>777</v>
      </c>
      <c r="K182" t="s">
        <v>800</v>
      </c>
      <c r="L182" t="s">
        <v>824</v>
      </c>
      <c r="M182" t="s">
        <v>830</v>
      </c>
      <c r="N182" t="str">
        <f t="shared" si="6"/>
        <v>T-1</v>
      </c>
      <c r="O182">
        <f t="shared" si="7"/>
        <v>2025</v>
      </c>
      <c r="P182" t="str">
        <f t="shared" si="8"/>
        <v>3. marzo</v>
      </c>
    </row>
    <row r="183" spans="1:16" x14ac:dyDescent="0.35">
      <c r="A183">
        <v>716758</v>
      </c>
      <c r="B183" t="s">
        <v>24</v>
      </c>
      <c r="C183" t="s">
        <v>138</v>
      </c>
      <c r="D183" t="s">
        <v>228</v>
      </c>
      <c r="E183" t="s">
        <v>677</v>
      </c>
      <c r="F183" t="s">
        <v>187</v>
      </c>
      <c r="G183" s="1">
        <v>45716</v>
      </c>
      <c r="H183" s="1">
        <v>45716</v>
      </c>
      <c r="I183" s="2">
        <v>1376.55</v>
      </c>
      <c r="J183" t="s">
        <v>779</v>
      </c>
      <c r="K183" t="s">
        <v>800</v>
      </c>
      <c r="L183" t="s">
        <v>823</v>
      </c>
      <c r="M183" t="s">
        <v>830</v>
      </c>
      <c r="N183" t="str">
        <f t="shared" si="6"/>
        <v>T-1</v>
      </c>
      <c r="O183">
        <f t="shared" si="7"/>
        <v>2025</v>
      </c>
      <c r="P183" t="str">
        <f t="shared" si="8"/>
        <v>2. febrero</v>
      </c>
    </row>
    <row r="184" spans="1:16" x14ac:dyDescent="0.35">
      <c r="A184">
        <v>719057</v>
      </c>
      <c r="B184" t="s">
        <v>34</v>
      </c>
      <c r="C184" t="s">
        <v>138</v>
      </c>
      <c r="D184" t="s">
        <v>161</v>
      </c>
      <c r="E184" t="s">
        <v>679</v>
      </c>
      <c r="F184" t="s">
        <v>187</v>
      </c>
      <c r="G184" s="1">
        <v>45744</v>
      </c>
      <c r="H184" s="1">
        <v>45744</v>
      </c>
      <c r="I184" s="2">
        <v>4038.5</v>
      </c>
      <c r="J184" t="s">
        <v>779</v>
      </c>
      <c r="K184" t="s">
        <v>800</v>
      </c>
      <c r="L184" t="s">
        <v>823</v>
      </c>
      <c r="M184" t="s">
        <v>828</v>
      </c>
      <c r="N184" t="str">
        <f t="shared" si="6"/>
        <v>T-1</v>
      </c>
      <c r="O184">
        <f t="shared" si="7"/>
        <v>2025</v>
      </c>
      <c r="P184" t="str">
        <f t="shared" si="8"/>
        <v>3. marzo</v>
      </c>
    </row>
    <row r="185" spans="1:16" x14ac:dyDescent="0.35">
      <c r="A185">
        <v>362032</v>
      </c>
      <c r="B185" t="s">
        <v>5</v>
      </c>
      <c r="C185" t="s">
        <v>138</v>
      </c>
      <c r="D185" t="s">
        <v>246</v>
      </c>
      <c r="E185" t="s">
        <v>652</v>
      </c>
      <c r="F185" t="s">
        <v>187</v>
      </c>
      <c r="G185" s="1">
        <v>45740</v>
      </c>
      <c r="H185" s="1">
        <v>45740</v>
      </c>
      <c r="I185" s="2">
        <v>1092</v>
      </c>
      <c r="J185" t="s">
        <v>774</v>
      </c>
      <c r="K185" t="s">
        <v>788</v>
      </c>
      <c r="L185" t="s">
        <v>823</v>
      </c>
      <c r="M185" t="s">
        <v>828</v>
      </c>
      <c r="N185" t="str">
        <f t="shared" si="6"/>
        <v>T-1</v>
      </c>
      <c r="O185">
        <f t="shared" si="7"/>
        <v>2025</v>
      </c>
      <c r="P185" t="str">
        <f t="shared" si="8"/>
        <v>3. marzo</v>
      </c>
    </row>
    <row r="186" spans="1:16" x14ac:dyDescent="0.35">
      <c r="A186">
        <v>560543</v>
      </c>
      <c r="B186" t="s">
        <v>5</v>
      </c>
      <c r="C186" t="s">
        <v>138</v>
      </c>
      <c r="D186" t="s">
        <v>246</v>
      </c>
      <c r="E186" t="s">
        <v>652</v>
      </c>
      <c r="F186" t="s">
        <v>187</v>
      </c>
      <c r="G186" s="1">
        <v>45740</v>
      </c>
      <c r="H186" s="1">
        <v>45740</v>
      </c>
      <c r="I186" s="2">
        <v>468</v>
      </c>
      <c r="J186" t="s">
        <v>774</v>
      </c>
      <c r="K186" t="s">
        <v>783</v>
      </c>
      <c r="L186" t="s">
        <v>823</v>
      </c>
      <c r="M186" t="s">
        <v>830</v>
      </c>
      <c r="N186" t="str">
        <f t="shared" si="6"/>
        <v>T-1</v>
      </c>
      <c r="O186">
        <f t="shared" si="7"/>
        <v>2025</v>
      </c>
      <c r="P186" t="str">
        <f t="shared" si="8"/>
        <v>3. marzo</v>
      </c>
    </row>
    <row r="187" spans="1:16" x14ac:dyDescent="0.35">
      <c r="A187">
        <v>471126</v>
      </c>
      <c r="B187" t="s">
        <v>5</v>
      </c>
      <c r="C187" t="s">
        <v>138</v>
      </c>
      <c r="D187" t="s">
        <v>277</v>
      </c>
      <c r="E187" t="s">
        <v>652</v>
      </c>
      <c r="F187" t="s">
        <v>187</v>
      </c>
      <c r="G187" s="1">
        <v>45741</v>
      </c>
      <c r="H187" s="1">
        <v>45744</v>
      </c>
      <c r="I187" s="2">
        <v>624</v>
      </c>
      <c r="J187" t="s">
        <v>774</v>
      </c>
      <c r="K187" t="s">
        <v>800</v>
      </c>
      <c r="L187" t="s">
        <v>823</v>
      </c>
      <c r="M187" t="s">
        <v>829</v>
      </c>
      <c r="N187" t="str">
        <f t="shared" si="6"/>
        <v>T-1</v>
      </c>
      <c r="O187">
        <f t="shared" si="7"/>
        <v>2025</v>
      </c>
      <c r="P187" t="str">
        <f t="shared" si="8"/>
        <v>3. marzo</v>
      </c>
    </row>
    <row r="188" spans="1:16" x14ac:dyDescent="0.35">
      <c r="A188">
        <v>722950</v>
      </c>
      <c r="B188" t="s">
        <v>11</v>
      </c>
      <c r="C188" t="s">
        <v>139</v>
      </c>
      <c r="D188" t="s">
        <v>277</v>
      </c>
      <c r="E188" t="s">
        <v>652</v>
      </c>
      <c r="F188" t="s">
        <v>187</v>
      </c>
      <c r="G188" s="1">
        <v>45741</v>
      </c>
      <c r="H188" s="1">
        <v>45744</v>
      </c>
      <c r="I188" s="2">
        <v>2184</v>
      </c>
      <c r="J188" t="s">
        <v>774</v>
      </c>
      <c r="K188" t="s">
        <v>783</v>
      </c>
      <c r="L188" t="s">
        <v>823</v>
      </c>
      <c r="M188" t="s">
        <v>830</v>
      </c>
      <c r="N188" t="str">
        <f t="shared" si="6"/>
        <v>T-1</v>
      </c>
      <c r="O188">
        <f t="shared" si="7"/>
        <v>2025</v>
      </c>
      <c r="P188" t="str">
        <f t="shared" si="8"/>
        <v>3. marzo</v>
      </c>
    </row>
    <row r="189" spans="1:16" x14ac:dyDescent="0.35">
      <c r="A189">
        <v>709189</v>
      </c>
      <c r="B189" t="s">
        <v>55</v>
      </c>
      <c r="C189" t="s">
        <v>141</v>
      </c>
      <c r="D189" t="s">
        <v>278</v>
      </c>
      <c r="E189" t="s">
        <v>652</v>
      </c>
      <c r="F189" t="s">
        <v>187</v>
      </c>
      <c r="G189" s="1">
        <v>45741</v>
      </c>
      <c r="H189" s="1">
        <v>45744</v>
      </c>
      <c r="I189" s="2">
        <v>312</v>
      </c>
      <c r="J189" t="s">
        <v>774</v>
      </c>
      <c r="K189" t="s">
        <v>783</v>
      </c>
      <c r="L189" t="s">
        <v>823</v>
      </c>
      <c r="M189" t="s">
        <v>830</v>
      </c>
      <c r="N189" t="str">
        <f t="shared" si="6"/>
        <v>T-1</v>
      </c>
      <c r="O189">
        <f t="shared" si="7"/>
        <v>2025</v>
      </c>
      <c r="P189" t="str">
        <f t="shared" si="8"/>
        <v>3. marzo</v>
      </c>
    </row>
    <row r="190" spans="1:16" x14ac:dyDescent="0.35">
      <c r="A190">
        <v>589289</v>
      </c>
      <c r="B190" t="s">
        <v>27</v>
      </c>
      <c r="C190" t="s">
        <v>138</v>
      </c>
      <c r="D190" t="s">
        <v>278</v>
      </c>
      <c r="E190" t="s">
        <v>652</v>
      </c>
      <c r="F190" t="s">
        <v>187</v>
      </c>
      <c r="G190" s="1">
        <v>45741</v>
      </c>
      <c r="H190" s="1">
        <v>45744</v>
      </c>
      <c r="I190" s="2">
        <v>2808</v>
      </c>
      <c r="J190" t="s">
        <v>774</v>
      </c>
      <c r="K190" t="s">
        <v>785</v>
      </c>
      <c r="L190" t="s">
        <v>824</v>
      </c>
      <c r="M190" t="s">
        <v>828</v>
      </c>
      <c r="N190" t="str">
        <f t="shared" si="6"/>
        <v>T-1</v>
      </c>
      <c r="O190">
        <f t="shared" si="7"/>
        <v>2025</v>
      </c>
      <c r="P190" t="str">
        <f t="shared" si="8"/>
        <v>3. marzo</v>
      </c>
    </row>
    <row r="191" spans="1:16" x14ac:dyDescent="0.35">
      <c r="A191">
        <v>609313</v>
      </c>
      <c r="B191" t="s">
        <v>13</v>
      </c>
      <c r="C191" t="s">
        <v>138</v>
      </c>
      <c r="D191" t="s">
        <v>279</v>
      </c>
      <c r="E191" t="s">
        <v>652</v>
      </c>
      <c r="F191" t="s">
        <v>187</v>
      </c>
      <c r="G191" s="1">
        <v>45740</v>
      </c>
      <c r="H191" s="1">
        <v>45743</v>
      </c>
      <c r="I191" s="2">
        <v>780</v>
      </c>
      <c r="J191" t="s">
        <v>774</v>
      </c>
      <c r="K191" t="s">
        <v>800</v>
      </c>
      <c r="L191" t="s">
        <v>823</v>
      </c>
      <c r="M191" t="s">
        <v>828</v>
      </c>
      <c r="N191" t="str">
        <f t="shared" si="6"/>
        <v>T-1</v>
      </c>
      <c r="O191">
        <f t="shared" si="7"/>
        <v>2025</v>
      </c>
      <c r="P191" t="str">
        <f t="shared" si="8"/>
        <v>3. marzo</v>
      </c>
    </row>
    <row r="192" spans="1:16" x14ac:dyDescent="0.35">
      <c r="A192">
        <v>713125</v>
      </c>
      <c r="B192" t="s">
        <v>4</v>
      </c>
      <c r="C192" t="s">
        <v>136</v>
      </c>
      <c r="D192" t="s">
        <v>279</v>
      </c>
      <c r="E192" t="s">
        <v>652</v>
      </c>
      <c r="F192" t="s">
        <v>187</v>
      </c>
      <c r="G192" s="1">
        <v>45740</v>
      </c>
      <c r="H192" s="1">
        <v>45743</v>
      </c>
      <c r="I192" s="2">
        <v>2730</v>
      </c>
      <c r="J192" t="s">
        <v>774</v>
      </c>
      <c r="K192" t="s">
        <v>785</v>
      </c>
      <c r="L192" t="s">
        <v>823</v>
      </c>
      <c r="M192" t="s">
        <v>829</v>
      </c>
      <c r="N192" t="str">
        <f t="shared" si="6"/>
        <v>T-1</v>
      </c>
      <c r="O192">
        <f t="shared" si="7"/>
        <v>2025</v>
      </c>
      <c r="P192" t="str">
        <f t="shared" si="8"/>
        <v>3. marzo</v>
      </c>
    </row>
    <row r="193" spans="1:16" x14ac:dyDescent="0.35">
      <c r="A193">
        <v>446421</v>
      </c>
      <c r="B193" t="s">
        <v>2</v>
      </c>
      <c r="C193" t="s">
        <v>138</v>
      </c>
      <c r="D193" t="s">
        <v>281</v>
      </c>
      <c r="E193" t="s">
        <v>677</v>
      </c>
      <c r="F193" t="s">
        <v>187</v>
      </c>
      <c r="G193" s="1">
        <v>45743</v>
      </c>
      <c r="H193" s="1">
        <v>45743</v>
      </c>
      <c r="I193" s="2">
        <v>1396.5</v>
      </c>
      <c r="J193" t="s">
        <v>779</v>
      </c>
      <c r="K193" t="s">
        <v>800</v>
      </c>
      <c r="L193" t="s">
        <v>823</v>
      </c>
      <c r="M193" t="s">
        <v>830</v>
      </c>
      <c r="N193" t="str">
        <f t="shared" si="6"/>
        <v>T-1</v>
      </c>
      <c r="O193">
        <f t="shared" si="7"/>
        <v>2025</v>
      </c>
      <c r="P193" t="str">
        <f t="shared" si="8"/>
        <v>3. marzo</v>
      </c>
    </row>
    <row r="194" spans="1:16" x14ac:dyDescent="0.35">
      <c r="A194">
        <v>711703</v>
      </c>
      <c r="B194" t="s">
        <v>23</v>
      </c>
      <c r="C194" t="s">
        <v>138</v>
      </c>
      <c r="D194" t="s">
        <v>282</v>
      </c>
      <c r="E194" t="s">
        <v>698</v>
      </c>
      <c r="F194" t="s">
        <v>187</v>
      </c>
      <c r="G194" s="1">
        <v>45849</v>
      </c>
      <c r="H194" s="1">
        <v>45852</v>
      </c>
      <c r="I194" s="2">
        <v>1276.5</v>
      </c>
      <c r="J194" t="s">
        <v>774</v>
      </c>
      <c r="K194" t="s">
        <v>787</v>
      </c>
      <c r="L194" t="s">
        <v>823</v>
      </c>
      <c r="M194" t="s">
        <v>830</v>
      </c>
      <c r="N194" t="str">
        <f t="shared" si="6"/>
        <v>T-3</v>
      </c>
      <c r="O194">
        <f t="shared" si="7"/>
        <v>2025</v>
      </c>
      <c r="P194" t="str">
        <f t="shared" si="8"/>
        <v>7. julio</v>
      </c>
    </row>
    <row r="195" spans="1:16" x14ac:dyDescent="0.35">
      <c r="A195">
        <v>720827</v>
      </c>
      <c r="B195" t="s">
        <v>20</v>
      </c>
      <c r="C195" t="s">
        <v>136</v>
      </c>
      <c r="D195" t="s">
        <v>174</v>
      </c>
      <c r="E195" t="s">
        <v>699</v>
      </c>
      <c r="F195" t="s">
        <v>187</v>
      </c>
      <c r="G195" s="1">
        <v>45755</v>
      </c>
      <c r="H195" s="1">
        <v>45761</v>
      </c>
      <c r="I195" s="2">
        <v>5355</v>
      </c>
      <c r="J195" t="s">
        <v>774</v>
      </c>
      <c r="K195" t="s">
        <v>783</v>
      </c>
      <c r="L195" t="s">
        <v>823</v>
      </c>
      <c r="M195" t="s">
        <v>828</v>
      </c>
      <c r="N195" t="str">
        <f t="shared" ref="N195:N258" si="9">"T-" &amp; ROUNDUP((MONTH(G195)/3), 0)</f>
        <v>T-2</v>
      </c>
      <c r="O195">
        <f t="shared" ref="O195:O258" si="10">YEAR(G195)</f>
        <v>2025</v>
      </c>
      <c r="P195" t="str">
        <f t="shared" ref="P195:P258" si="11">MONTH(G195) &amp; ". " &amp; TEXT(G195, "MMMM")</f>
        <v>4. abril</v>
      </c>
    </row>
    <row r="196" spans="1:16" x14ac:dyDescent="0.35">
      <c r="A196">
        <v>710410</v>
      </c>
      <c r="B196" t="s">
        <v>24</v>
      </c>
      <c r="C196" t="s">
        <v>138</v>
      </c>
      <c r="D196" t="s">
        <v>283</v>
      </c>
      <c r="E196" t="s">
        <v>678</v>
      </c>
      <c r="F196" t="s">
        <v>187</v>
      </c>
      <c r="G196" s="1">
        <v>45775</v>
      </c>
      <c r="H196" s="1">
        <v>45777</v>
      </c>
      <c r="I196" s="2">
        <v>1725</v>
      </c>
      <c r="J196" t="s">
        <v>776</v>
      </c>
      <c r="K196" t="s">
        <v>783</v>
      </c>
      <c r="L196" t="s">
        <v>824</v>
      </c>
      <c r="M196" t="s">
        <v>830</v>
      </c>
      <c r="N196" t="str">
        <f t="shared" si="9"/>
        <v>T-2</v>
      </c>
      <c r="O196">
        <f t="shared" si="10"/>
        <v>2025</v>
      </c>
      <c r="P196" t="str">
        <f t="shared" si="11"/>
        <v>4. abril</v>
      </c>
    </row>
    <row r="197" spans="1:16" x14ac:dyDescent="0.35">
      <c r="A197">
        <v>471060</v>
      </c>
      <c r="B197" t="s">
        <v>56</v>
      </c>
      <c r="C197" t="s">
        <v>138</v>
      </c>
      <c r="D197" t="s">
        <v>284</v>
      </c>
      <c r="E197" t="s">
        <v>700</v>
      </c>
      <c r="F197" t="s">
        <v>187</v>
      </c>
      <c r="G197" s="1">
        <v>45810</v>
      </c>
      <c r="H197" s="1">
        <v>45818</v>
      </c>
      <c r="I197" s="2">
        <v>900</v>
      </c>
      <c r="J197" t="s">
        <v>774</v>
      </c>
      <c r="K197" t="s">
        <v>783</v>
      </c>
      <c r="L197" t="s">
        <v>823</v>
      </c>
      <c r="M197" t="s">
        <v>829</v>
      </c>
      <c r="N197" t="str">
        <f t="shared" si="9"/>
        <v>T-2</v>
      </c>
      <c r="O197">
        <f t="shared" si="10"/>
        <v>2025</v>
      </c>
      <c r="P197" t="str">
        <f t="shared" si="11"/>
        <v>6. junio</v>
      </c>
    </row>
    <row r="198" spans="1:16" x14ac:dyDescent="0.35">
      <c r="A198">
        <v>711694</v>
      </c>
      <c r="B198" t="s">
        <v>57</v>
      </c>
      <c r="C198" t="s">
        <v>139</v>
      </c>
      <c r="D198" t="s">
        <v>285</v>
      </c>
      <c r="E198" t="s">
        <v>700</v>
      </c>
      <c r="F198" t="s">
        <v>187</v>
      </c>
      <c r="G198" s="1">
        <v>45782</v>
      </c>
      <c r="H198" s="1">
        <v>45818</v>
      </c>
      <c r="I198" s="2">
        <v>1650</v>
      </c>
      <c r="J198" t="s">
        <v>774</v>
      </c>
      <c r="K198" t="s">
        <v>803</v>
      </c>
      <c r="L198" t="s">
        <v>823</v>
      </c>
      <c r="M198" t="s">
        <v>830</v>
      </c>
      <c r="N198" t="str">
        <f t="shared" si="9"/>
        <v>T-2</v>
      </c>
      <c r="O198">
        <f t="shared" si="10"/>
        <v>2025</v>
      </c>
      <c r="P198" t="str">
        <f t="shared" si="11"/>
        <v>5. mayo</v>
      </c>
    </row>
    <row r="199" spans="1:16" x14ac:dyDescent="0.35">
      <c r="A199">
        <v>750020</v>
      </c>
      <c r="B199" t="s">
        <v>58</v>
      </c>
      <c r="C199" t="s">
        <v>138</v>
      </c>
      <c r="D199" t="s">
        <v>195</v>
      </c>
      <c r="E199" t="s">
        <v>654</v>
      </c>
      <c r="F199" t="s">
        <v>187</v>
      </c>
      <c r="G199" s="1">
        <v>45714</v>
      </c>
      <c r="H199" s="1">
        <v>45714</v>
      </c>
      <c r="I199" s="2">
        <v>952</v>
      </c>
      <c r="J199" t="s">
        <v>777</v>
      </c>
      <c r="K199" t="s">
        <v>804</v>
      </c>
      <c r="L199" t="s">
        <v>823</v>
      </c>
      <c r="M199" t="s">
        <v>830</v>
      </c>
      <c r="N199" t="str">
        <f t="shared" si="9"/>
        <v>T-1</v>
      </c>
      <c r="O199">
        <f t="shared" si="10"/>
        <v>2025</v>
      </c>
      <c r="P199" t="str">
        <f t="shared" si="11"/>
        <v>2. febrero</v>
      </c>
    </row>
    <row r="200" spans="1:16" x14ac:dyDescent="0.35">
      <c r="A200">
        <v>751830</v>
      </c>
      <c r="B200" t="s">
        <v>31</v>
      </c>
      <c r="C200" t="s">
        <v>138</v>
      </c>
      <c r="D200" t="s">
        <v>161</v>
      </c>
      <c r="E200" t="s">
        <v>679</v>
      </c>
      <c r="F200" t="s">
        <v>187</v>
      </c>
      <c r="G200" s="1">
        <v>45749</v>
      </c>
      <c r="H200" s="1">
        <v>45749</v>
      </c>
      <c r="I200" s="2">
        <v>2100</v>
      </c>
      <c r="J200" t="s">
        <v>779</v>
      </c>
      <c r="K200" t="s">
        <v>789</v>
      </c>
      <c r="L200" t="s">
        <v>823</v>
      </c>
      <c r="M200" t="s">
        <v>828</v>
      </c>
      <c r="N200" t="str">
        <f t="shared" si="9"/>
        <v>T-2</v>
      </c>
      <c r="O200">
        <f t="shared" si="10"/>
        <v>2025</v>
      </c>
      <c r="P200" t="str">
        <f t="shared" si="11"/>
        <v>4. abril</v>
      </c>
    </row>
    <row r="201" spans="1:16" x14ac:dyDescent="0.35">
      <c r="A201">
        <v>752172</v>
      </c>
      <c r="B201" t="s">
        <v>31</v>
      </c>
      <c r="C201" t="s">
        <v>138</v>
      </c>
      <c r="D201" t="s">
        <v>156</v>
      </c>
      <c r="E201" t="s">
        <v>673</v>
      </c>
      <c r="F201" t="s">
        <v>187</v>
      </c>
      <c r="G201" s="1">
        <v>45744</v>
      </c>
      <c r="H201" s="1">
        <v>45744</v>
      </c>
      <c r="I201" s="2">
        <v>2375</v>
      </c>
      <c r="J201" t="s">
        <v>779</v>
      </c>
      <c r="K201" t="s">
        <v>783</v>
      </c>
      <c r="L201" t="s">
        <v>823</v>
      </c>
      <c r="M201" t="s">
        <v>828</v>
      </c>
      <c r="N201" t="str">
        <f t="shared" si="9"/>
        <v>T-1</v>
      </c>
      <c r="O201">
        <f t="shared" si="10"/>
        <v>2025</v>
      </c>
      <c r="P201" t="str">
        <f t="shared" si="11"/>
        <v>3. marzo</v>
      </c>
    </row>
    <row r="202" spans="1:16" x14ac:dyDescent="0.35">
      <c r="A202">
        <v>720156</v>
      </c>
      <c r="B202" t="s">
        <v>25</v>
      </c>
      <c r="C202" t="s">
        <v>138</v>
      </c>
      <c r="D202" t="s">
        <v>286</v>
      </c>
      <c r="E202" t="s">
        <v>652</v>
      </c>
      <c r="F202" t="s">
        <v>187</v>
      </c>
      <c r="G202" s="1">
        <v>45749</v>
      </c>
      <c r="H202" s="1">
        <v>45749</v>
      </c>
      <c r="I202" s="2">
        <v>312</v>
      </c>
      <c r="J202" t="s">
        <v>774</v>
      </c>
      <c r="K202" t="s">
        <v>800</v>
      </c>
      <c r="L202" t="s">
        <v>823</v>
      </c>
      <c r="M202" t="s">
        <v>830</v>
      </c>
      <c r="N202" t="str">
        <f t="shared" si="9"/>
        <v>T-2</v>
      </c>
      <c r="O202">
        <f t="shared" si="10"/>
        <v>2025</v>
      </c>
      <c r="P202" t="str">
        <f t="shared" si="11"/>
        <v>4. abril</v>
      </c>
    </row>
    <row r="203" spans="1:16" x14ac:dyDescent="0.35">
      <c r="A203">
        <v>713947</v>
      </c>
      <c r="B203" t="s">
        <v>56</v>
      </c>
      <c r="C203" t="s">
        <v>138</v>
      </c>
      <c r="D203" t="s">
        <v>286</v>
      </c>
      <c r="E203" t="s">
        <v>652</v>
      </c>
      <c r="F203" t="s">
        <v>187</v>
      </c>
      <c r="G203" s="1">
        <v>45749</v>
      </c>
      <c r="H203" s="1">
        <v>45749</v>
      </c>
      <c r="I203" s="2">
        <v>1248</v>
      </c>
      <c r="J203" t="s">
        <v>774</v>
      </c>
      <c r="K203" t="s">
        <v>800</v>
      </c>
      <c r="L203" t="s">
        <v>824</v>
      </c>
      <c r="M203" t="s">
        <v>829</v>
      </c>
      <c r="N203" t="str">
        <f t="shared" si="9"/>
        <v>T-2</v>
      </c>
      <c r="O203">
        <f t="shared" si="10"/>
        <v>2025</v>
      </c>
      <c r="P203" t="str">
        <f t="shared" si="11"/>
        <v>4. abril</v>
      </c>
    </row>
    <row r="204" spans="1:16" x14ac:dyDescent="0.35">
      <c r="A204">
        <v>718825</v>
      </c>
      <c r="B204" t="s">
        <v>30</v>
      </c>
      <c r="C204" t="s">
        <v>138</v>
      </c>
      <c r="D204" t="s">
        <v>287</v>
      </c>
      <c r="E204" t="s">
        <v>652</v>
      </c>
      <c r="F204" t="s">
        <v>187</v>
      </c>
      <c r="G204" s="1">
        <v>45747</v>
      </c>
      <c r="H204" s="1">
        <v>45747</v>
      </c>
      <c r="I204" s="2">
        <v>780</v>
      </c>
      <c r="J204" t="s">
        <v>774</v>
      </c>
      <c r="K204" t="s">
        <v>789</v>
      </c>
      <c r="L204" t="s">
        <v>823</v>
      </c>
      <c r="M204" t="s">
        <v>830</v>
      </c>
      <c r="N204" t="str">
        <f t="shared" si="9"/>
        <v>T-1</v>
      </c>
      <c r="O204">
        <f t="shared" si="10"/>
        <v>2025</v>
      </c>
      <c r="P204" t="str">
        <f t="shared" si="11"/>
        <v>3. marzo</v>
      </c>
    </row>
    <row r="205" spans="1:16" x14ac:dyDescent="0.35">
      <c r="A205">
        <v>703286</v>
      </c>
      <c r="B205" t="s">
        <v>59</v>
      </c>
      <c r="C205" t="s">
        <v>138</v>
      </c>
      <c r="D205" t="s">
        <v>287</v>
      </c>
      <c r="E205" t="s">
        <v>652</v>
      </c>
      <c r="F205" t="s">
        <v>187</v>
      </c>
      <c r="G205" s="1">
        <v>45748</v>
      </c>
      <c r="H205" s="1">
        <v>45748</v>
      </c>
      <c r="I205" s="2">
        <v>468</v>
      </c>
      <c r="J205" t="s">
        <v>774</v>
      </c>
      <c r="K205" t="s">
        <v>783</v>
      </c>
      <c r="L205" t="s">
        <v>823</v>
      </c>
      <c r="M205" t="s">
        <v>830</v>
      </c>
      <c r="N205" t="str">
        <f t="shared" si="9"/>
        <v>T-2</v>
      </c>
      <c r="O205">
        <f t="shared" si="10"/>
        <v>2025</v>
      </c>
      <c r="P205" t="str">
        <f t="shared" si="11"/>
        <v>4. abril</v>
      </c>
    </row>
    <row r="206" spans="1:16" x14ac:dyDescent="0.35">
      <c r="A206">
        <v>716067</v>
      </c>
      <c r="B206" t="s">
        <v>59</v>
      </c>
      <c r="C206" t="s">
        <v>138</v>
      </c>
      <c r="D206" t="s">
        <v>288</v>
      </c>
      <c r="E206" t="s">
        <v>701</v>
      </c>
      <c r="F206" t="s">
        <v>187</v>
      </c>
      <c r="G206" s="1">
        <v>45756</v>
      </c>
      <c r="H206" s="1">
        <v>45757</v>
      </c>
      <c r="I206" s="2">
        <v>278</v>
      </c>
      <c r="J206" t="s">
        <v>776</v>
      </c>
      <c r="K206" t="s">
        <v>800</v>
      </c>
      <c r="L206" t="s">
        <v>823</v>
      </c>
      <c r="M206" t="s">
        <v>828</v>
      </c>
      <c r="N206" t="str">
        <f t="shared" si="9"/>
        <v>T-2</v>
      </c>
      <c r="O206">
        <f t="shared" si="10"/>
        <v>2025</v>
      </c>
      <c r="P206" t="str">
        <f t="shared" si="11"/>
        <v>4. abril</v>
      </c>
    </row>
    <row r="207" spans="1:16" x14ac:dyDescent="0.35">
      <c r="A207">
        <v>721928</v>
      </c>
      <c r="B207" t="s">
        <v>60</v>
      </c>
      <c r="C207" t="s">
        <v>136</v>
      </c>
      <c r="D207" t="s">
        <v>289</v>
      </c>
      <c r="E207" t="s">
        <v>678</v>
      </c>
      <c r="F207" t="s">
        <v>187</v>
      </c>
      <c r="G207" s="1">
        <v>45768</v>
      </c>
      <c r="H207" s="1">
        <v>45772</v>
      </c>
      <c r="I207" s="2">
        <v>3250</v>
      </c>
      <c r="J207" t="s">
        <v>776</v>
      </c>
      <c r="K207" t="s">
        <v>783</v>
      </c>
      <c r="L207" t="s">
        <v>823</v>
      </c>
      <c r="M207" t="s">
        <v>828</v>
      </c>
      <c r="N207" t="str">
        <f t="shared" si="9"/>
        <v>T-2</v>
      </c>
      <c r="O207">
        <f t="shared" si="10"/>
        <v>2025</v>
      </c>
      <c r="P207" t="str">
        <f t="shared" si="11"/>
        <v>4. abril</v>
      </c>
    </row>
    <row r="208" spans="1:16" x14ac:dyDescent="0.35">
      <c r="A208">
        <v>410117</v>
      </c>
      <c r="B208" t="s">
        <v>61</v>
      </c>
      <c r="C208" t="s">
        <v>141</v>
      </c>
      <c r="D208" t="s">
        <v>290</v>
      </c>
      <c r="E208" t="s">
        <v>702</v>
      </c>
      <c r="F208" t="s">
        <v>187</v>
      </c>
      <c r="G208" s="1">
        <v>45799</v>
      </c>
      <c r="H208" s="1">
        <v>45799</v>
      </c>
      <c r="I208" s="2">
        <v>1275</v>
      </c>
      <c r="J208" t="s">
        <v>774</v>
      </c>
      <c r="K208" t="s">
        <v>800</v>
      </c>
      <c r="L208" t="s">
        <v>823</v>
      </c>
      <c r="M208" t="s">
        <v>829</v>
      </c>
      <c r="N208" t="str">
        <f t="shared" si="9"/>
        <v>T-2</v>
      </c>
      <c r="O208">
        <f t="shared" si="10"/>
        <v>2025</v>
      </c>
      <c r="P208" t="str">
        <f t="shared" si="11"/>
        <v>5. mayo</v>
      </c>
    </row>
    <row r="209" spans="1:16" x14ac:dyDescent="0.35">
      <c r="A209">
        <v>750021</v>
      </c>
      <c r="B209" t="s">
        <v>31</v>
      </c>
      <c r="C209" t="s">
        <v>138</v>
      </c>
      <c r="D209" t="s">
        <v>161</v>
      </c>
      <c r="E209" t="s">
        <v>679</v>
      </c>
      <c r="F209" t="s">
        <v>187</v>
      </c>
      <c r="G209" s="1">
        <v>45751</v>
      </c>
      <c r="H209" s="1">
        <v>45751</v>
      </c>
      <c r="I209" s="2">
        <v>289.64</v>
      </c>
      <c r="J209" t="s">
        <v>779</v>
      </c>
      <c r="K209" t="s">
        <v>789</v>
      </c>
      <c r="L209" t="s">
        <v>823</v>
      </c>
      <c r="M209" t="s">
        <v>830</v>
      </c>
      <c r="N209" t="str">
        <f t="shared" si="9"/>
        <v>T-2</v>
      </c>
      <c r="O209">
        <f t="shared" si="10"/>
        <v>2025</v>
      </c>
      <c r="P209" t="str">
        <f t="shared" si="11"/>
        <v>4. abril</v>
      </c>
    </row>
    <row r="210" spans="1:16" x14ac:dyDescent="0.35">
      <c r="A210">
        <v>711880</v>
      </c>
      <c r="B210" t="s">
        <v>30</v>
      </c>
      <c r="C210" t="s">
        <v>137</v>
      </c>
      <c r="D210" t="s">
        <v>161</v>
      </c>
      <c r="E210" t="s">
        <v>679</v>
      </c>
      <c r="F210" t="s">
        <v>187</v>
      </c>
      <c r="G210" s="1">
        <v>45751</v>
      </c>
      <c r="H210" s="1">
        <v>45751</v>
      </c>
      <c r="I210" s="2">
        <v>3910.36</v>
      </c>
      <c r="J210" t="s">
        <v>779</v>
      </c>
      <c r="K210" t="s">
        <v>783</v>
      </c>
      <c r="L210" t="s">
        <v>823</v>
      </c>
      <c r="M210" t="s">
        <v>830</v>
      </c>
      <c r="N210" t="str">
        <f t="shared" si="9"/>
        <v>T-2</v>
      </c>
      <c r="O210">
        <f t="shared" si="10"/>
        <v>2025</v>
      </c>
      <c r="P210" t="str">
        <f t="shared" si="11"/>
        <v>4. abril</v>
      </c>
    </row>
    <row r="211" spans="1:16" x14ac:dyDescent="0.35">
      <c r="A211">
        <v>463203</v>
      </c>
      <c r="B211" t="s">
        <v>24</v>
      </c>
      <c r="C211" t="s">
        <v>138</v>
      </c>
      <c r="D211" t="s">
        <v>291</v>
      </c>
      <c r="E211" t="s">
        <v>692</v>
      </c>
      <c r="F211" t="s">
        <v>187</v>
      </c>
      <c r="G211" s="1">
        <v>45853</v>
      </c>
      <c r="H211" s="1">
        <v>45853</v>
      </c>
      <c r="I211" s="2">
        <v>902.5</v>
      </c>
      <c r="J211" t="s">
        <v>774</v>
      </c>
      <c r="K211" t="s">
        <v>800</v>
      </c>
      <c r="L211" t="s">
        <v>824</v>
      </c>
      <c r="M211" t="s">
        <v>828</v>
      </c>
      <c r="N211" t="str">
        <f t="shared" si="9"/>
        <v>T-3</v>
      </c>
      <c r="O211">
        <f t="shared" si="10"/>
        <v>2025</v>
      </c>
      <c r="P211" t="str">
        <f t="shared" si="11"/>
        <v>7. julio</v>
      </c>
    </row>
    <row r="212" spans="1:16" x14ac:dyDescent="0.35">
      <c r="A212">
        <v>414395</v>
      </c>
      <c r="B212" t="s">
        <v>30</v>
      </c>
      <c r="C212" t="s">
        <v>138</v>
      </c>
      <c r="D212" t="s">
        <v>291</v>
      </c>
      <c r="E212" t="s">
        <v>692</v>
      </c>
      <c r="F212" t="s">
        <v>187</v>
      </c>
      <c r="G212" s="1">
        <v>45853</v>
      </c>
      <c r="H212" s="1">
        <v>45853</v>
      </c>
      <c r="I212" s="2">
        <v>902.5</v>
      </c>
      <c r="J212" t="s">
        <v>774</v>
      </c>
      <c r="K212" t="s">
        <v>787</v>
      </c>
      <c r="L212" t="s">
        <v>823</v>
      </c>
      <c r="M212" t="s">
        <v>830</v>
      </c>
      <c r="N212" t="str">
        <f t="shared" si="9"/>
        <v>T-3</v>
      </c>
      <c r="O212">
        <f t="shared" si="10"/>
        <v>2025</v>
      </c>
      <c r="P212" t="str">
        <f t="shared" si="11"/>
        <v>7. julio</v>
      </c>
    </row>
    <row r="213" spans="1:16" x14ac:dyDescent="0.35">
      <c r="A213">
        <v>459486</v>
      </c>
      <c r="B213" t="s">
        <v>33</v>
      </c>
      <c r="C213" t="s">
        <v>138</v>
      </c>
      <c r="D213" t="s">
        <v>291</v>
      </c>
      <c r="E213" t="s">
        <v>692</v>
      </c>
      <c r="F213" t="s">
        <v>187</v>
      </c>
      <c r="G213" s="1">
        <v>45853</v>
      </c>
      <c r="H213" s="1">
        <v>45853</v>
      </c>
      <c r="I213" s="2">
        <v>902.5</v>
      </c>
      <c r="J213" t="s">
        <v>774</v>
      </c>
      <c r="K213" t="s">
        <v>787</v>
      </c>
      <c r="L213" t="s">
        <v>823</v>
      </c>
      <c r="M213" t="s">
        <v>829</v>
      </c>
      <c r="N213" t="str">
        <f t="shared" si="9"/>
        <v>T-3</v>
      </c>
      <c r="O213">
        <f t="shared" si="10"/>
        <v>2025</v>
      </c>
      <c r="P213" t="str">
        <f t="shared" si="11"/>
        <v>7. julio</v>
      </c>
    </row>
    <row r="214" spans="1:16" x14ac:dyDescent="0.35">
      <c r="A214">
        <v>490042</v>
      </c>
      <c r="B214" t="s">
        <v>59</v>
      </c>
      <c r="C214" t="s">
        <v>138</v>
      </c>
      <c r="D214" t="s">
        <v>223</v>
      </c>
      <c r="E214" t="s">
        <v>674</v>
      </c>
      <c r="F214" t="s">
        <v>187</v>
      </c>
      <c r="G214" s="1">
        <v>45737</v>
      </c>
      <c r="H214" s="1">
        <v>45737</v>
      </c>
      <c r="I214" s="2">
        <v>1124.76</v>
      </c>
      <c r="J214" t="s">
        <v>777</v>
      </c>
      <c r="K214" t="s">
        <v>800</v>
      </c>
      <c r="L214" t="s">
        <v>823</v>
      </c>
      <c r="M214" t="s">
        <v>830</v>
      </c>
      <c r="N214" t="str">
        <f t="shared" si="9"/>
        <v>T-1</v>
      </c>
      <c r="O214">
        <f t="shared" si="10"/>
        <v>2025</v>
      </c>
      <c r="P214" t="str">
        <f t="shared" si="11"/>
        <v>3. marzo</v>
      </c>
    </row>
    <row r="215" spans="1:16" x14ac:dyDescent="0.35">
      <c r="A215">
        <v>487563</v>
      </c>
      <c r="B215" t="s">
        <v>27</v>
      </c>
      <c r="C215" t="s">
        <v>139</v>
      </c>
      <c r="D215" t="s">
        <v>160</v>
      </c>
      <c r="E215" t="s">
        <v>654</v>
      </c>
      <c r="F215" t="s">
        <v>187</v>
      </c>
      <c r="G215" s="1">
        <v>45742</v>
      </c>
      <c r="H215" s="1">
        <v>45742</v>
      </c>
      <c r="I215" s="2">
        <v>595</v>
      </c>
      <c r="J215" t="s">
        <v>777</v>
      </c>
      <c r="K215" t="s">
        <v>783</v>
      </c>
      <c r="L215" t="s">
        <v>823</v>
      </c>
      <c r="M215" t="s">
        <v>830</v>
      </c>
      <c r="N215" t="str">
        <f t="shared" si="9"/>
        <v>T-1</v>
      </c>
      <c r="O215">
        <f t="shared" si="10"/>
        <v>2025</v>
      </c>
      <c r="P215" t="str">
        <f t="shared" si="11"/>
        <v>3. marzo</v>
      </c>
    </row>
    <row r="216" spans="1:16" x14ac:dyDescent="0.35">
      <c r="A216">
        <v>497414</v>
      </c>
      <c r="B216" t="s">
        <v>37</v>
      </c>
      <c r="C216" t="s">
        <v>138</v>
      </c>
      <c r="D216" t="s">
        <v>160</v>
      </c>
      <c r="E216" t="s">
        <v>654</v>
      </c>
      <c r="F216" t="s">
        <v>187</v>
      </c>
      <c r="G216" s="1">
        <v>45742</v>
      </c>
      <c r="H216" s="1">
        <v>45742</v>
      </c>
      <c r="I216" s="2">
        <v>595</v>
      </c>
      <c r="J216" t="s">
        <v>777</v>
      </c>
      <c r="K216" t="s">
        <v>788</v>
      </c>
      <c r="L216" t="s">
        <v>823</v>
      </c>
      <c r="M216" t="s">
        <v>828</v>
      </c>
      <c r="N216" t="str">
        <f t="shared" si="9"/>
        <v>T-1</v>
      </c>
      <c r="O216">
        <f t="shared" si="10"/>
        <v>2025</v>
      </c>
      <c r="P216" t="str">
        <f t="shared" si="11"/>
        <v>3. marzo</v>
      </c>
    </row>
    <row r="217" spans="1:16" x14ac:dyDescent="0.35">
      <c r="A217">
        <v>713824</v>
      </c>
      <c r="B217" t="s">
        <v>4</v>
      </c>
      <c r="C217" t="s">
        <v>138</v>
      </c>
      <c r="D217" t="s">
        <v>195</v>
      </c>
      <c r="E217" t="s">
        <v>654</v>
      </c>
      <c r="F217" t="s">
        <v>187</v>
      </c>
      <c r="G217" s="1">
        <v>45740</v>
      </c>
      <c r="H217" s="1">
        <v>45740</v>
      </c>
      <c r="I217" s="2">
        <v>1190</v>
      </c>
      <c r="J217" t="s">
        <v>777</v>
      </c>
      <c r="K217" t="s">
        <v>800</v>
      </c>
      <c r="L217" t="s">
        <v>824</v>
      </c>
      <c r="M217" t="s">
        <v>828</v>
      </c>
      <c r="N217" t="str">
        <f t="shared" si="9"/>
        <v>T-1</v>
      </c>
      <c r="O217">
        <f t="shared" si="10"/>
        <v>2025</v>
      </c>
      <c r="P217" t="str">
        <f t="shared" si="11"/>
        <v>3. marzo</v>
      </c>
    </row>
    <row r="218" spans="1:16" x14ac:dyDescent="0.35">
      <c r="A218">
        <v>751518</v>
      </c>
      <c r="B218" t="s">
        <v>31</v>
      </c>
      <c r="C218" t="s">
        <v>138</v>
      </c>
      <c r="D218" t="s">
        <v>160</v>
      </c>
      <c r="E218" t="s">
        <v>654</v>
      </c>
      <c r="F218" t="s">
        <v>187</v>
      </c>
      <c r="G218" s="1">
        <v>45737</v>
      </c>
      <c r="H218" s="1">
        <v>45737</v>
      </c>
      <c r="I218" s="2">
        <v>462</v>
      </c>
      <c r="J218" t="s">
        <v>777</v>
      </c>
      <c r="K218" t="s">
        <v>785</v>
      </c>
      <c r="L218" t="s">
        <v>823</v>
      </c>
      <c r="M218" t="s">
        <v>830</v>
      </c>
      <c r="N218" t="str">
        <f t="shared" si="9"/>
        <v>T-1</v>
      </c>
      <c r="O218">
        <f t="shared" si="10"/>
        <v>2025</v>
      </c>
      <c r="P218" t="str">
        <f t="shared" si="11"/>
        <v>3. marzo</v>
      </c>
    </row>
    <row r="219" spans="1:16" x14ac:dyDescent="0.35">
      <c r="A219">
        <v>703777</v>
      </c>
      <c r="B219" t="s">
        <v>62</v>
      </c>
      <c r="C219" t="s">
        <v>136</v>
      </c>
      <c r="D219" t="s">
        <v>156</v>
      </c>
      <c r="E219" t="s">
        <v>673</v>
      </c>
      <c r="F219" t="s">
        <v>187</v>
      </c>
      <c r="G219" s="1">
        <v>45751</v>
      </c>
      <c r="H219" s="1">
        <v>45751</v>
      </c>
      <c r="I219" s="2">
        <v>2500</v>
      </c>
      <c r="J219" t="s">
        <v>779</v>
      </c>
      <c r="K219" t="s">
        <v>783</v>
      </c>
      <c r="L219" t="s">
        <v>823</v>
      </c>
      <c r="M219" t="s">
        <v>829</v>
      </c>
      <c r="N219" t="str">
        <f t="shared" si="9"/>
        <v>T-2</v>
      </c>
      <c r="O219">
        <f t="shared" si="10"/>
        <v>2025</v>
      </c>
      <c r="P219" t="str">
        <f t="shared" si="11"/>
        <v>4. abril</v>
      </c>
    </row>
    <row r="220" spans="1:16" x14ac:dyDescent="0.35">
      <c r="A220">
        <v>707157</v>
      </c>
      <c r="B220" t="s">
        <v>30</v>
      </c>
      <c r="C220" t="s">
        <v>138</v>
      </c>
      <c r="D220" t="s">
        <v>209</v>
      </c>
      <c r="E220" t="s">
        <v>647</v>
      </c>
      <c r="F220" t="s">
        <v>187</v>
      </c>
      <c r="G220" s="1">
        <v>45740</v>
      </c>
      <c r="H220" s="1">
        <v>45742</v>
      </c>
      <c r="I220" s="2">
        <v>970</v>
      </c>
      <c r="J220" t="s">
        <v>776</v>
      </c>
      <c r="K220" t="s">
        <v>800</v>
      </c>
      <c r="L220" t="s">
        <v>823</v>
      </c>
      <c r="M220" t="s">
        <v>830</v>
      </c>
      <c r="N220" t="str">
        <f t="shared" si="9"/>
        <v>T-1</v>
      </c>
      <c r="O220">
        <f t="shared" si="10"/>
        <v>2025</v>
      </c>
      <c r="P220" t="str">
        <f t="shared" si="11"/>
        <v>3. marzo</v>
      </c>
    </row>
    <row r="221" spans="1:16" x14ac:dyDescent="0.35">
      <c r="A221">
        <v>504923</v>
      </c>
      <c r="B221" t="s">
        <v>30</v>
      </c>
      <c r="C221" t="s">
        <v>138</v>
      </c>
      <c r="D221" t="s">
        <v>240</v>
      </c>
      <c r="E221" t="s">
        <v>681</v>
      </c>
      <c r="F221" t="s">
        <v>187</v>
      </c>
      <c r="G221" s="1">
        <v>45747</v>
      </c>
      <c r="H221" s="1">
        <v>45747</v>
      </c>
      <c r="I221" s="2">
        <v>775.74</v>
      </c>
      <c r="J221" t="s">
        <v>779</v>
      </c>
      <c r="K221" t="s">
        <v>800</v>
      </c>
      <c r="L221" t="s">
        <v>823</v>
      </c>
      <c r="M221" t="s">
        <v>830</v>
      </c>
      <c r="N221" t="str">
        <f t="shared" si="9"/>
        <v>T-1</v>
      </c>
      <c r="O221">
        <f t="shared" si="10"/>
        <v>2025</v>
      </c>
      <c r="P221" t="str">
        <f t="shared" si="11"/>
        <v>3. marzo</v>
      </c>
    </row>
    <row r="222" spans="1:16" x14ac:dyDescent="0.35">
      <c r="A222">
        <v>711947</v>
      </c>
      <c r="B222" t="s">
        <v>27</v>
      </c>
      <c r="C222" t="s">
        <v>137</v>
      </c>
      <c r="D222" t="s">
        <v>240</v>
      </c>
      <c r="E222" t="s">
        <v>681</v>
      </c>
      <c r="F222" t="s">
        <v>187</v>
      </c>
      <c r="G222" s="1">
        <v>45747</v>
      </c>
      <c r="H222" s="1">
        <v>45747</v>
      </c>
      <c r="I222" s="2">
        <v>1633.36</v>
      </c>
      <c r="J222" t="s">
        <v>779</v>
      </c>
      <c r="K222" t="s">
        <v>783</v>
      </c>
      <c r="L222" t="s">
        <v>823</v>
      </c>
      <c r="M222" t="s">
        <v>828</v>
      </c>
      <c r="N222" t="str">
        <f t="shared" si="9"/>
        <v>T-1</v>
      </c>
      <c r="O222">
        <f t="shared" si="10"/>
        <v>2025</v>
      </c>
      <c r="P222" t="str">
        <f t="shared" si="11"/>
        <v>3. marzo</v>
      </c>
    </row>
    <row r="223" spans="1:16" x14ac:dyDescent="0.35">
      <c r="A223">
        <v>714823</v>
      </c>
      <c r="B223" t="s">
        <v>22</v>
      </c>
      <c r="C223" t="s">
        <v>137</v>
      </c>
      <c r="D223" t="s">
        <v>151</v>
      </c>
      <c r="E223" t="s">
        <v>675</v>
      </c>
      <c r="F223" t="s">
        <v>187</v>
      </c>
      <c r="G223" s="1">
        <v>45747</v>
      </c>
      <c r="H223" s="1">
        <v>45750</v>
      </c>
      <c r="I223" s="2">
        <v>1560</v>
      </c>
      <c r="J223" t="s">
        <v>779</v>
      </c>
      <c r="K223" t="s">
        <v>800</v>
      </c>
      <c r="L223" t="s">
        <v>823</v>
      </c>
      <c r="M223" t="s">
        <v>828</v>
      </c>
      <c r="N223" t="str">
        <f t="shared" si="9"/>
        <v>T-1</v>
      </c>
      <c r="O223">
        <f t="shared" si="10"/>
        <v>2025</v>
      </c>
      <c r="P223" t="str">
        <f t="shared" si="11"/>
        <v>3. marzo</v>
      </c>
    </row>
    <row r="224" spans="1:16" x14ac:dyDescent="0.35">
      <c r="A224">
        <v>110004</v>
      </c>
      <c r="B224" t="s">
        <v>3</v>
      </c>
      <c r="C224" t="s">
        <v>141</v>
      </c>
      <c r="D224" t="s">
        <v>292</v>
      </c>
      <c r="E224" t="s">
        <v>698</v>
      </c>
      <c r="F224" t="s">
        <v>187</v>
      </c>
      <c r="G224" s="1">
        <v>45803</v>
      </c>
      <c r="H224" s="1">
        <v>45804</v>
      </c>
      <c r="I224" s="2">
        <v>3312</v>
      </c>
      <c r="J224" t="s">
        <v>776</v>
      </c>
      <c r="K224" t="s">
        <v>800</v>
      </c>
      <c r="L224" t="s">
        <v>824</v>
      </c>
      <c r="M224" t="s">
        <v>829</v>
      </c>
      <c r="N224" t="str">
        <f t="shared" si="9"/>
        <v>T-2</v>
      </c>
      <c r="O224">
        <f t="shared" si="10"/>
        <v>2025</v>
      </c>
      <c r="P224" t="str">
        <f t="shared" si="11"/>
        <v>5. mayo</v>
      </c>
    </row>
    <row r="225" spans="1:16" x14ac:dyDescent="0.35">
      <c r="A225">
        <v>433243</v>
      </c>
      <c r="B225" t="s">
        <v>13</v>
      </c>
      <c r="C225" t="s">
        <v>138</v>
      </c>
      <c r="D225" t="s">
        <v>293</v>
      </c>
      <c r="E225" t="s">
        <v>675</v>
      </c>
      <c r="F225" t="s">
        <v>187</v>
      </c>
      <c r="G225" s="1">
        <v>45748</v>
      </c>
      <c r="H225" s="1">
        <v>45751</v>
      </c>
      <c r="I225" s="2">
        <v>416</v>
      </c>
      <c r="J225" t="s">
        <v>779</v>
      </c>
      <c r="K225" t="s">
        <v>789</v>
      </c>
      <c r="L225" t="s">
        <v>823</v>
      </c>
      <c r="M225" t="s">
        <v>830</v>
      </c>
      <c r="N225" t="str">
        <f t="shared" si="9"/>
        <v>T-2</v>
      </c>
      <c r="O225">
        <f t="shared" si="10"/>
        <v>2025</v>
      </c>
      <c r="P225" t="str">
        <f t="shared" si="11"/>
        <v>4. abril</v>
      </c>
    </row>
    <row r="226" spans="1:16" x14ac:dyDescent="0.35">
      <c r="A226">
        <v>565454</v>
      </c>
      <c r="B226" t="s">
        <v>5</v>
      </c>
      <c r="C226" t="s">
        <v>138</v>
      </c>
      <c r="D226" t="s">
        <v>293</v>
      </c>
      <c r="E226" t="s">
        <v>675</v>
      </c>
      <c r="F226" t="s">
        <v>187</v>
      </c>
      <c r="G226" s="1">
        <v>45748</v>
      </c>
      <c r="H226" s="1">
        <v>45751</v>
      </c>
      <c r="I226" s="2">
        <v>1248</v>
      </c>
      <c r="J226" t="s">
        <v>779</v>
      </c>
      <c r="K226" t="s">
        <v>785</v>
      </c>
      <c r="L226" t="s">
        <v>823</v>
      </c>
      <c r="M226" t="s">
        <v>830</v>
      </c>
      <c r="N226" t="str">
        <f t="shared" si="9"/>
        <v>T-2</v>
      </c>
      <c r="O226">
        <f t="shared" si="10"/>
        <v>2025</v>
      </c>
      <c r="P226" t="str">
        <f t="shared" si="11"/>
        <v>4. abril</v>
      </c>
    </row>
    <row r="227" spans="1:16" x14ac:dyDescent="0.35">
      <c r="A227">
        <v>67498</v>
      </c>
      <c r="B227" t="s">
        <v>5</v>
      </c>
      <c r="C227" t="s">
        <v>138</v>
      </c>
      <c r="D227" t="s">
        <v>293</v>
      </c>
      <c r="E227" t="s">
        <v>675</v>
      </c>
      <c r="F227" t="s">
        <v>187</v>
      </c>
      <c r="G227" s="1">
        <v>45748</v>
      </c>
      <c r="H227" s="1">
        <v>45751</v>
      </c>
      <c r="I227" s="2">
        <v>208</v>
      </c>
      <c r="J227" t="s">
        <v>779</v>
      </c>
      <c r="K227" t="s">
        <v>789</v>
      </c>
      <c r="L227" t="s">
        <v>823</v>
      </c>
      <c r="M227" t="s">
        <v>828</v>
      </c>
      <c r="N227" t="str">
        <f t="shared" si="9"/>
        <v>T-2</v>
      </c>
      <c r="O227">
        <f t="shared" si="10"/>
        <v>2025</v>
      </c>
      <c r="P227" t="str">
        <f t="shared" si="11"/>
        <v>4. abril</v>
      </c>
    </row>
    <row r="228" spans="1:16" x14ac:dyDescent="0.35">
      <c r="A228">
        <v>610977</v>
      </c>
      <c r="B228" t="s">
        <v>13</v>
      </c>
      <c r="C228" t="s">
        <v>136</v>
      </c>
      <c r="D228" t="s">
        <v>272</v>
      </c>
      <c r="E228" t="s">
        <v>696</v>
      </c>
      <c r="F228" t="s">
        <v>187</v>
      </c>
      <c r="G228" s="1">
        <v>45751</v>
      </c>
      <c r="H228" s="1">
        <v>45751</v>
      </c>
      <c r="I228" s="2">
        <v>3465</v>
      </c>
      <c r="J228" t="s">
        <v>779</v>
      </c>
      <c r="K228" t="s">
        <v>800</v>
      </c>
      <c r="L228" t="s">
        <v>823</v>
      </c>
      <c r="M228" t="s">
        <v>830</v>
      </c>
      <c r="N228" t="str">
        <f t="shared" si="9"/>
        <v>T-2</v>
      </c>
      <c r="O228">
        <f t="shared" si="10"/>
        <v>2025</v>
      </c>
      <c r="P228" t="str">
        <f t="shared" si="11"/>
        <v>4. abril</v>
      </c>
    </row>
    <row r="229" spans="1:16" x14ac:dyDescent="0.35">
      <c r="A229">
        <v>417555</v>
      </c>
      <c r="B229" t="s">
        <v>23</v>
      </c>
      <c r="C229" t="s">
        <v>141</v>
      </c>
      <c r="D229" t="s">
        <v>240</v>
      </c>
      <c r="E229" t="s">
        <v>681</v>
      </c>
      <c r="F229" t="s">
        <v>187</v>
      </c>
      <c r="G229" s="1">
        <v>45747</v>
      </c>
      <c r="H229" s="1">
        <v>45747</v>
      </c>
      <c r="I229" s="2">
        <v>240.9</v>
      </c>
      <c r="J229" t="s">
        <v>779</v>
      </c>
      <c r="K229" t="s">
        <v>800</v>
      </c>
      <c r="L229" t="s">
        <v>823</v>
      </c>
      <c r="M229" t="s">
        <v>829</v>
      </c>
      <c r="N229" t="str">
        <f t="shared" si="9"/>
        <v>T-1</v>
      </c>
      <c r="O229">
        <f t="shared" si="10"/>
        <v>2025</v>
      </c>
      <c r="P229" t="str">
        <f t="shared" si="11"/>
        <v>3. marzo</v>
      </c>
    </row>
    <row r="230" spans="1:16" x14ac:dyDescent="0.35">
      <c r="A230">
        <v>411820</v>
      </c>
      <c r="B230" t="s">
        <v>4</v>
      </c>
      <c r="C230" t="s">
        <v>136</v>
      </c>
      <c r="D230" t="s">
        <v>269</v>
      </c>
      <c r="E230" t="s">
        <v>695</v>
      </c>
      <c r="F230" t="s">
        <v>187</v>
      </c>
      <c r="G230" s="1">
        <v>45733</v>
      </c>
      <c r="H230" s="1">
        <v>45737</v>
      </c>
      <c r="I230" s="2">
        <v>1664</v>
      </c>
      <c r="J230" t="s">
        <v>776</v>
      </c>
      <c r="K230" t="s">
        <v>783</v>
      </c>
      <c r="L230" t="s">
        <v>823</v>
      </c>
      <c r="M230" t="s">
        <v>830</v>
      </c>
      <c r="N230" t="str">
        <f t="shared" si="9"/>
        <v>T-1</v>
      </c>
      <c r="O230">
        <f t="shared" si="10"/>
        <v>2025</v>
      </c>
      <c r="P230" t="str">
        <f t="shared" si="11"/>
        <v>3. marzo</v>
      </c>
    </row>
    <row r="231" spans="1:16" x14ac:dyDescent="0.35">
      <c r="A231">
        <v>567417</v>
      </c>
      <c r="B231" t="s">
        <v>5</v>
      </c>
      <c r="C231" t="s">
        <v>138</v>
      </c>
      <c r="D231" t="s">
        <v>294</v>
      </c>
      <c r="E231" t="s">
        <v>684</v>
      </c>
      <c r="F231" t="s">
        <v>187</v>
      </c>
      <c r="G231" s="1">
        <v>45664</v>
      </c>
      <c r="H231" s="1">
        <v>45664</v>
      </c>
      <c r="I231" s="2">
        <v>912.86</v>
      </c>
      <c r="J231" t="s">
        <v>776</v>
      </c>
      <c r="K231" t="s">
        <v>783</v>
      </c>
      <c r="L231" t="s">
        <v>823</v>
      </c>
      <c r="M231" t="s">
        <v>830</v>
      </c>
      <c r="N231" t="str">
        <f t="shared" si="9"/>
        <v>T-1</v>
      </c>
      <c r="O231">
        <f t="shared" si="10"/>
        <v>2025</v>
      </c>
      <c r="P231" t="str">
        <f t="shared" si="11"/>
        <v>1. enero</v>
      </c>
    </row>
    <row r="232" spans="1:16" x14ac:dyDescent="0.35">
      <c r="A232">
        <v>34559</v>
      </c>
      <c r="B232" t="s">
        <v>5</v>
      </c>
      <c r="C232" t="s">
        <v>138</v>
      </c>
      <c r="D232" t="s">
        <v>295</v>
      </c>
      <c r="E232" t="s">
        <v>684</v>
      </c>
      <c r="F232" t="s">
        <v>187</v>
      </c>
      <c r="G232" s="1">
        <v>45678</v>
      </c>
      <c r="H232" s="1">
        <v>45678</v>
      </c>
      <c r="I232" s="2">
        <v>912.86</v>
      </c>
      <c r="J232" t="s">
        <v>776</v>
      </c>
      <c r="K232" t="s">
        <v>800</v>
      </c>
      <c r="L232" t="s">
        <v>824</v>
      </c>
      <c r="M232" t="s">
        <v>828</v>
      </c>
      <c r="N232" t="str">
        <f t="shared" si="9"/>
        <v>T-1</v>
      </c>
      <c r="O232">
        <f t="shared" si="10"/>
        <v>2025</v>
      </c>
      <c r="P232" t="str">
        <f t="shared" si="11"/>
        <v>1. enero</v>
      </c>
    </row>
    <row r="233" spans="1:16" x14ac:dyDescent="0.35">
      <c r="A233">
        <v>723087</v>
      </c>
      <c r="B233" t="s">
        <v>33</v>
      </c>
      <c r="C233" t="s">
        <v>136</v>
      </c>
      <c r="D233" t="s">
        <v>294</v>
      </c>
      <c r="E233" t="s">
        <v>684</v>
      </c>
      <c r="F233" t="s">
        <v>187</v>
      </c>
      <c r="G233" s="1">
        <v>45666</v>
      </c>
      <c r="H233" s="1">
        <v>45666</v>
      </c>
      <c r="I233" s="2">
        <v>1014.29</v>
      </c>
      <c r="J233" t="s">
        <v>776</v>
      </c>
      <c r="K233" t="s">
        <v>800</v>
      </c>
      <c r="L233" t="s">
        <v>823</v>
      </c>
      <c r="M233" t="s">
        <v>828</v>
      </c>
      <c r="N233" t="str">
        <f t="shared" si="9"/>
        <v>T-1</v>
      </c>
      <c r="O233">
        <f t="shared" si="10"/>
        <v>2025</v>
      </c>
      <c r="P233" t="str">
        <f t="shared" si="11"/>
        <v>1. enero</v>
      </c>
    </row>
    <row r="234" spans="1:16" x14ac:dyDescent="0.35">
      <c r="A234">
        <v>722257</v>
      </c>
      <c r="B234" t="s">
        <v>30</v>
      </c>
      <c r="C234" t="s">
        <v>138</v>
      </c>
      <c r="D234" t="s">
        <v>295</v>
      </c>
      <c r="E234" t="s">
        <v>684</v>
      </c>
      <c r="F234" t="s">
        <v>187</v>
      </c>
      <c r="G234" s="1">
        <v>45680</v>
      </c>
      <c r="H234" s="1">
        <v>45680</v>
      </c>
      <c r="I234" s="2">
        <v>1014.29</v>
      </c>
      <c r="J234" t="s">
        <v>776</v>
      </c>
      <c r="K234" t="s">
        <v>783</v>
      </c>
      <c r="L234" t="s">
        <v>823</v>
      </c>
      <c r="M234" t="s">
        <v>830</v>
      </c>
      <c r="N234" t="str">
        <f t="shared" si="9"/>
        <v>T-1</v>
      </c>
      <c r="O234">
        <f t="shared" si="10"/>
        <v>2025</v>
      </c>
      <c r="P234" t="str">
        <f t="shared" si="11"/>
        <v>1. enero</v>
      </c>
    </row>
    <row r="235" spans="1:16" x14ac:dyDescent="0.35">
      <c r="A235">
        <v>704061</v>
      </c>
      <c r="B235" t="s">
        <v>33</v>
      </c>
      <c r="C235" t="s">
        <v>139</v>
      </c>
      <c r="D235" t="s">
        <v>294</v>
      </c>
      <c r="E235" t="s">
        <v>684</v>
      </c>
      <c r="F235" t="s">
        <v>187</v>
      </c>
      <c r="G235" s="1">
        <v>45667</v>
      </c>
      <c r="H235" s="1">
        <v>45667</v>
      </c>
      <c r="I235" s="2">
        <v>570.54</v>
      </c>
      <c r="J235" t="s">
        <v>776</v>
      </c>
      <c r="K235" t="s">
        <v>791</v>
      </c>
      <c r="L235" t="s">
        <v>823</v>
      </c>
      <c r="M235" t="s">
        <v>829</v>
      </c>
      <c r="N235" t="str">
        <f t="shared" si="9"/>
        <v>T-1</v>
      </c>
      <c r="O235">
        <f t="shared" si="10"/>
        <v>2025</v>
      </c>
      <c r="P235" t="str">
        <f t="shared" si="11"/>
        <v>1. enero</v>
      </c>
    </row>
    <row r="236" spans="1:16" x14ac:dyDescent="0.35">
      <c r="A236">
        <v>416650</v>
      </c>
      <c r="B236" t="s">
        <v>30</v>
      </c>
      <c r="C236" t="s">
        <v>138</v>
      </c>
      <c r="D236" t="s">
        <v>295</v>
      </c>
      <c r="E236" t="s">
        <v>684</v>
      </c>
      <c r="F236" t="s">
        <v>187</v>
      </c>
      <c r="G236" s="1">
        <v>45684</v>
      </c>
      <c r="H236" s="1">
        <v>45684</v>
      </c>
      <c r="I236" s="2">
        <v>570.54</v>
      </c>
      <c r="J236" t="s">
        <v>776</v>
      </c>
      <c r="K236" t="s">
        <v>783</v>
      </c>
      <c r="L236" t="s">
        <v>823</v>
      </c>
      <c r="M236" t="s">
        <v>830</v>
      </c>
      <c r="N236" t="str">
        <f t="shared" si="9"/>
        <v>T-1</v>
      </c>
      <c r="O236">
        <f t="shared" si="10"/>
        <v>2025</v>
      </c>
      <c r="P236" t="str">
        <f t="shared" si="11"/>
        <v>1. enero</v>
      </c>
    </row>
    <row r="237" spans="1:16" x14ac:dyDescent="0.35">
      <c r="A237">
        <v>719667</v>
      </c>
      <c r="B237" t="s">
        <v>4</v>
      </c>
      <c r="C237" t="s">
        <v>138</v>
      </c>
      <c r="D237" t="s">
        <v>245</v>
      </c>
      <c r="E237" t="s">
        <v>684</v>
      </c>
      <c r="F237" t="s">
        <v>187</v>
      </c>
      <c r="G237" s="1">
        <v>45702</v>
      </c>
      <c r="H237" s="1">
        <v>45702</v>
      </c>
      <c r="I237" s="2">
        <v>369.45</v>
      </c>
      <c r="J237" t="s">
        <v>776</v>
      </c>
      <c r="K237" t="s">
        <v>804</v>
      </c>
      <c r="L237" t="s">
        <v>823</v>
      </c>
      <c r="M237" t="s">
        <v>830</v>
      </c>
      <c r="N237" t="str">
        <f t="shared" si="9"/>
        <v>T-1</v>
      </c>
      <c r="O237">
        <f t="shared" si="10"/>
        <v>2025</v>
      </c>
      <c r="P237" t="str">
        <f t="shared" si="11"/>
        <v>2. febrero</v>
      </c>
    </row>
    <row r="238" spans="1:16" x14ac:dyDescent="0.35">
      <c r="A238">
        <v>441510</v>
      </c>
      <c r="B238" t="s">
        <v>30</v>
      </c>
      <c r="C238" t="s">
        <v>138</v>
      </c>
      <c r="D238" t="s">
        <v>296</v>
      </c>
      <c r="E238" t="s">
        <v>684</v>
      </c>
      <c r="F238" t="s">
        <v>187</v>
      </c>
      <c r="G238" s="1">
        <v>45677</v>
      </c>
      <c r="H238" s="1">
        <v>45677</v>
      </c>
      <c r="I238" s="2">
        <v>457.54</v>
      </c>
      <c r="J238" t="s">
        <v>776</v>
      </c>
      <c r="K238" t="s">
        <v>800</v>
      </c>
      <c r="L238" t="s">
        <v>824</v>
      </c>
      <c r="M238" t="s">
        <v>828</v>
      </c>
      <c r="N238" t="str">
        <f t="shared" si="9"/>
        <v>T-1</v>
      </c>
      <c r="O238">
        <f t="shared" si="10"/>
        <v>2025</v>
      </c>
      <c r="P238" t="str">
        <f t="shared" si="11"/>
        <v>1. enero</v>
      </c>
    </row>
    <row r="239" spans="1:16" x14ac:dyDescent="0.35">
      <c r="A239">
        <v>596930</v>
      </c>
      <c r="B239" t="s">
        <v>31</v>
      </c>
      <c r="C239" t="s">
        <v>136</v>
      </c>
      <c r="D239" t="s">
        <v>296</v>
      </c>
      <c r="E239" t="s">
        <v>684</v>
      </c>
      <c r="F239" t="s">
        <v>187</v>
      </c>
      <c r="G239" s="1">
        <v>45672</v>
      </c>
      <c r="H239" s="1">
        <v>45672</v>
      </c>
      <c r="I239" s="2">
        <v>923.63</v>
      </c>
      <c r="J239" t="s">
        <v>776</v>
      </c>
      <c r="K239" t="s">
        <v>800</v>
      </c>
      <c r="L239" t="s">
        <v>823</v>
      </c>
      <c r="M239" t="s">
        <v>828</v>
      </c>
      <c r="N239" t="str">
        <f t="shared" si="9"/>
        <v>T-1</v>
      </c>
      <c r="O239">
        <f t="shared" si="10"/>
        <v>2025</v>
      </c>
      <c r="P239" t="str">
        <f t="shared" si="11"/>
        <v>1. enero</v>
      </c>
    </row>
    <row r="240" spans="1:16" x14ac:dyDescent="0.35">
      <c r="A240">
        <v>561293</v>
      </c>
      <c r="B240" t="s">
        <v>22</v>
      </c>
      <c r="C240" t="s">
        <v>138</v>
      </c>
      <c r="D240" t="s">
        <v>296</v>
      </c>
      <c r="E240" t="s">
        <v>684</v>
      </c>
      <c r="F240" t="s">
        <v>187</v>
      </c>
      <c r="G240" s="1">
        <v>45671</v>
      </c>
      <c r="H240" s="1">
        <v>45671</v>
      </c>
      <c r="I240" s="2">
        <v>637.54</v>
      </c>
      <c r="J240" t="s">
        <v>776</v>
      </c>
      <c r="K240" t="s">
        <v>800</v>
      </c>
      <c r="L240" t="s">
        <v>823</v>
      </c>
      <c r="M240" t="s">
        <v>829</v>
      </c>
      <c r="N240" t="str">
        <f t="shared" si="9"/>
        <v>T-1</v>
      </c>
      <c r="O240">
        <f t="shared" si="10"/>
        <v>2025</v>
      </c>
      <c r="P240" t="str">
        <f t="shared" si="11"/>
        <v>1. enero</v>
      </c>
    </row>
    <row r="241" spans="1:16" x14ac:dyDescent="0.35">
      <c r="A241">
        <v>718611</v>
      </c>
      <c r="B241" t="s">
        <v>24</v>
      </c>
      <c r="C241" t="s">
        <v>138</v>
      </c>
      <c r="D241" t="s">
        <v>297</v>
      </c>
      <c r="E241" t="s">
        <v>677</v>
      </c>
      <c r="F241" t="s">
        <v>187</v>
      </c>
      <c r="G241" s="1">
        <v>45755</v>
      </c>
      <c r="H241" s="1">
        <v>45755</v>
      </c>
      <c r="I241" s="2">
        <v>770</v>
      </c>
      <c r="J241" t="s">
        <v>779</v>
      </c>
      <c r="K241" t="s">
        <v>783</v>
      </c>
      <c r="L241" t="s">
        <v>823</v>
      </c>
      <c r="M241" t="s">
        <v>830</v>
      </c>
      <c r="N241" t="str">
        <f t="shared" si="9"/>
        <v>T-2</v>
      </c>
      <c r="O241">
        <f t="shared" si="10"/>
        <v>2025</v>
      </c>
      <c r="P241" t="str">
        <f t="shared" si="11"/>
        <v>4. abril</v>
      </c>
    </row>
    <row r="242" spans="1:16" x14ac:dyDescent="0.35">
      <c r="A242">
        <v>466257</v>
      </c>
      <c r="B242" t="s">
        <v>55</v>
      </c>
      <c r="C242" t="s">
        <v>138</v>
      </c>
      <c r="D242" t="s">
        <v>298</v>
      </c>
      <c r="E242" t="s">
        <v>703</v>
      </c>
      <c r="F242" t="s">
        <v>187</v>
      </c>
      <c r="G242" s="1">
        <v>45789</v>
      </c>
      <c r="H242" s="1">
        <v>45791</v>
      </c>
      <c r="I242" s="2">
        <v>1875</v>
      </c>
      <c r="J242" t="s">
        <v>774</v>
      </c>
      <c r="K242" t="s">
        <v>800</v>
      </c>
      <c r="L242" t="s">
        <v>823</v>
      </c>
      <c r="M242" t="s">
        <v>830</v>
      </c>
      <c r="N242" t="str">
        <f t="shared" si="9"/>
        <v>T-2</v>
      </c>
      <c r="O242">
        <f t="shared" si="10"/>
        <v>2025</v>
      </c>
      <c r="P242" t="str">
        <f t="shared" si="11"/>
        <v>5. mayo</v>
      </c>
    </row>
    <row r="243" spans="1:16" x14ac:dyDescent="0.35">
      <c r="A243">
        <v>716542</v>
      </c>
      <c r="B243" t="s">
        <v>5</v>
      </c>
      <c r="C243" t="s">
        <v>138</v>
      </c>
      <c r="D243" t="s">
        <v>158</v>
      </c>
      <c r="E243" t="s">
        <v>648</v>
      </c>
      <c r="F243" t="s">
        <v>773</v>
      </c>
      <c r="G243" s="1">
        <v>45769</v>
      </c>
      <c r="H243" s="1">
        <v>46014</v>
      </c>
      <c r="I243" s="2">
        <v>1820</v>
      </c>
      <c r="J243" t="s">
        <v>775</v>
      </c>
      <c r="K243" t="s">
        <v>788</v>
      </c>
      <c r="L243" t="s">
        <v>823</v>
      </c>
      <c r="M243" t="s">
        <v>828</v>
      </c>
      <c r="N243" t="str">
        <f t="shared" si="9"/>
        <v>T-2</v>
      </c>
      <c r="O243">
        <f t="shared" si="10"/>
        <v>2025</v>
      </c>
      <c r="P243" t="str">
        <f t="shared" si="11"/>
        <v>4. abril</v>
      </c>
    </row>
    <row r="244" spans="1:16" x14ac:dyDescent="0.35">
      <c r="A244">
        <v>606888</v>
      </c>
      <c r="B244" t="s">
        <v>13</v>
      </c>
      <c r="C244" t="s">
        <v>138</v>
      </c>
      <c r="D244" t="s">
        <v>197</v>
      </c>
      <c r="E244" t="s">
        <v>647</v>
      </c>
      <c r="F244" t="s">
        <v>187</v>
      </c>
      <c r="G244" s="1">
        <v>45749</v>
      </c>
      <c r="H244" s="1">
        <v>45750</v>
      </c>
      <c r="I244" s="2">
        <v>5950</v>
      </c>
      <c r="J244" t="s">
        <v>774</v>
      </c>
      <c r="K244" t="s">
        <v>788</v>
      </c>
      <c r="L244" t="s">
        <v>823</v>
      </c>
      <c r="M244" t="s">
        <v>830</v>
      </c>
      <c r="N244" t="str">
        <f t="shared" si="9"/>
        <v>T-2</v>
      </c>
      <c r="O244">
        <f t="shared" si="10"/>
        <v>2025</v>
      </c>
      <c r="P244" t="str">
        <f t="shared" si="11"/>
        <v>4. abril</v>
      </c>
    </row>
    <row r="245" spans="1:16" x14ac:dyDescent="0.35">
      <c r="A245">
        <v>560624</v>
      </c>
      <c r="B245" t="s">
        <v>64</v>
      </c>
      <c r="C245" t="s">
        <v>138</v>
      </c>
      <c r="D245" t="s">
        <v>197</v>
      </c>
      <c r="E245" t="s">
        <v>647</v>
      </c>
      <c r="F245" t="s">
        <v>187</v>
      </c>
      <c r="G245" s="1">
        <v>45749</v>
      </c>
      <c r="H245" s="1">
        <v>45750</v>
      </c>
      <c r="I245" s="2">
        <v>2450</v>
      </c>
      <c r="J245" t="s">
        <v>774</v>
      </c>
      <c r="K245" t="s">
        <v>800</v>
      </c>
      <c r="L245" t="s">
        <v>824</v>
      </c>
      <c r="M245" t="s">
        <v>829</v>
      </c>
      <c r="N245" t="str">
        <f t="shared" si="9"/>
        <v>T-2</v>
      </c>
      <c r="O245">
        <f t="shared" si="10"/>
        <v>2025</v>
      </c>
      <c r="P245" t="str">
        <f t="shared" si="11"/>
        <v>4. abril</v>
      </c>
    </row>
    <row r="246" spans="1:16" x14ac:dyDescent="0.35">
      <c r="A246">
        <v>712631</v>
      </c>
      <c r="B246" t="s">
        <v>4</v>
      </c>
      <c r="C246" t="s">
        <v>138</v>
      </c>
      <c r="D246" t="s">
        <v>299</v>
      </c>
      <c r="E246" t="s">
        <v>647</v>
      </c>
      <c r="F246" t="s">
        <v>187</v>
      </c>
      <c r="G246" s="1">
        <v>45747</v>
      </c>
      <c r="H246" s="1">
        <v>45748</v>
      </c>
      <c r="I246" s="2">
        <v>3150</v>
      </c>
      <c r="J246" t="s">
        <v>774</v>
      </c>
      <c r="K246" t="s">
        <v>788</v>
      </c>
      <c r="L246" t="s">
        <v>823</v>
      </c>
      <c r="M246" t="s">
        <v>830</v>
      </c>
      <c r="N246" t="str">
        <f t="shared" si="9"/>
        <v>T-1</v>
      </c>
      <c r="O246">
        <f t="shared" si="10"/>
        <v>2025</v>
      </c>
      <c r="P246" t="str">
        <f t="shared" si="11"/>
        <v>3. marzo</v>
      </c>
    </row>
    <row r="247" spans="1:16" x14ac:dyDescent="0.35">
      <c r="A247">
        <v>705417</v>
      </c>
      <c r="B247" t="s">
        <v>5</v>
      </c>
      <c r="C247" t="s">
        <v>136</v>
      </c>
      <c r="D247" t="s">
        <v>299</v>
      </c>
      <c r="E247" t="s">
        <v>647</v>
      </c>
      <c r="F247" t="s">
        <v>187</v>
      </c>
      <c r="G247" s="1">
        <v>45747</v>
      </c>
      <c r="H247" s="1">
        <v>45748</v>
      </c>
      <c r="I247" s="2">
        <v>1050</v>
      </c>
      <c r="J247" t="s">
        <v>774</v>
      </c>
      <c r="K247" t="s">
        <v>785</v>
      </c>
      <c r="L247" t="s">
        <v>823</v>
      </c>
      <c r="M247" t="s">
        <v>830</v>
      </c>
      <c r="N247" t="str">
        <f t="shared" si="9"/>
        <v>T-1</v>
      </c>
      <c r="O247">
        <f t="shared" si="10"/>
        <v>2025</v>
      </c>
      <c r="P247" t="str">
        <f t="shared" si="11"/>
        <v>3. marzo</v>
      </c>
    </row>
    <row r="248" spans="1:16" x14ac:dyDescent="0.35">
      <c r="A248">
        <v>709451</v>
      </c>
      <c r="B248" t="s">
        <v>63</v>
      </c>
      <c r="C248" t="s">
        <v>136</v>
      </c>
      <c r="D248" t="s">
        <v>286</v>
      </c>
      <c r="E248" t="s">
        <v>652</v>
      </c>
      <c r="F248" t="s">
        <v>187</v>
      </c>
      <c r="G248" s="1">
        <v>45750</v>
      </c>
      <c r="H248" s="1">
        <v>45750</v>
      </c>
      <c r="I248" s="2">
        <v>312</v>
      </c>
      <c r="J248" t="s">
        <v>774</v>
      </c>
      <c r="K248" t="s">
        <v>800</v>
      </c>
      <c r="L248" t="s">
        <v>823</v>
      </c>
      <c r="M248" t="s">
        <v>828</v>
      </c>
      <c r="N248" t="str">
        <f t="shared" si="9"/>
        <v>T-2</v>
      </c>
      <c r="O248">
        <f t="shared" si="10"/>
        <v>2025</v>
      </c>
      <c r="P248" t="str">
        <f t="shared" si="11"/>
        <v>4. abril</v>
      </c>
    </row>
    <row r="249" spans="1:16" x14ac:dyDescent="0.35">
      <c r="A249">
        <v>706775</v>
      </c>
      <c r="B249" t="s">
        <v>61</v>
      </c>
      <c r="C249" t="s">
        <v>136</v>
      </c>
      <c r="D249" t="s">
        <v>286</v>
      </c>
      <c r="E249" t="s">
        <v>652</v>
      </c>
      <c r="F249" t="s">
        <v>187</v>
      </c>
      <c r="G249" s="1">
        <v>45750</v>
      </c>
      <c r="H249" s="1">
        <v>45750</v>
      </c>
      <c r="I249" s="2">
        <v>1248</v>
      </c>
      <c r="J249" t="s">
        <v>774</v>
      </c>
      <c r="K249" t="s">
        <v>788</v>
      </c>
      <c r="L249" t="s">
        <v>823</v>
      </c>
      <c r="M249" t="s">
        <v>828</v>
      </c>
      <c r="N249" t="str">
        <f t="shared" si="9"/>
        <v>T-2</v>
      </c>
      <c r="O249">
        <f t="shared" si="10"/>
        <v>2025</v>
      </c>
      <c r="P249" t="str">
        <f t="shared" si="11"/>
        <v>4. abril</v>
      </c>
    </row>
    <row r="250" spans="1:16" x14ac:dyDescent="0.35">
      <c r="A250">
        <v>703282</v>
      </c>
      <c r="B250" t="s">
        <v>25</v>
      </c>
      <c r="C250" t="s">
        <v>138</v>
      </c>
      <c r="D250" t="s">
        <v>300</v>
      </c>
      <c r="E250" t="s">
        <v>647</v>
      </c>
      <c r="F250" t="s">
        <v>187</v>
      </c>
      <c r="G250" s="1">
        <v>45714</v>
      </c>
      <c r="H250" s="1">
        <v>45729</v>
      </c>
      <c r="I250" s="2">
        <v>2364</v>
      </c>
      <c r="J250" t="s">
        <v>774</v>
      </c>
      <c r="K250" t="s">
        <v>800</v>
      </c>
      <c r="L250" t="s">
        <v>823</v>
      </c>
      <c r="M250" t="s">
        <v>830</v>
      </c>
      <c r="N250" t="str">
        <f t="shared" si="9"/>
        <v>T-1</v>
      </c>
      <c r="O250">
        <f t="shared" si="10"/>
        <v>2025</v>
      </c>
      <c r="P250" t="str">
        <f t="shared" si="11"/>
        <v>2. febrero</v>
      </c>
    </row>
    <row r="251" spans="1:16" x14ac:dyDescent="0.35">
      <c r="A251">
        <v>434942</v>
      </c>
      <c r="B251" t="s">
        <v>33</v>
      </c>
      <c r="C251" t="s">
        <v>139</v>
      </c>
      <c r="D251" t="s">
        <v>197</v>
      </c>
      <c r="E251" t="s">
        <v>647</v>
      </c>
      <c r="F251" t="s">
        <v>187</v>
      </c>
      <c r="G251" s="1">
        <v>45754</v>
      </c>
      <c r="H251" s="1">
        <v>45755</v>
      </c>
      <c r="I251" s="2">
        <v>7000</v>
      </c>
      <c r="J251" t="s">
        <v>774</v>
      </c>
      <c r="K251" t="s">
        <v>783</v>
      </c>
      <c r="L251" t="s">
        <v>823</v>
      </c>
      <c r="M251" t="s">
        <v>829</v>
      </c>
      <c r="N251" t="str">
        <f t="shared" si="9"/>
        <v>T-2</v>
      </c>
      <c r="O251">
        <f t="shared" si="10"/>
        <v>2025</v>
      </c>
      <c r="P251" t="str">
        <f t="shared" si="11"/>
        <v>4. abril</v>
      </c>
    </row>
    <row r="252" spans="1:16" x14ac:dyDescent="0.35">
      <c r="A252">
        <v>717932</v>
      </c>
      <c r="B252" t="s">
        <v>3</v>
      </c>
      <c r="C252" t="s">
        <v>141</v>
      </c>
      <c r="D252" t="s">
        <v>197</v>
      </c>
      <c r="E252" t="s">
        <v>647</v>
      </c>
      <c r="F252" t="s">
        <v>187</v>
      </c>
      <c r="G252" s="1">
        <v>45754</v>
      </c>
      <c r="H252" s="1">
        <v>45755</v>
      </c>
      <c r="I252" s="2">
        <v>1400</v>
      </c>
      <c r="J252" t="s">
        <v>774</v>
      </c>
      <c r="K252" t="s">
        <v>783</v>
      </c>
      <c r="L252" t="s">
        <v>823</v>
      </c>
      <c r="M252" t="s">
        <v>830</v>
      </c>
      <c r="N252" t="str">
        <f t="shared" si="9"/>
        <v>T-2</v>
      </c>
      <c r="O252">
        <f t="shared" si="10"/>
        <v>2025</v>
      </c>
      <c r="P252" t="str">
        <f t="shared" si="11"/>
        <v>4. abril</v>
      </c>
    </row>
    <row r="253" spans="1:16" x14ac:dyDescent="0.35">
      <c r="A253">
        <v>705941</v>
      </c>
      <c r="B253" t="s">
        <v>30</v>
      </c>
      <c r="C253" t="s">
        <v>138</v>
      </c>
      <c r="D253" t="s">
        <v>301</v>
      </c>
      <c r="E253" t="s">
        <v>668</v>
      </c>
      <c r="F253" t="s">
        <v>773</v>
      </c>
      <c r="G253" s="1">
        <v>45999</v>
      </c>
      <c r="H253" s="1">
        <v>45999</v>
      </c>
      <c r="I253" s="2">
        <v>261.87</v>
      </c>
      <c r="J253" t="s">
        <v>774</v>
      </c>
      <c r="K253" t="s">
        <v>783</v>
      </c>
      <c r="L253" t="s">
        <v>824</v>
      </c>
      <c r="M253" t="s">
        <v>830</v>
      </c>
      <c r="N253" t="str">
        <f t="shared" si="9"/>
        <v>T-4</v>
      </c>
      <c r="O253">
        <f t="shared" si="10"/>
        <v>2025</v>
      </c>
      <c r="P253" t="str">
        <f t="shared" si="11"/>
        <v>12. diciembre</v>
      </c>
    </row>
    <row r="254" spans="1:16" x14ac:dyDescent="0.35">
      <c r="A254">
        <v>444165</v>
      </c>
      <c r="B254" t="s">
        <v>33</v>
      </c>
      <c r="C254" t="s">
        <v>136</v>
      </c>
      <c r="D254" t="s">
        <v>302</v>
      </c>
      <c r="E254" t="s">
        <v>668</v>
      </c>
      <c r="F254" t="s">
        <v>773</v>
      </c>
      <c r="G254" s="1">
        <v>45999</v>
      </c>
      <c r="H254" s="1">
        <v>45999</v>
      </c>
      <c r="I254" s="2">
        <v>261.87</v>
      </c>
      <c r="J254" t="s">
        <v>774</v>
      </c>
      <c r="K254" t="s">
        <v>783</v>
      </c>
      <c r="L254" t="s">
        <v>823</v>
      </c>
      <c r="M254" t="s">
        <v>828</v>
      </c>
      <c r="N254" t="str">
        <f t="shared" si="9"/>
        <v>T-4</v>
      </c>
      <c r="O254">
        <f t="shared" si="10"/>
        <v>2025</v>
      </c>
      <c r="P254" t="str">
        <f t="shared" si="11"/>
        <v>12. diciembre</v>
      </c>
    </row>
    <row r="255" spans="1:16" x14ac:dyDescent="0.35">
      <c r="A255">
        <v>402226</v>
      </c>
      <c r="B255" t="s">
        <v>33</v>
      </c>
      <c r="C255" t="s">
        <v>137</v>
      </c>
      <c r="D255" t="s">
        <v>302</v>
      </c>
      <c r="E255" t="s">
        <v>668</v>
      </c>
      <c r="F255" t="s">
        <v>773</v>
      </c>
      <c r="G255" s="1">
        <v>45999</v>
      </c>
      <c r="H255" s="1">
        <v>45999</v>
      </c>
      <c r="I255" s="2">
        <v>261.87</v>
      </c>
      <c r="J255" t="s">
        <v>774</v>
      </c>
      <c r="K255" t="s">
        <v>783</v>
      </c>
      <c r="L255" t="s">
        <v>823</v>
      </c>
      <c r="M255" t="s">
        <v>828</v>
      </c>
      <c r="N255" t="str">
        <f t="shared" si="9"/>
        <v>T-4</v>
      </c>
      <c r="O255">
        <f t="shared" si="10"/>
        <v>2025</v>
      </c>
      <c r="P255" t="str">
        <f t="shared" si="11"/>
        <v>12. diciembre</v>
      </c>
    </row>
    <row r="256" spans="1:16" x14ac:dyDescent="0.35">
      <c r="A256">
        <v>459243</v>
      </c>
      <c r="B256" t="s">
        <v>27</v>
      </c>
      <c r="C256" t="s">
        <v>139</v>
      </c>
      <c r="D256" t="s">
        <v>302</v>
      </c>
      <c r="E256" t="s">
        <v>668</v>
      </c>
      <c r="F256" t="s">
        <v>187</v>
      </c>
      <c r="G256" s="1">
        <v>45866</v>
      </c>
      <c r="H256" s="1">
        <v>45866</v>
      </c>
      <c r="I256" s="2">
        <v>261.87</v>
      </c>
      <c r="J256" t="s">
        <v>774</v>
      </c>
      <c r="K256" t="s">
        <v>783</v>
      </c>
      <c r="L256" t="s">
        <v>823</v>
      </c>
      <c r="M256" t="s">
        <v>829</v>
      </c>
      <c r="N256" t="str">
        <f t="shared" si="9"/>
        <v>T-3</v>
      </c>
      <c r="O256">
        <f t="shared" si="10"/>
        <v>2025</v>
      </c>
      <c r="P256" t="str">
        <f t="shared" si="11"/>
        <v>7. julio</v>
      </c>
    </row>
    <row r="257" spans="1:16" x14ac:dyDescent="0.35">
      <c r="A257">
        <v>448775</v>
      </c>
      <c r="B257" t="s">
        <v>39</v>
      </c>
      <c r="C257" t="s">
        <v>138</v>
      </c>
      <c r="D257" t="s">
        <v>156</v>
      </c>
      <c r="E257" t="s">
        <v>673</v>
      </c>
      <c r="F257" t="s">
        <v>187</v>
      </c>
      <c r="G257" s="1">
        <v>45756</v>
      </c>
      <c r="H257" s="1">
        <v>45756</v>
      </c>
      <c r="I257" s="2">
        <v>2000</v>
      </c>
      <c r="J257" t="s">
        <v>779</v>
      </c>
      <c r="K257" t="s">
        <v>783</v>
      </c>
      <c r="L257" t="s">
        <v>823</v>
      </c>
      <c r="M257" t="s">
        <v>830</v>
      </c>
      <c r="N257" t="str">
        <f t="shared" si="9"/>
        <v>T-2</v>
      </c>
      <c r="O257">
        <f t="shared" si="10"/>
        <v>2025</v>
      </c>
      <c r="P257" t="str">
        <f t="shared" si="11"/>
        <v>4. abril</v>
      </c>
    </row>
    <row r="258" spans="1:16" x14ac:dyDescent="0.35">
      <c r="A258">
        <v>445451</v>
      </c>
      <c r="B258" t="s">
        <v>39</v>
      </c>
      <c r="C258" t="s">
        <v>138</v>
      </c>
      <c r="D258" t="s">
        <v>303</v>
      </c>
      <c r="E258" t="s">
        <v>704</v>
      </c>
      <c r="F258" t="s">
        <v>187</v>
      </c>
      <c r="G258" s="1">
        <v>45755</v>
      </c>
      <c r="H258" s="1">
        <v>45757</v>
      </c>
      <c r="I258" s="2">
        <v>1000</v>
      </c>
      <c r="J258" t="s">
        <v>776</v>
      </c>
      <c r="K258" t="s">
        <v>786</v>
      </c>
      <c r="L258" t="s">
        <v>823</v>
      </c>
      <c r="M258" t="s">
        <v>830</v>
      </c>
      <c r="N258" t="str">
        <f t="shared" si="9"/>
        <v>T-2</v>
      </c>
      <c r="O258">
        <f t="shared" si="10"/>
        <v>2025</v>
      </c>
      <c r="P258" t="str">
        <f t="shared" si="11"/>
        <v>4. abril</v>
      </c>
    </row>
    <row r="259" spans="1:16" x14ac:dyDescent="0.35">
      <c r="A259">
        <v>719707</v>
      </c>
      <c r="B259" t="s">
        <v>46</v>
      </c>
      <c r="C259" t="s">
        <v>137</v>
      </c>
      <c r="D259" t="s">
        <v>239</v>
      </c>
      <c r="E259" t="s">
        <v>682</v>
      </c>
      <c r="F259" t="s">
        <v>187</v>
      </c>
      <c r="G259" s="1">
        <v>45743</v>
      </c>
      <c r="H259" s="1">
        <v>45743</v>
      </c>
      <c r="I259" s="2">
        <v>1200</v>
      </c>
      <c r="J259" t="s">
        <v>777</v>
      </c>
      <c r="K259" t="s">
        <v>787</v>
      </c>
      <c r="L259" t="s">
        <v>824</v>
      </c>
      <c r="M259" t="s">
        <v>828</v>
      </c>
      <c r="N259" t="str">
        <f t="shared" ref="N259:N322" si="12">"T-" &amp; ROUNDUP((MONTH(G259)/3), 0)</f>
        <v>T-1</v>
      </c>
      <c r="O259">
        <f t="shared" ref="O259:O322" si="13">YEAR(G259)</f>
        <v>2025</v>
      </c>
      <c r="P259" t="str">
        <f t="shared" ref="P259:P322" si="14">MONTH(G259) &amp; ". " &amp; TEXT(G259, "MMMM")</f>
        <v>3. marzo</v>
      </c>
    </row>
    <row r="260" spans="1:16" x14ac:dyDescent="0.35">
      <c r="A260">
        <v>501497</v>
      </c>
      <c r="B260" t="s">
        <v>45</v>
      </c>
      <c r="C260" t="s">
        <v>138</v>
      </c>
      <c r="D260" t="s">
        <v>161</v>
      </c>
      <c r="E260" t="s">
        <v>679</v>
      </c>
      <c r="F260" t="s">
        <v>187</v>
      </c>
      <c r="G260" s="1">
        <v>45756</v>
      </c>
      <c r="H260" s="1">
        <v>45756</v>
      </c>
      <c r="I260" s="2">
        <v>4200</v>
      </c>
      <c r="J260" t="s">
        <v>779</v>
      </c>
      <c r="K260" t="s">
        <v>785</v>
      </c>
      <c r="L260" t="s">
        <v>823</v>
      </c>
      <c r="M260" t="s">
        <v>830</v>
      </c>
      <c r="N260" t="str">
        <f t="shared" si="12"/>
        <v>T-2</v>
      </c>
      <c r="O260">
        <f t="shared" si="13"/>
        <v>2025</v>
      </c>
      <c r="P260" t="str">
        <f t="shared" si="14"/>
        <v>4. abril</v>
      </c>
    </row>
    <row r="261" spans="1:16" x14ac:dyDescent="0.35">
      <c r="A261">
        <v>715912</v>
      </c>
      <c r="B261" t="s">
        <v>5</v>
      </c>
      <c r="C261" t="s">
        <v>138</v>
      </c>
      <c r="D261" t="s">
        <v>286</v>
      </c>
      <c r="E261" t="s">
        <v>652</v>
      </c>
      <c r="F261" t="s">
        <v>187</v>
      </c>
      <c r="G261" s="1">
        <v>45754</v>
      </c>
      <c r="H261" s="1">
        <v>45754</v>
      </c>
      <c r="I261" s="2">
        <v>468</v>
      </c>
      <c r="J261" t="s">
        <v>774</v>
      </c>
      <c r="K261" t="s">
        <v>787</v>
      </c>
      <c r="L261" t="s">
        <v>823</v>
      </c>
      <c r="M261" t="s">
        <v>829</v>
      </c>
      <c r="N261" t="str">
        <f t="shared" si="12"/>
        <v>T-2</v>
      </c>
      <c r="O261">
        <f t="shared" si="13"/>
        <v>2025</v>
      </c>
      <c r="P261" t="str">
        <f t="shared" si="14"/>
        <v>4. abril</v>
      </c>
    </row>
    <row r="262" spans="1:16" x14ac:dyDescent="0.35">
      <c r="A262">
        <v>720921</v>
      </c>
      <c r="B262" t="s">
        <v>5</v>
      </c>
      <c r="C262" t="s">
        <v>138</v>
      </c>
      <c r="D262" t="s">
        <v>286</v>
      </c>
      <c r="E262" t="s">
        <v>652</v>
      </c>
      <c r="F262" t="s">
        <v>187</v>
      </c>
      <c r="G262" s="1">
        <v>45754</v>
      </c>
      <c r="H262" s="1">
        <v>45754</v>
      </c>
      <c r="I262" s="2">
        <v>1170</v>
      </c>
      <c r="J262" t="s">
        <v>774</v>
      </c>
      <c r="K262" t="s">
        <v>800</v>
      </c>
      <c r="L262" t="s">
        <v>823</v>
      </c>
      <c r="M262" t="s">
        <v>830</v>
      </c>
      <c r="N262" t="str">
        <f t="shared" si="12"/>
        <v>T-2</v>
      </c>
      <c r="O262">
        <f t="shared" si="13"/>
        <v>2025</v>
      </c>
      <c r="P262" t="str">
        <f t="shared" si="14"/>
        <v>4. abril</v>
      </c>
    </row>
    <row r="263" spans="1:16" x14ac:dyDescent="0.35">
      <c r="A263">
        <v>467558</v>
      </c>
      <c r="B263" t="s">
        <v>11</v>
      </c>
      <c r="C263" t="s">
        <v>138</v>
      </c>
      <c r="D263" t="s">
        <v>287</v>
      </c>
      <c r="E263" t="s">
        <v>652</v>
      </c>
      <c r="F263" t="s">
        <v>187</v>
      </c>
      <c r="G263" s="1">
        <v>45754</v>
      </c>
      <c r="H263" s="1">
        <v>45754</v>
      </c>
      <c r="I263" s="2">
        <v>234</v>
      </c>
      <c r="J263" t="s">
        <v>774</v>
      </c>
      <c r="K263" t="s">
        <v>787</v>
      </c>
      <c r="L263" t="s">
        <v>823</v>
      </c>
      <c r="M263" t="s">
        <v>830</v>
      </c>
      <c r="N263" t="str">
        <f t="shared" si="12"/>
        <v>T-2</v>
      </c>
      <c r="O263">
        <f t="shared" si="13"/>
        <v>2025</v>
      </c>
      <c r="P263" t="str">
        <f t="shared" si="14"/>
        <v>4. abril</v>
      </c>
    </row>
    <row r="264" spans="1:16" x14ac:dyDescent="0.35">
      <c r="A264">
        <v>392145</v>
      </c>
      <c r="B264" t="s">
        <v>13</v>
      </c>
      <c r="C264" t="s">
        <v>136</v>
      </c>
      <c r="D264" t="s">
        <v>287</v>
      </c>
      <c r="E264" t="s">
        <v>652</v>
      </c>
      <c r="F264" t="s">
        <v>187</v>
      </c>
      <c r="G264" s="1">
        <v>45754</v>
      </c>
      <c r="H264" s="1">
        <v>45754</v>
      </c>
      <c r="I264" s="2">
        <v>702</v>
      </c>
      <c r="J264" t="s">
        <v>774</v>
      </c>
      <c r="K264" t="s">
        <v>783</v>
      </c>
      <c r="L264" t="s">
        <v>823</v>
      </c>
      <c r="M264" t="s">
        <v>828</v>
      </c>
      <c r="N264" t="str">
        <f t="shared" si="12"/>
        <v>T-2</v>
      </c>
      <c r="O264">
        <f t="shared" si="13"/>
        <v>2025</v>
      </c>
      <c r="P264" t="str">
        <f t="shared" si="14"/>
        <v>4. abril</v>
      </c>
    </row>
    <row r="265" spans="1:16" x14ac:dyDescent="0.35">
      <c r="A265">
        <v>718323</v>
      </c>
      <c r="B265" t="s">
        <v>57</v>
      </c>
      <c r="C265" t="s">
        <v>138</v>
      </c>
      <c r="D265" t="s">
        <v>304</v>
      </c>
      <c r="E265" t="s">
        <v>705</v>
      </c>
      <c r="F265" t="s">
        <v>187</v>
      </c>
      <c r="G265" s="1">
        <v>45744</v>
      </c>
      <c r="H265" s="1">
        <v>45833</v>
      </c>
      <c r="I265" s="2">
        <v>1650</v>
      </c>
      <c r="J265" t="s">
        <v>779</v>
      </c>
      <c r="K265" t="s">
        <v>783</v>
      </c>
      <c r="L265" t="s">
        <v>823</v>
      </c>
      <c r="M265" t="s">
        <v>828</v>
      </c>
      <c r="N265" t="str">
        <f t="shared" si="12"/>
        <v>T-1</v>
      </c>
      <c r="O265">
        <f t="shared" si="13"/>
        <v>2025</v>
      </c>
      <c r="P265" t="str">
        <f t="shared" si="14"/>
        <v>3. marzo</v>
      </c>
    </row>
    <row r="266" spans="1:16" x14ac:dyDescent="0.35">
      <c r="A266">
        <v>715079</v>
      </c>
      <c r="B266" t="s">
        <v>24</v>
      </c>
      <c r="C266" t="s">
        <v>138</v>
      </c>
      <c r="D266" t="s">
        <v>306</v>
      </c>
      <c r="E266" t="s">
        <v>667</v>
      </c>
      <c r="F266" t="s">
        <v>187</v>
      </c>
      <c r="G266" s="1">
        <v>45755</v>
      </c>
      <c r="H266" s="1">
        <v>45755</v>
      </c>
      <c r="I266" s="2">
        <v>350</v>
      </c>
      <c r="J266" t="s">
        <v>777</v>
      </c>
      <c r="K266" t="s">
        <v>783</v>
      </c>
      <c r="L266" t="s">
        <v>824</v>
      </c>
      <c r="M266" t="s">
        <v>830</v>
      </c>
      <c r="N266" t="str">
        <f t="shared" si="12"/>
        <v>T-2</v>
      </c>
      <c r="O266">
        <f t="shared" si="13"/>
        <v>2025</v>
      </c>
      <c r="P266" t="str">
        <f t="shared" si="14"/>
        <v>4. abril</v>
      </c>
    </row>
    <row r="267" spans="1:16" x14ac:dyDescent="0.35">
      <c r="A267">
        <v>470286</v>
      </c>
      <c r="B267" t="s">
        <v>39</v>
      </c>
      <c r="C267" t="s">
        <v>138</v>
      </c>
      <c r="D267" t="s">
        <v>160</v>
      </c>
      <c r="E267" t="s">
        <v>654</v>
      </c>
      <c r="F267" t="s">
        <v>187</v>
      </c>
      <c r="G267" s="1">
        <v>45754</v>
      </c>
      <c r="H267" s="1">
        <v>45754</v>
      </c>
      <c r="I267" s="2">
        <v>991.67</v>
      </c>
      <c r="J267" t="s">
        <v>777</v>
      </c>
      <c r="K267" t="s">
        <v>783</v>
      </c>
      <c r="L267" t="s">
        <v>823</v>
      </c>
      <c r="M267" t="s">
        <v>829</v>
      </c>
      <c r="N267" t="str">
        <f t="shared" si="12"/>
        <v>T-2</v>
      </c>
      <c r="O267">
        <f t="shared" si="13"/>
        <v>2025</v>
      </c>
      <c r="P267" t="str">
        <f t="shared" si="14"/>
        <v>4. abril</v>
      </c>
    </row>
    <row r="268" spans="1:16" x14ac:dyDescent="0.35">
      <c r="A268">
        <v>591950</v>
      </c>
      <c r="B268" t="s">
        <v>31</v>
      </c>
      <c r="C268" t="s">
        <v>136</v>
      </c>
      <c r="D268" t="s">
        <v>160</v>
      </c>
      <c r="E268" t="s">
        <v>654</v>
      </c>
      <c r="F268" t="s">
        <v>187</v>
      </c>
      <c r="G268" s="1">
        <v>45751</v>
      </c>
      <c r="H268" s="1">
        <v>45751</v>
      </c>
      <c r="I268" s="2">
        <v>308</v>
      </c>
      <c r="J268" t="s">
        <v>777</v>
      </c>
      <c r="K268" t="s">
        <v>786</v>
      </c>
      <c r="L268" t="s">
        <v>823</v>
      </c>
      <c r="M268" t="s">
        <v>830</v>
      </c>
      <c r="N268" t="str">
        <f t="shared" si="12"/>
        <v>T-2</v>
      </c>
      <c r="O268">
        <f t="shared" si="13"/>
        <v>2025</v>
      </c>
      <c r="P268" t="str">
        <f t="shared" si="14"/>
        <v>4. abril</v>
      </c>
    </row>
    <row r="269" spans="1:16" x14ac:dyDescent="0.35">
      <c r="A269">
        <v>433245</v>
      </c>
      <c r="B269" t="s">
        <v>13</v>
      </c>
      <c r="C269" t="s">
        <v>138</v>
      </c>
      <c r="D269" t="s">
        <v>161</v>
      </c>
      <c r="E269" t="s">
        <v>679</v>
      </c>
      <c r="F269" t="s">
        <v>187</v>
      </c>
      <c r="G269" s="1">
        <v>45758</v>
      </c>
      <c r="H269" s="1">
        <v>45758</v>
      </c>
      <c r="I269" s="2">
        <v>289.64</v>
      </c>
      <c r="J269" t="s">
        <v>779</v>
      </c>
      <c r="K269" t="s">
        <v>783</v>
      </c>
      <c r="L269" t="s">
        <v>823</v>
      </c>
      <c r="M269" t="s">
        <v>830</v>
      </c>
      <c r="N269" t="str">
        <f t="shared" si="12"/>
        <v>T-2</v>
      </c>
      <c r="O269">
        <f t="shared" si="13"/>
        <v>2025</v>
      </c>
      <c r="P269" t="str">
        <f t="shared" si="14"/>
        <v>4. abril</v>
      </c>
    </row>
    <row r="270" spans="1:16" x14ac:dyDescent="0.35">
      <c r="A270">
        <v>478186</v>
      </c>
      <c r="B270" t="s">
        <v>4</v>
      </c>
      <c r="C270" t="s">
        <v>138</v>
      </c>
      <c r="D270" t="s">
        <v>161</v>
      </c>
      <c r="E270" t="s">
        <v>679</v>
      </c>
      <c r="F270" t="s">
        <v>187</v>
      </c>
      <c r="G270" s="1">
        <v>45758</v>
      </c>
      <c r="H270" s="1">
        <v>45758</v>
      </c>
      <c r="I270" s="2">
        <v>3910.36</v>
      </c>
      <c r="J270" t="s">
        <v>779</v>
      </c>
      <c r="K270" t="s">
        <v>783</v>
      </c>
      <c r="L270" t="s">
        <v>823</v>
      </c>
      <c r="M270" t="s">
        <v>828</v>
      </c>
      <c r="N270" t="str">
        <f t="shared" si="12"/>
        <v>T-2</v>
      </c>
      <c r="O270">
        <f t="shared" si="13"/>
        <v>2025</v>
      </c>
      <c r="P270" t="str">
        <f t="shared" si="14"/>
        <v>4. abril</v>
      </c>
    </row>
    <row r="271" spans="1:16" x14ac:dyDescent="0.35">
      <c r="A271">
        <v>716442</v>
      </c>
      <c r="B271" t="s">
        <v>33</v>
      </c>
      <c r="C271" t="s">
        <v>138</v>
      </c>
      <c r="D271" t="s">
        <v>307</v>
      </c>
      <c r="E271" t="s">
        <v>669</v>
      </c>
      <c r="F271" t="s">
        <v>187</v>
      </c>
      <c r="G271" s="1">
        <v>45749</v>
      </c>
      <c r="H271" s="1">
        <v>45749</v>
      </c>
      <c r="I271" s="2">
        <v>675</v>
      </c>
      <c r="J271" t="s">
        <v>777</v>
      </c>
      <c r="K271" t="s">
        <v>794</v>
      </c>
      <c r="L271" t="s">
        <v>823</v>
      </c>
      <c r="M271" t="s">
        <v>828</v>
      </c>
      <c r="N271" t="str">
        <f t="shared" si="12"/>
        <v>T-2</v>
      </c>
      <c r="O271">
        <f t="shared" si="13"/>
        <v>2025</v>
      </c>
      <c r="P271" t="str">
        <f t="shared" si="14"/>
        <v>4. abril</v>
      </c>
    </row>
    <row r="272" spans="1:16" x14ac:dyDescent="0.35">
      <c r="A272">
        <v>723701</v>
      </c>
      <c r="B272" t="s">
        <v>30</v>
      </c>
      <c r="C272" t="s">
        <v>137</v>
      </c>
      <c r="D272" t="s">
        <v>223</v>
      </c>
      <c r="E272" t="s">
        <v>674</v>
      </c>
      <c r="F272" t="s">
        <v>187</v>
      </c>
      <c r="G272" s="1">
        <v>45751</v>
      </c>
      <c r="H272" s="1">
        <v>45751</v>
      </c>
      <c r="I272" s="2">
        <v>1297.8</v>
      </c>
      <c r="J272" t="s">
        <v>777</v>
      </c>
      <c r="K272" t="s">
        <v>786</v>
      </c>
      <c r="L272" t="s">
        <v>823</v>
      </c>
      <c r="M272" t="s">
        <v>829</v>
      </c>
      <c r="N272" t="str">
        <f t="shared" si="12"/>
        <v>T-2</v>
      </c>
      <c r="O272">
        <f t="shared" si="13"/>
        <v>2025</v>
      </c>
      <c r="P272" t="str">
        <f t="shared" si="14"/>
        <v>4. abril</v>
      </c>
    </row>
    <row r="273" spans="1:16" x14ac:dyDescent="0.35">
      <c r="A273">
        <v>715746</v>
      </c>
      <c r="B273" t="s">
        <v>4</v>
      </c>
      <c r="C273" t="s">
        <v>138</v>
      </c>
      <c r="D273" t="s">
        <v>267</v>
      </c>
      <c r="E273" t="s">
        <v>682</v>
      </c>
      <c r="F273" t="s">
        <v>187</v>
      </c>
      <c r="G273" s="1">
        <v>45740</v>
      </c>
      <c r="H273" s="1">
        <v>45740</v>
      </c>
      <c r="I273" s="2">
        <v>960</v>
      </c>
      <c r="J273" t="s">
        <v>777</v>
      </c>
      <c r="K273" t="s">
        <v>786</v>
      </c>
      <c r="L273" t="s">
        <v>823</v>
      </c>
      <c r="M273" t="s">
        <v>830</v>
      </c>
      <c r="N273" t="str">
        <f t="shared" si="12"/>
        <v>T-1</v>
      </c>
      <c r="O273">
        <f t="shared" si="13"/>
        <v>2025</v>
      </c>
      <c r="P273" t="str">
        <f t="shared" si="14"/>
        <v>3. marzo</v>
      </c>
    </row>
    <row r="274" spans="1:16" x14ac:dyDescent="0.35">
      <c r="A274">
        <v>610317</v>
      </c>
      <c r="B274" t="s">
        <v>13</v>
      </c>
      <c r="C274" t="s">
        <v>138</v>
      </c>
      <c r="D274" t="s">
        <v>308</v>
      </c>
      <c r="E274" t="s">
        <v>707</v>
      </c>
      <c r="F274" t="s">
        <v>773</v>
      </c>
      <c r="G274" s="1">
        <v>45796</v>
      </c>
      <c r="H274" s="1">
        <v>45976</v>
      </c>
      <c r="I274" s="2">
        <v>1320</v>
      </c>
      <c r="J274" t="s">
        <v>776</v>
      </c>
      <c r="K274" t="s">
        <v>786</v>
      </c>
      <c r="L274" t="s">
        <v>824</v>
      </c>
      <c r="M274" t="s">
        <v>830</v>
      </c>
      <c r="N274" t="str">
        <f t="shared" si="12"/>
        <v>T-2</v>
      </c>
      <c r="O274">
        <f t="shared" si="13"/>
        <v>2025</v>
      </c>
      <c r="P274" t="str">
        <f t="shared" si="14"/>
        <v>5. mayo</v>
      </c>
    </row>
    <row r="275" spans="1:16" x14ac:dyDescent="0.35">
      <c r="A275">
        <v>709206</v>
      </c>
      <c r="B275" t="s">
        <v>20</v>
      </c>
      <c r="C275" t="s">
        <v>136</v>
      </c>
      <c r="D275" t="s">
        <v>308</v>
      </c>
      <c r="E275" t="s">
        <v>707</v>
      </c>
      <c r="F275" t="s">
        <v>773</v>
      </c>
      <c r="G275" s="1">
        <v>45796</v>
      </c>
      <c r="H275" s="1">
        <v>45976</v>
      </c>
      <c r="I275" s="2">
        <v>1320</v>
      </c>
      <c r="J275" t="s">
        <v>776</v>
      </c>
      <c r="K275" t="s">
        <v>787</v>
      </c>
      <c r="L275" t="s">
        <v>823</v>
      </c>
      <c r="M275" t="s">
        <v>828</v>
      </c>
      <c r="N275" t="str">
        <f t="shared" si="12"/>
        <v>T-2</v>
      </c>
      <c r="O275">
        <f t="shared" si="13"/>
        <v>2025</v>
      </c>
      <c r="P275" t="str">
        <f t="shared" si="14"/>
        <v>5. mayo</v>
      </c>
    </row>
    <row r="276" spans="1:16" x14ac:dyDescent="0.35">
      <c r="A276">
        <v>403905</v>
      </c>
      <c r="B276" t="s">
        <v>25</v>
      </c>
      <c r="C276" t="s">
        <v>139</v>
      </c>
      <c r="D276" t="s">
        <v>308</v>
      </c>
      <c r="E276" t="s">
        <v>707</v>
      </c>
      <c r="F276" t="s">
        <v>773</v>
      </c>
      <c r="G276" s="1">
        <v>45796</v>
      </c>
      <c r="H276" s="1">
        <v>45976</v>
      </c>
      <c r="I276" s="2">
        <v>1320</v>
      </c>
      <c r="J276" t="s">
        <v>776</v>
      </c>
      <c r="K276" t="s">
        <v>786</v>
      </c>
      <c r="L276" t="s">
        <v>823</v>
      </c>
      <c r="M276" t="s">
        <v>830</v>
      </c>
      <c r="N276" t="str">
        <f t="shared" si="12"/>
        <v>T-2</v>
      </c>
      <c r="O276">
        <f t="shared" si="13"/>
        <v>2025</v>
      </c>
      <c r="P276" t="str">
        <f t="shared" si="14"/>
        <v>5. mayo</v>
      </c>
    </row>
    <row r="277" spans="1:16" x14ac:dyDescent="0.35">
      <c r="A277">
        <v>710876</v>
      </c>
      <c r="B277" t="s">
        <v>60</v>
      </c>
      <c r="C277" t="s">
        <v>137</v>
      </c>
      <c r="D277" t="s">
        <v>308</v>
      </c>
      <c r="E277" t="s">
        <v>707</v>
      </c>
      <c r="F277" t="s">
        <v>773</v>
      </c>
      <c r="G277" s="1">
        <v>45796</v>
      </c>
      <c r="H277" s="1">
        <v>45976</v>
      </c>
      <c r="I277" s="2">
        <v>1320</v>
      </c>
      <c r="J277" t="s">
        <v>776</v>
      </c>
      <c r="K277" t="s">
        <v>786</v>
      </c>
      <c r="L277" t="s">
        <v>823</v>
      </c>
      <c r="M277" t="s">
        <v>829</v>
      </c>
      <c r="N277" t="str">
        <f t="shared" si="12"/>
        <v>T-2</v>
      </c>
      <c r="O277">
        <f t="shared" si="13"/>
        <v>2025</v>
      </c>
      <c r="P277" t="str">
        <f t="shared" si="14"/>
        <v>5. mayo</v>
      </c>
    </row>
    <row r="278" spans="1:16" x14ac:dyDescent="0.35">
      <c r="A278">
        <v>703999</v>
      </c>
      <c r="B278" t="s">
        <v>4</v>
      </c>
      <c r="C278" t="s">
        <v>138</v>
      </c>
      <c r="D278" t="s">
        <v>309</v>
      </c>
      <c r="E278" t="s">
        <v>682</v>
      </c>
      <c r="F278" t="s">
        <v>187</v>
      </c>
      <c r="G278" s="1">
        <v>45740</v>
      </c>
      <c r="H278" s="1">
        <v>45740</v>
      </c>
      <c r="I278" s="2">
        <v>660</v>
      </c>
      <c r="J278" t="s">
        <v>777</v>
      </c>
      <c r="K278" t="s">
        <v>783</v>
      </c>
      <c r="L278" t="s">
        <v>823</v>
      </c>
      <c r="M278" t="s">
        <v>830</v>
      </c>
      <c r="N278" t="str">
        <f t="shared" si="12"/>
        <v>T-1</v>
      </c>
      <c r="O278">
        <f t="shared" si="13"/>
        <v>2025</v>
      </c>
      <c r="P278" t="str">
        <f t="shared" si="14"/>
        <v>3. marzo</v>
      </c>
    </row>
    <row r="279" spans="1:16" x14ac:dyDescent="0.35">
      <c r="A279">
        <v>467568</v>
      </c>
      <c r="B279" t="s">
        <v>30</v>
      </c>
      <c r="C279" t="s">
        <v>136</v>
      </c>
      <c r="D279" t="s">
        <v>269</v>
      </c>
      <c r="E279" t="s">
        <v>695</v>
      </c>
      <c r="F279" t="s">
        <v>187</v>
      </c>
      <c r="G279" s="1">
        <v>45747</v>
      </c>
      <c r="H279" s="1">
        <v>45751</v>
      </c>
      <c r="I279" s="2">
        <v>1664</v>
      </c>
      <c r="J279" t="s">
        <v>776</v>
      </c>
      <c r="K279" t="s">
        <v>783</v>
      </c>
      <c r="L279" t="s">
        <v>823</v>
      </c>
      <c r="M279" t="s">
        <v>830</v>
      </c>
      <c r="N279" t="str">
        <f t="shared" si="12"/>
        <v>T-1</v>
      </c>
      <c r="O279">
        <f t="shared" si="13"/>
        <v>2025</v>
      </c>
      <c r="P279" t="str">
        <f t="shared" si="14"/>
        <v>3. marzo</v>
      </c>
    </row>
    <row r="280" spans="1:16" x14ac:dyDescent="0.35">
      <c r="A280">
        <v>473336</v>
      </c>
      <c r="B280" t="s">
        <v>17</v>
      </c>
      <c r="C280" t="s">
        <v>138</v>
      </c>
      <c r="D280" t="s">
        <v>307</v>
      </c>
      <c r="E280" t="s">
        <v>669</v>
      </c>
      <c r="F280" t="s">
        <v>187</v>
      </c>
      <c r="G280" s="1">
        <v>45735</v>
      </c>
      <c r="H280" s="1">
        <v>45735</v>
      </c>
      <c r="I280" s="2">
        <v>675</v>
      </c>
      <c r="J280" t="s">
        <v>777</v>
      </c>
      <c r="K280" t="s">
        <v>783</v>
      </c>
      <c r="L280" t="s">
        <v>824</v>
      </c>
      <c r="M280" t="s">
        <v>828</v>
      </c>
      <c r="N280" t="str">
        <f t="shared" si="12"/>
        <v>T-1</v>
      </c>
      <c r="O280">
        <f t="shared" si="13"/>
        <v>2025</v>
      </c>
      <c r="P280" t="str">
        <f t="shared" si="14"/>
        <v>3. marzo</v>
      </c>
    </row>
    <row r="281" spans="1:16" x14ac:dyDescent="0.35">
      <c r="A281">
        <v>417993</v>
      </c>
      <c r="B281" t="s">
        <v>5</v>
      </c>
      <c r="C281" t="s">
        <v>139</v>
      </c>
      <c r="D281" t="s">
        <v>195</v>
      </c>
      <c r="E281" t="s">
        <v>654</v>
      </c>
      <c r="F281" t="s">
        <v>187</v>
      </c>
      <c r="G281" s="1">
        <v>45754</v>
      </c>
      <c r="H281" s="1">
        <v>45754</v>
      </c>
      <c r="I281" s="2">
        <v>714</v>
      </c>
      <c r="J281" t="s">
        <v>777</v>
      </c>
      <c r="K281" t="s">
        <v>783</v>
      </c>
      <c r="L281" t="s">
        <v>823</v>
      </c>
      <c r="M281" t="s">
        <v>828</v>
      </c>
      <c r="N281" t="str">
        <f t="shared" si="12"/>
        <v>T-2</v>
      </c>
      <c r="O281">
        <f t="shared" si="13"/>
        <v>2025</v>
      </c>
      <c r="P281" t="str">
        <f t="shared" si="14"/>
        <v>4. abril</v>
      </c>
    </row>
    <row r="282" spans="1:16" x14ac:dyDescent="0.35">
      <c r="A282">
        <v>712010</v>
      </c>
      <c r="B282" t="s">
        <v>2</v>
      </c>
      <c r="C282" t="s">
        <v>138</v>
      </c>
      <c r="D282" t="s">
        <v>195</v>
      </c>
      <c r="E282" t="s">
        <v>654</v>
      </c>
      <c r="F282" t="s">
        <v>187</v>
      </c>
      <c r="G282" s="1">
        <v>45754</v>
      </c>
      <c r="H282" s="1">
        <v>45754</v>
      </c>
      <c r="I282" s="2">
        <v>476</v>
      </c>
      <c r="J282" t="s">
        <v>777</v>
      </c>
      <c r="K282" t="s">
        <v>786</v>
      </c>
      <c r="L282" t="s">
        <v>823</v>
      </c>
      <c r="M282" t="s">
        <v>830</v>
      </c>
      <c r="N282" t="str">
        <f t="shared" si="12"/>
        <v>T-2</v>
      </c>
      <c r="O282">
        <f t="shared" si="13"/>
        <v>2025</v>
      </c>
      <c r="P282" t="str">
        <f t="shared" si="14"/>
        <v>4. abril</v>
      </c>
    </row>
    <row r="283" spans="1:16" x14ac:dyDescent="0.35">
      <c r="A283">
        <v>712766</v>
      </c>
      <c r="B283" t="s">
        <v>22</v>
      </c>
      <c r="C283" t="s">
        <v>137</v>
      </c>
      <c r="D283" t="s">
        <v>156</v>
      </c>
      <c r="E283" t="s">
        <v>673</v>
      </c>
      <c r="F283" t="s">
        <v>187</v>
      </c>
      <c r="G283" s="1">
        <v>45758</v>
      </c>
      <c r="H283" s="1">
        <v>45758</v>
      </c>
      <c r="I283" s="2">
        <v>1875</v>
      </c>
      <c r="J283" t="s">
        <v>779</v>
      </c>
      <c r="K283" t="s">
        <v>786</v>
      </c>
      <c r="L283" t="s">
        <v>823</v>
      </c>
      <c r="M283" t="s">
        <v>829</v>
      </c>
      <c r="N283" t="str">
        <f t="shared" si="12"/>
        <v>T-2</v>
      </c>
      <c r="O283">
        <f t="shared" si="13"/>
        <v>2025</v>
      </c>
      <c r="P283" t="str">
        <f t="shared" si="14"/>
        <v>4. abril</v>
      </c>
    </row>
    <row r="284" spans="1:16" x14ac:dyDescent="0.35">
      <c r="A284">
        <v>719056</v>
      </c>
      <c r="B284" t="s">
        <v>34</v>
      </c>
      <c r="C284" t="s">
        <v>138</v>
      </c>
      <c r="D284" t="s">
        <v>147</v>
      </c>
      <c r="E284" t="s">
        <v>677</v>
      </c>
      <c r="F284" t="s">
        <v>187</v>
      </c>
      <c r="G284" s="1">
        <v>45729</v>
      </c>
      <c r="H284" s="1">
        <v>45729</v>
      </c>
      <c r="I284" s="2">
        <v>1241.33</v>
      </c>
      <c r="J284" t="s">
        <v>779</v>
      </c>
      <c r="K284" t="s">
        <v>785</v>
      </c>
      <c r="L284" t="s">
        <v>823</v>
      </c>
      <c r="M284" t="s">
        <v>830</v>
      </c>
      <c r="N284" t="str">
        <f t="shared" si="12"/>
        <v>T-1</v>
      </c>
      <c r="O284">
        <f t="shared" si="13"/>
        <v>2025</v>
      </c>
      <c r="P284" t="str">
        <f t="shared" si="14"/>
        <v>3. marzo</v>
      </c>
    </row>
    <row r="285" spans="1:16" x14ac:dyDescent="0.35">
      <c r="A285">
        <v>704580</v>
      </c>
      <c r="B285" t="s">
        <v>23</v>
      </c>
      <c r="C285" t="s">
        <v>138</v>
      </c>
      <c r="D285" t="s">
        <v>281</v>
      </c>
      <c r="E285" t="s">
        <v>677</v>
      </c>
      <c r="F285" t="s">
        <v>187</v>
      </c>
      <c r="G285" s="1">
        <v>45756</v>
      </c>
      <c r="H285" s="1">
        <v>45756</v>
      </c>
      <c r="I285" s="2">
        <v>1241.33</v>
      </c>
      <c r="J285" t="s">
        <v>779</v>
      </c>
      <c r="K285" t="s">
        <v>783</v>
      </c>
      <c r="L285" t="s">
        <v>823</v>
      </c>
      <c r="M285" t="s">
        <v>830</v>
      </c>
      <c r="N285" t="str">
        <f t="shared" si="12"/>
        <v>T-2</v>
      </c>
      <c r="O285">
        <f t="shared" si="13"/>
        <v>2025</v>
      </c>
      <c r="P285" t="str">
        <f t="shared" si="14"/>
        <v>4. abril</v>
      </c>
    </row>
    <row r="286" spans="1:16" x14ac:dyDescent="0.35">
      <c r="A286">
        <v>508013</v>
      </c>
      <c r="B286" t="s">
        <v>20</v>
      </c>
      <c r="C286" t="s">
        <v>136</v>
      </c>
      <c r="D286" t="s">
        <v>169</v>
      </c>
      <c r="E286" t="s">
        <v>658</v>
      </c>
      <c r="F286" t="s">
        <v>187</v>
      </c>
      <c r="G286" s="1">
        <v>45747</v>
      </c>
      <c r="H286" s="1">
        <v>45757</v>
      </c>
      <c r="I286" s="2">
        <v>312</v>
      </c>
      <c r="J286" t="s">
        <v>774</v>
      </c>
      <c r="K286" t="s">
        <v>791</v>
      </c>
      <c r="L286" t="s">
        <v>823</v>
      </c>
      <c r="M286" t="s">
        <v>828</v>
      </c>
      <c r="N286" t="str">
        <f t="shared" si="12"/>
        <v>T-1</v>
      </c>
      <c r="O286">
        <f t="shared" si="13"/>
        <v>2025</v>
      </c>
      <c r="P286" t="str">
        <f t="shared" si="14"/>
        <v>3. marzo</v>
      </c>
    </row>
    <row r="287" spans="1:16" x14ac:dyDescent="0.35">
      <c r="A287">
        <v>530486</v>
      </c>
      <c r="B287" t="s">
        <v>66</v>
      </c>
      <c r="C287" t="s">
        <v>138</v>
      </c>
      <c r="D287" t="s">
        <v>169</v>
      </c>
      <c r="E287" t="s">
        <v>658</v>
      </c>
      <c r="F287" t="s">
        <v>187</v>
      </c>
      <c r="G287" s="1">
        <v>45747</v>
      </c>
      <c r="H287" s="1">
        <v>45757</v>
      </c>
      <c r="I287" s="2">
        <v>1248</v>
      </c>
      <c r="J287" t="s">
        <v>774</v>
      </c>
      <c r="K287" t="s">
        <v>785</v>
      </c>
      <c r="L287" t="s">
        <v>824</v>
      </c>
      <c r="M287" t="s">
        <v>828</v>
      </c>
      <c r="N287" t="str">
        <f t="shared" si="12"/>
        <v>T-1</v>
      </c>
      <c r="O287">
        <f t="shared" si="13"/>
        <v>2025</v>
      </c>
      <c r="P287" t="str">
        <f t="shared" si="14"/>
        <v>3. marzo</v>
      </c>
    </row>
    <row r="288" spans="1:16" x14ac:dyDescent="0.35">
      <c r="A288">
        <v>723983</v>
      </c>
      <c r="B288" t="s">
        <v>23</v>
      </c>
      <c r="C288" t="s">
        <v>138</v>
      </c>
      <c r="D288" t="s">
        <v>158</v>
      </c>
      <c r="E288" t="s">
        <v>648</v>
      </c>
      <c r="F288" t="s">
        <v>773</v>
      </c>
      <c r="G288" s="1">
        <v>45775</v>
      </c>
      <c r="H288" s="1">
        <v>45994</v>
      </c>
      <c r="I288" s="2">
        <v>1820</v>
      </c>
      <c r="J288" t="s">
        <v>775</v>
      </c>
      <c r="K288" t="s">
        <v>787</v>
      </c>
      <c r="L288" t="s">
        <v>823</v>
      </c>
      <c r="M288" t="s">
        <v>829</v>
      </c>
      <c r="N288" t="str">
        <f t="shared" si="12"/>
        <v>T-2</v>
      </c>
      <c r="O288">
        <f t="shared" si="13"/>
        <v>2025</v>
      </c>
      <c r="P288" t="str">
        <f t="shared" si="14"/>
        <v>4. abril</v>
      </c>
    </row>
    <row r="289" spans="1:16" x14ac:dyDescent="0.35">
      <c r="A289">
        <v>707073</v>
      </c>
      <c r="B289" t="s">
        <v>14</v>
      </c>
      <c r="C289" t="s">
        <v>141</v>
      </c>
      <c r="D289" t="s">
        <v>158</v>
      </c>
      <c r="E289" t="s">
        <v>648</v>
      </c>
      <c r="F289" t="s">
        <v>773</v>
      </c>
      <c r="G289" s="1">
        <v>45768</v>
      </c>
      <c r="H289" s="1">
        <v>45980</v>
      </c>
      <c r="I289" s="2">
        <v>1820</v>
      </c>
      <c r="J289" t="s">
        <v>775</v>
      </c>
      <c r="K289" t="s">
        <v>783</v>
      </c>
      <c r="L289" t="s">
        <v>823</v>
      </c>
      <c r="M289" t="s">
        <v>830</v>
      </c>
      <c r="N289" t="str">
        <f t="shared" si="12"/>
        <v>T-2</v>
      </c>
      <c r="O289">
        <f t="shared" si="13"/>
        <v>2025</v>
      </c>
      <c r="P289" t="str">
        <f t="shared" si="14"/>
        <v>4. abril</v>
      </c>
    </row>
    <row r="290" spans="1:16" x14ac:dyDescent="0.35">
      <c r="A290">
        <v>712197</v>
      </c>
      <c r="B290" t="s">
        <v>28</v>
      </c>
      <c r="C290" t="s">
        <v>139</v>
      </c>
      <c r="D290" t="s">
        <v>310</v>
      </c>
      <c r="E290" t="s">
        <v>648</v>
      </c>
      <c r="F290" t="s">
        <v>773</v>
      </c>
      <c r="G290" s="1">
        <v>45769</v>
      </c>
      <c r="H290" s="1">
        <v>46007</v>
      </c>
      <c r="I290" s="2">
        <v>1820</v>
      </c>
      <c r="J290" t="s">
        <v>775</v>
      </c>
      <c r="K290" t="s">
        <v>785</v>
      </c>
      <c r="L290" t="s">
        <v>823</v>
      </c>
      <c r="M290" t="s">
        <v>830</v>
      </c>
      <c r="N290" t="str">
        <f t="shared" si="12"/>
        <v>T-2</v>
      </c>
      <c r="O290">
        <f t="shared" si="13"/>
        <v>2025</v>
      </c>
      <c r="P290" t="str">
        <f t="shared" si="14"/>
        <v>4. abril</v>
      </c>
    </row>
    <row r="291" spans="1:16" x14ac:dyDescent="0.35">
      <c r="A291">
        <v>718281</v>
      </c>
      <c r="B291" t="s">
        <v>30</v>
      </c>
      <c r="C291" t="s">
        <v>138</v>
      </c>
      <c r="D291" t="s">
        <v>311</v>
      </c>
      <c r="E291" t="s">
        <v>675</v>
      </c>
      <c r="F291" t="s">
        <v>187</v>
      </c>
      <c r="G291" s="1">
        <v>45748</v>
      </c>
      <c r="H291" s="1">
        <v>45755</v>
      </c>
      <c r="I291" s="2">
        <v>1353.85</v>
      </c>
      <c r="J291" t="s">
        <v>779</v>
      </c>
      <c r="K291" t="s">
        <v>788</v>
      </c>
      <c r="L291" t="s">
        <v>823</v>
      </c>
      <c r="M291" t="s">
        <v>828</v>
      </c>
      <c r="N291" t="str">
        <f t="shared" si="12"/>
        <v>T-2</v>
      </c>
      <c r="O291">
        <f t="shared" si="13"/>
        <v>2025</v>
      </c>
      <c r="P291" t="str">
        <f t="shared" si="14"/>
        <v>4. abril</v>
      </c>
    </row>
    <row r="292" spans="1:16" x14ac:dyDescent="0.35">
      <c r="A292">
        <v>601974</v>
      </c>
      <c r="B292" t="s">
        <v>5</v>
      </c>
      <c r="C292" t="s">
        <v>138</v>
      </c>
      <c r="D292" t="s">
        <v>186</v>
      </c>
      <c r="E292" t="s">
        <v>708</v>
      </c>
      <c r="F292" t="s">
        <v>187</v>
      </c>
      <c r="G292" s="1">
        <v>45768</v>
      </c>
      <c r="H292" s="1">
        <v>45859</v>
      </c>
      <c r="I292" s="2">
        <v>688</v>
      </c>
      <c r="J292" t="s">
        <v>777</v>
      </c>
      <c r="K292" t="s">
        <v>783</v>
      </c>
      <c r="L292" t="s">
        <v>823</v>
      </c>
      <c r="M292" t="s">
        <v>830</v>
      </c>
      <c r="N292" t="str">
        <f t="shared" si="12"/>
        <v>T-2</v>
      </c>
      <c r="O292">
        <f t="shared" si="13"/>
        <v>2025</v>
      </c>
      <c r="P292" t="str">
        <f t="shared" si="14"/>
        <v>4. abril</v>
      </c>
    </row>
    <row r="293" spans="1:16" x14ac:dyDescent="0.35">
      <c r="A293">
        <v>561613</v>
      </c>
      <c r="B293" t="s">
        <v>20</v>
      </c>
      <c r="C293" t="s">
        <v>136</v>
      </c>
      <c r="D293" t="s">
        <v>186</v>
      </c>
      <c r="E293" t="s">
        <v>708</v>
      </c>
      <c r="F293" t="s">
        <v>187</v>
      </c>
      <c r="G293" s="1">
        <v>45768</v>
      </c>
      <c r="H293" s="1">
        <v>45859</v>
      </c>
      <c r="I293" s="2">
        <v>1892</v>
      </c>
      <c r="J293" t="s">
        <v>777</v>
      </c>
      <c r="K293" t="s">
        <v>800</v>
      </c>
      <c r="L293" t="s">
        <v>823</v>
      </c>
      <c r="M293" t="s">
        <v>829</v>
      </c>
      <c r="N293" t="str">
        <f t="shared" si="12"/>
        <v>T-2</v>
      </c>
      <c r="O293">
        <f t="shared" si="13"/>
        <v>2025</v>
      </c>
      <c r="P293" t="str">
        <f t="shared" si="14"/>
        <v>4. abril</v>
      </c>
    </row>
    <row r="294" spans="1:16" x14ac:dyDescent="0.35">
      <c r="A294">
        <v>469453</v>
      </c>
      <c r="B294" t="s">
        <v>30</v>
      </c>
      <c r="C294" t="s">
        <v>138</v>
      </c>
      <c r="D294" t="s">
        <v>186</v>
      </c>
      <c r="E294" t="s">
        <v>708</v>
      </c>
      <c r="F294" t="s">
        <v>187</v>
      </c>
      <c r="G294" s="1">
        <v>45768</v>
      </c>
      <c r="H294" s="1">
        <v>45859</v>
      </c>
      <c r="I294" s="2">
        <v>344</v>
      </c>
      <c r="J294" t="s">
        <v>777</v>
      </c>
      <c r="K294" t="s">
        <v>797</v>
      </c>
      <c r="L294" t="s">
        <v>823</v>
      </c>
      <c r="M294" t="s">
        <v>830</v>
      </c>
      <c r="N294" t="str">
        <f t="shared" si="12"/>
        <v>T-2</v>
      </c>
      <c r="O294">
        <f t="shared" si="13"/>
        <v>2025</v>
      </c>
      <c r="P294" t="str">
        <f t="shared" si="14"/>
        <v>4. abril</v>
      </c>
    </row>
    <row r="295" spans="1:16" x14ac:dyDescent="0.35">
      <c r="A295">
        <v>428240</v>
      </c>
      <c r="B295" t="s">
        <v>30</v>
      </c>
      <c r="C295" t="s">
        <v>138</v>
      </c>
      <c r="D295" t="s">
        <v>312</v>
      </c>
      <c r="E295" t="s">
        <v>703</v>
      </c>
      <c r="F295" t="s">
        <v>188</v>
      </c>
      <c r="G295" s="1">
        <v>45860</v>
      </c>
      <c r="H295" s="1">
        <v>45860</v>
      </c>
      <c r="I295" s="2">
        <v>1750</v>
      </c>
      <c r="J295" t="s">
        <v>774</v>
      </c>
      <c r="K295" t="s">
        <v>783</v>
      </c>
      <c r="L295" t="s">
        <v>824</v>
      </c>
      <c r="M295" t="s">
        <v>830</v>
      </c>
      <c r="N295" t="str">
        <f t="shared" si="12"/>
        <v>T-3</v>
      </c>
      <c r="O295">
        <f t="shared" si="13"/>
        <v>2025</v>
      </c>
      <c r="P295" t="str">
        <f t="shared" si="14"/>
        <v>7. julio</v>
      </c>
    </row>
    <row r="296" spans="1:16" x14ac:dyDescent="0.35">
      <c r="A296">
        <v>715418</v>
      </c>
      <c r="B296" t="s">
        <v>50</v>
      </c>
      <c r="C296" t="s">
        <v>138</v>
      </c>
      <c r="D296" t="s">
        <v>280</v>
      </c>
      <c r="E296" t="s">
        <v>664</v>
      </c>
      <c r="F296" t="s">
        <v>187</v>
      </c>
      <c r="G296" s="1">
        <v>45749</v>
      </c>
      <c r="H296" s="1">
        <v>45762</v>
      </c>
      <c r="I296" s="2">
        <v>411.03</v>
      </c>
      <c r="J296" t="s">
        <v>779</v>
      </c>
      <c r="K296" t="s">
        <v>786</v>
      </c>
      <c r="L296" t="s">
        <v>823</v>
      </c>
      <c r="M296" t="s">
        <v>828</v>
      </c>
      <c r="N296" t="str">
        <f t="shared" si="12"/>
        <v>T-2</v>
      </c>
      <c r="O296">
        <f t="shared" si="13"/>
        <v>2025</v>
      </c>
      <c r="P296" t="str">
        <f t="shared" si="14"/>
        <v>4. abril</v>
      </c>
    </row>
    <row r="297" spans="1:16" x14ac:dyDescent="0.35">
      <c r="A297">
        <v>455813</v>
      </c>
      <c r="B297" t="s">
        <v>24</v>
      </c>
      <c r="C297" t="s">
        <v>139</v>
      </c>
      <c r="D297" t="s">
        <v>313</v>
      </c>
      <c r="E297" t="s">
        <v>652</v>
      </c>
      <c r="F297" t="s">
        <v>187</v>
      </c>
      <c r="G297" s="1">
        <v>45754</v>
      </c>
      <c r="H297" s="1">
        <v>45757</v>
      </c>
      <c r="I297" s="2">
        <v>832</v>
      </c>
      <c r="J297" t="s">
        <v>776</v>
      </c>
      <c r="K297" t="s">
        <v>786</v>
      </c>
      <c r="L297" t="s">
        <v>823</v>
      </c>
      <c r="M297" t="s">
        <v>828</v>
      </c>
      <c r="N297" t="str">
        <f t="shared" si="12"/>
        <v>T-2</v>
      </c>
      <c r="O297">
        <f t="shared" si="13"/>
        <v>2025</v>
      </c>
      <c r="P297" t="str">
        <f t="shared" si="14"/>
        <v>4. abril</v>
      </c>
    </row>
    <row r="298" spans="1:16" x14ac:dyDescent="0.35">
      <c r="A298">
        <v>360014</v>
      </c>
      <c r="B298" t="s">
        <v>67</v>
      </c>
      <c r="C298" t="s">
        <v>138</v>
      </c>
      <c r="D298" t="s">
        <v>179</v>
      </c>
      <c r="E298" t="s">
        <v>652</v>
      </c>
      <c r="F298" t="s">
        <v>187</v>
      </c>
      <c r="G298" s="1">
        <v>45755</v>
      </c>
      <c r="H298" s="1">
        <v>45758</v>
      </c>
      <c r="I298" s="2">
        <v>936</v>
      </c>
      <c r="J298" t="s">
        <v>774</v>
      </c>
      <c r="K298" t="s">
        <v>787</v>
      </c>
      <c r="L298" t="s">
        <v>823</v>
      </c>
      <c r="M298" t="s">
        <v>830</v>
      </c>
      <c r="N298" t="str">
        <f t="shared" si="12"/>
        <v>T-2</v>
      </c>
      <c r="O298">
        <f t="shared" si="13"/>
        <v>2025</v>
      </c>
      <c r="P298" t="str">
        <f t="shared" si="14"/>
        <v>4. abril</v>
      </c>
    </row>
    <row r="299" spans="1:16" x14ac:dyDescent="0.35">
      <c r="A299">
        <v>701705</v>
      </c>
      <c r="B299" t="s">
        <v>55</v>
      </c>
      <c r="C299" t="s">
        <v>138</v>
      </c>
      <c r="D299" t="s">
        <v>179</v>
      </c>
      <c r="E299" t="s">
        <v>652</v>
      </c>
      <c r="F299" t="s">
        <v>187</v>
      </c>
      <c r="G299" s="1">
        <v>45755</v>
      </c>
      <c r="H299" s="1">
        <v>45758</v>
      </c>
      <c r="I299" s="2">
        <v>1248</v>
      </c>
      <c r="J299" t="s">
        <v>774</v>
      </c>
      <c r="K299" t="s">
        <v>787</v>
      </c>
      <c r="L299" t="s">
        <v>823</v>
      </c>
      <c r="M299" t="s">
        <v>829</v>
      </c>
      <c r="N299" t="str">
        <f t="shared" si="12"/>
        <v>T-2</v>
      </c>
      <c r="O299">
        <f t="shared" si="13"/>
        <v>2025</v>
      </c>
      <c r="P299" t="str">
        <f t="shared" si="14"/>
        <v>4. abril</v>
      </c>
    </row>
    <row r="300" spans="1:16" x14ac:dyDescent="0.35">
      <c r="A300">
        <v>750023</v>
      </c>
      <c r="B300" t="s">
        <v>31</v>
      </c>
      <c r="C300" t="s">
        <v>138</v>
      </c>
      <c r="D300" t="s">
        <v>280</v>
      </c>
      <c r="E300" t="s">
        <v>664</v>
      </c>
      <c r="F300" t="s">
        <v>187</v>
      </c>
      <c r="G300" s="1">
        <v>45749</v>
      </c>
      <c r="H300" s="1">
        <v>45762</v>
      </c>
      <c r="I300" s="2">
        <v>205.51</v>
      </c>
      <c r="J300" t="s">
        <v>779</v>
      </c>
      <c r="K300" t="s">
        <v>787</v>
      </c>
      <c r="L300" t="s">
        <v>823</v>
      </c>
      <c r="M300" t="s">
        <v>830</v>
      </c>
      <c r="N300" t="str">
        <f t="shared" si="12"/>
        <v>T-2</v>
      </c>
      <c r="O300">
        <f t="shared" si="13"/>
        <v>2025</v>
      </c>
      <c r="P300" t="str">
        <f t="shared" si="14"/>
        <v>4. abril</v>
      </c>
    </row>
    <row r="301" spans="1:16" x14ac:dyDescent="0.35">
      <c r="A301">
        <v>478463</v>
      </c>
      <c r="B301" t="s">
        <v>5</v>
      </c>
      <c r="C301" t="s">
        <v>138</v>
      </c>
      <c r="D301" t="s">
        <v>147</v>
      </c>
      <c r="E301" t="s">
        <v>677</v>
      </c>
      <c r="F301" t="s">
        <v>187</v>
      </c>
      <c r="G301" s="1">
        <v>45722</v>
      </c>
      <c r="H301" s="1">
        <v>45722</v>
      </c>
      <c r="I301" s="2">
        <v>1396.5</v>
      </c>
      <c r="J301" t="s">
        <v>779</v>
      </c>
      <c r="K301" t="s">
        <v>783</v>
      </c>
      <c r="L301" t="s">
        <v>824</v>
      </c>
      <c r="M301" t="s">
        <v>830</v>
      </c>
      <c r="N301" t="str">
        <f t="shared" si="12"/>
        <v>T-1</v>
      </c>
      <c r="O301">
        <f t="shared" si="13"/>
        <v>2025</v>
      </c>
      <c r="P301" t="str">
        <f t="shared" si="14"/>
        <v>3. marzo</v>
      </c>
    </row>
    <row r="302" spans="1:16" x14ac:dyDescent="0.35">
      <c r="A302">
        <v>564787</v>
      </c>
      <c r="B302" t="s">
        <v>4</v>
      </c>
      <c r="C302" t="s">
        <v>138</v>
      </c>
      <c r="D302" t="s">
        <v>314</v>
      </c>
      <c r="E302" t="s">
        <v>652</v>
      </c>
      <c r="F302" t="s">
        <v>187</v>
      </c>
      <c r="G302" s="1">
        <v>45754</v>
      </c>
      <c r="H302" s="1">
        <v>45758</v>
      </c>
      <c r="I302" s="2">
        <v>3450</v>
      </c>
      <c r="J302" t="s">
        <v>774</v>
      </c>
      <c r="K302" t="s">
        <v>783</v>
      </c>
      <c r="L302" t="s">
        <v>823</v>
      </c>
      <c r="M302" t="s">
        <v>828</v>
      </c>
      <c r="N302" t="str">
        <f t="shared" si="12"/>
        <v>T-2</v>
      </c>
      <c r="O302">
        <f t="shared" si="13"/>
        <v>2025</v>
      </c>
      <c r="P302" t="str">
        <f t="shared" si="14"/>
        <v>4. abril</v>
      </c>
    </row>
    <row r="303" spans="1:16" x14ac:dyDescent="0.35">
      <c r="A303">
        <v>704189</v>
      </c>
      <c r="B303" t="s">
        <v>32</v>
      </c>
      <c r="C303" t="s">
        <v>136</v>
      </c>
      <c r="D303" t="s">
        <v>315</v>
      </c>
      <c r="E303" t="s">
        <v>652</v>
      </c>
      <c r="F303" t="s">
        <v>187</v>
      </c>
      <c r="G303" s="1">
        <v>45754</v>
      </c>
      <c r="H303" s="1">
        <v>45758</v>
      </c>
      <c r="I303" s="2">
        <v>2070</v>
      </c>
      <c r="J303" t="s">
        <v>774</v>
      </c>
      <c r="K303" t="s">
        <v>783</v>
      </c>
      <c r="L303" t="s">
        <v>823</v>
      </c>
      <c r="M303" t="s">
        <v>828</v>
      </c>
      <c r="N303" t="str">
        <f t="shared" si="12"/>
        <v>T-2</v>
      </c>
      <c r="O303">
        <f t="shared" si="13"/>
        <v>2025</v>
      </c>
      <c r="P303" t="str">
        <f t="shared" si="14"/>
        <v>4. abril</v>
      </c>
    </row>
    <row r="304" spans="1:16" x14ac:dyDescent="0.35">
      <c r="A304">
        <v>720586</v>
      </c>
      <c r="B304" t="s">
        <v>30</v>
      </c>
      <c r="C304" t="s">
        <v>137</v>
      </c>
      <c r="D304" t="s">
        <v>315</v>
      </c>
      <c r="E304" t="s">
        <v>652</v>
      </c>
      <c r="F304" t="s">
        <v>187</v>
      </c>
      <c r="G304" s="1">
        <v>45754</v>
      </c>
      <c r="H304" s="1">
        <v>45758</v>
      </c>
      <c r="I304" s="2">
        <v>690</v>
      </c>
      <c r="J304" t="s">
        <v>774</v>
      </c>
      <c r="K304" t="s">
        <v>782</v>
      </c>
      <c r="L304" t="s">
        <v>823</v>
      </c>
      <c r="M304" t="s">
        <v>829</v>
      </c>
      <c r="N304" t="str">
        <f t="shared" si="12"/>
        <v>T-2</v>
      </c>
      <c r="O304">
        <f t="shared" si="13"/>
        <v>2025</v>
      </c>
      <c r="P304" t="str">
        <f t="shared" si="14"/>
        <v>4. abril</v>
      </c>
    </row>
    <row r="305" spans="1:16" x14ac:dyDescent="0.35">
      <c r="A305">
        <v>405066</v>
      </c>
      <c r="B305" t="s">
        <v>37</v>
      </c>
      <c r="C305" t="s">
        <v>141</v>
      </c>
      <c r="D305" t="s">
        <v>316</v>
      </c>
      <c r="E305" t="s">
        <v>652</v>
      </c>
      <c r="F305" t="s">
        <v>187</v>
      </c>
      <c r="G305" s="1">
        <v>45755</v>
      </c>
      <c r="H305" s="1">
        <v>45757</v>
      </c>
      <c r="I305" s="2">
        <v>1404</v>
      </c>
      <c r="J305" t="s">
        <v>774</v>
      </c>
      <c r="K305" t="s">
        <v>786</v>
      </c>
      <c r="L305" t="s">
        <v>823</v>
      </c>
      <c r="M305" t="s">
        <v>830</v>
      </c>
      <c r="N305" t="str">
        <f t="shared" si="12"/>
        <v>T-2</v>
      </c>
      <c r="O305">
        <f t="shared" si="13"/>
        <v>2025</v>
      </c>
      <c r="P305" t="str">
        <f t="shared" si="14"/>
        <v>4. abril</v>
      </c>
    </row>
    <row r="306" spans="1:16" x14ac:dyDescent="0.35">
      <c r="A306">
        <v>701648</v>
      </c>
      <c r="B306" t="s">
        <v>54</v>
      </c>
      <c r="C306" t="s">
        <v>136</v>
      </c>
      <c r="D306" t="s">
        <v>316</v>
      </c>
      <c r="E306" t="s">
        <v>652</v>
      </c>
      <c r="F306" t="s">
        <v>187</v>
      </c>
      <c r="G306" s="1">
        <v>45755</v>
      </c>
      <c r="H306" s="1">
        <v>45757</v>
      </c>
      <c r="I306" s="2">
        <v>2574</v>
      </c>
      <c r="J306" t="s">
        <v>774</v>
      </c>
      <c r="K306" t="s">
        <v>783</v>
      </c>
      <c r="L306" t="s">
        <v>823</v>
      </c>
      <c r="M306" t="s">
        <v>830</v>
      </c>
      <c r="N306" t="str">
        <f t="shared" si="12"/>
        <v>T-2</v>
      </c>
      <c r="O306">
        <f t="shared" si="13"/>
        <v>2025</v>
      </c>
      <c r="P306" t="str">
        <f t="shared" si="14"/>
        <v>4. abril</v>
      </c>
    </row>
    <row r="307" spans="1:16" x14ac:dyDescent="0.35">
      <c r="A307">
        <v>70023</v>
      </c>
      <c r="B307" t="s">
        <v>25</v>
      </c>
      <c r="C307" t="s">
        <v>139</v>
      </c>
      <c r="D307" t="s">
        <v>197</v>
      </c>
      <c r="E307" t="s">
        <v>647</v>
      </c>
      <c r="F307" t="s">
        <v>187</v>
      </c>
      <c r="G307" s="1">
        <v>45761</v>
      </c>
      <c r="H307" s="1">
        <v>45762</v>
      </c>
      <c r="I307" s="2">
        <v>2100</v>
      </c>
      <c r="J307" t="s">
        <v>774</v>
      </c>
      <c r="K307" t="s">
        <v>783</v>
      </c>
      <c r="L307" t="s">
        <v>823</v>
      </c>
      <c r="M307" t="s">
        <v>828</v>
      </c>
      <c r="N307" t="str">
        <f t="shared" si="12"/>
        <v>T-2</v>
      </c>
      <c r="O307">
        <f t="shared" si="13"/>
        <v>2025</v>
      </c>
      <c r="P307" t="str">
        <f t="shared" si="14"/>
        <v>4. abril</v>
      </c>
    </row>
    <row r="308" spans="1:16" x14ac:dyDescent="0.35">
      <c r="A308">
        <v>721504</v>
      </c>
      <c r="B308" t="s">
        <v>68</v>
      </c>
      <c r="C308" t="s">
        <v>139</v>
      </c>
      <c r="D308" t="s">
        <v>197</v>
      </c>
      <c r="E308" t="s">
        <v>647</v>
      </c>
      <c r="F308" t="s">
        <v>187</v>
      </c>
      <c r="G308" s="1">
        <v>45761</v>
      </c>
      <c r="H308" s="1">
        <v>45762</v>
      </c>
      <c r="I308" s="2">
        <v>350</v>
      </c>
      <c r="J308" t="s">
        <v>774</v>
      </c>
      <c r="K308" t="s">
        <v>783</v>
      </c>
      <c r="L308" t="s">
        <v>824</v>
      </c>
      <c r="M308" t="s">
        <v>830</v>
      </c>
      <c r="N308" t="str">
        <f t="shared" si="12"/>
        <v>T-2</v>
      </c>
      <c r="O308">
        <f t="shared" si="13"/>
        <v>2025</v>
      </c>
      <c r="P308" t="str">
        <f t="shared" si="14"/>
        <v>4. abril</v>
      </c>
    </row>
    <row r="309" spans="1:16" x14ac:dyDescent="0.35">
      <c r="A309">
        <v>560768</v>
      </c>
      <c r="B309" t="s">
        <v>5</v>
      </c>
      <c r="C309" t="s">
        <v>138</v>
      </c>
      <c r="D309" t="s">
        <v>183</v>
      </c>
      <c r="E309" t="s">
        <v>703</v>
      </c>
      <c r="F309" t="s">
        <v>187</v>
      </c>
      <c r="G309" s="1">
        <v>45768</v>
      </c>
      <c r="H309" s="1">
        <v>45768</v>
      </c>
      <c r="I309" s="2">
        <v>212.86</v>
      </c>
      <c r="J309" t="s">
        <v>774</v>
      </c>
      <c r="K309" t="s">
        <v>783</v>
      </c>
      <c r="L309" t="s">
        <v>823</v>
      </c>
      <c r="M309" t="s">
        <v>829</v>
      </c>
      <c r="N309" t="str">
        <f t="shared" si="12"/>
        <v>T-2</v>
      </c>
      <c r="O309">
        <f t="shared" si="13"/>
        <v>2025</v>
      </c>
      <c r="P309" t="str">
        <f t="shared" si="14"/>
        <v>4. abril</v>
      </c>
    </row>
    <row r="310" spans="1:16" x14ac:dyDescent="0.35">
      <c r="A310">
        <v>714297</v>
      </c>
      <c r="B310" t="s">
        <v>30</v>
      </c>
      <c r="C310" t="s">
        <v>138</v>
      </c>
      <c r="D310" t="s">
        <v>183</v>
      </c>
      <c r="E310" t="s">
        <v>703</v>
      </c>
      <c r="F310" t="s">
        <v>187</v>
      </c>
      <c r="G310" s="1">
        <v>45768</v>
      </c>
      <c r="H310" s="1">
        <v>45768</v>
      </c>
      <c r="I310" s="2">
        <v>1277.1400000000001</v>
      </c>
      <c r="J310" t="s">
        <v>774</v>
      </c>
      <c r="K310" t="s">
        <v>791</v>
      </c>
      <c r="L310" t="s">
        <v>823</v>
      </c>
      <c r="M310" t="s">
        <v>830</v>
      </c>
      <c r="N310" t="str">
        <f t="shared" si="12"/>
        <v>T-2</v>
      </c>
      <c r="O310">
        <f t="shared" si="13"/>
        <v>2025</v>
      </c>
      <c r="P310" t="str">
        <f t="shared" si="14"/>
        <v>4. abril</v>
      </c>
    </row>
    <row r="311" spans="1:16" x14ac:dyDescent="0.35">
      <c r="A311">
        <v>365018</v>
      </c>
      <c r="B311" t="s">
        <v>30</v>
      </c>
      <c r="C311" t="s">
        <v>138</v>
      </c>
      <c r="D311" t="s">
        <v>317</v>
      </c>
      <c r="E311" t="s">
        <v>703</v>
      </c>
      <c r="F311" t="s">
        <v>187</v>
      </c>
      <c r="G311" s="1">
        <v>45768</v>
      </c>
      <c r="H311" s="1">
        <v>45768</v>
      </c>
      <c r="I311" s="2">
        <v>212.86</v>
      </c>
      <c r="J311" t="s">
        <v>774</v>
      </c>
      <c r="K311" t="s">
        <v>786</v>
      </c>
      <c r="L311" t="s">
        <v>823</v>
      </c>
      <c r="M311" t="s">
        <v>830</v>
      </c>
      <c r="N311" t="str">
        <f t="shared" si="12"/>
        <v>T-2</v>
      </c>
      <c r="O311">
        <f t="shared" si="13"/>
        <v>2025</v>
      </c>
      <c r="P311" t="str">
        <f t="shared" si="14"/>
        <v>4. abril</v>
      </c>
    </row>
    <row r="312" spans="1:16" x14ac:dyDescent="0.35">
      <c r="A312">
        <v>34560</v>
      </c>
      <c r="B312" t="s">
        <v>4</v>
      </c>
      <c r="C312" t="s">
        <v>138</v>
      </c>
      <c r="D312" t="s">
        <v>317</v>
      </c>
      <c r="E312" t="s">
        <v>703</v>
      </c>
      <c r="F312" t="s">
        <v>187</v>
      </c>
      <c r="G312" s="1">
        <v>45768</v>
      </c>
      <c r="H312" s="1">
        <v>45768</v>
      </c>
      <c r="I312" s="2">
        <v>1277.1400000000001</v>
      </c>
      <c r="J312" t="s">
        <v>774</v>
      </c>
      <c r="K312" t="s">
        <v>786</v>
      </c>
      <c r="L312" t="s">
        <v>823</v>
      </c>
      <c r="M312" t="s">
        <v>828</v>
      </c>
      <c r="N312" t="str">
        <f t="shared" si="12"/>
        <v>T-2</v>
      </c>
      <c r="O312">
        <f t="shared" si="13"/>
        <v>2025</v>
      </c>
      <c r="P312" t="str">
        <f t="shared" si="14"/>
        <v>4. abril</v>
      </c>
    </row>
    <row r="313" spans="1:16" x14ac:dyDescent="0.35">
      <c r="A313">
        <v>704637</v>
      </c>
      <c r="B313" t="s">
        <v>54</v>
      </c>
      <c r="C313" t="s">
        <v>136</v>
      </c>
      <c r="D313" t="s">
        <v>318</v>
      </c>
      <c r="E313" t="s">
        <v>660</v>
      </c>
      <c r="F313" t="s">
        <v>187</v>
      </c>
      <c r="G313" s="1">
        <v>45797</v>
      </c>
      <c r="H313" s="1">
        <v>45810</v>
      </c>
      <c r="I313" s="2">
        <v>3380</v>
      </c>
      <c r="J313" t="s">
        <v>776</v>
      </c>
      <c r="K313" t="s">
        <v>783</v>
      </c>
      <c r="L313" t="s">
        <v>823</v>
      </c>
      <c r="M313" t="s">
        <v>828</v>
      </c>
      <c r="N313" t="str">
        <f t="shared" si="12"/>
        <v>T-2</v>
      </c>
      <c r="O313">
        <f t="shared" si="13"/>
        <v>2025</v>
      </c>
      <c r="P313" t="str">
        <f t="shared" si="14"/>
        <v>5. mayo</v>
      </c>
    </row>
    <row r="314" spans="1:16" x14ac:dyDescent="0.35">
      <c r="A314">
        <v>723714</v>
      </c>
      <c r="B314" t="s">
        <v>43</v>
      </c>
      <c r="C314" t="s">
        <v>138</v>
      </c>
      <c r="D314" t="s">
        <v>319</v>
      </c>
      <c r="E314" t="s">
        <v>660</v>
      </c>
      <c r="F314" t="s">
        <v>187</v>
      </c>
      <c r="G314" s="1">
        <v>45782</v>
      </c>
      <c r="H314" s="1">
        <v>45796</v>
      </c>
      <c r="I314" s="2">
        <v>3380</v>
      </c>
      <c r="J314" t="s">
        <v>776</v>
      </c>
      <c r="K314" t="s">
        <v>783</v>
      </c>
      <c r="L314" t="s">
        <v>823</v>
      </c>
      <c r="M314" t="s">
        <v>830</v>
      </c>
      <c r="N314" t="str">
        <f t="shared" si="12"/>
        <v>T-2</v>
      </c>
      <c r="O314">
        <f t="shared" si="13"/>
        <v>2025</v>
      </c>
      <c r="P314" t="str">
        <f t="shared" si="14"/>
        <v>5. mayo</v>
      </c>
    </row>
    <row r="315" spans="1:16" x14ac:dyDescent="0.35">
      <c r="A315">
        <v>710896</v>
      </c>
      <c r="B315" t="s">
        <v>30</v>
      </c>
      <c r="C315" t="s">
        <v>138</v>
      </c>
      <c r="D315" t="s">
        <v>320</v>
      </c>
      <c r="E315" t="s">
        <v>709</v>
      </c>
      <c r="F315" t="s">
        <v>187</v>
      </c>
      <c r="G315" s="1">
        <v>45810</v>
      </c>
      <c r="H315" s="1">
        <v>45812</v>
      </c>
      <c r="I315" s="2">
        <v>5475</v>
      </c>
      <c r="J315" t="s">
        <v>774</v>
      </c>
      <c r="K315" t="s">
        <v>783</v>
      </c>
      <c r="L315" t="s">
        <v>823</v>
      </c>
      <c r="M315" t="s">
        <v>829</v>
      </c>
      <c r="N315" t="str">
        <f t="shared" si="12"/>
        <v>T-2</v>
      </c>
      <c r="O315">
        <f t="shared" si="13"/>
        <v>2025</v>
      </c>
      <c r="P315" t="str">
        <f t="shared" si="14"/>
        <v>6. junio</v>
      </c>
    </row>
    <row r="316" spans="1:16" x14ac:dyDescent="0.35">
      <c r="A316">
        <v>560238</v>
      </c>
      <c r="B316" t="s">
        <v>30</v>
      </c>
      <c r="C316" t="s">
        <v>138</v>
      </c>
      <c r="D316" t="s">
        <v>321</v>
      </c>
      <c r="E316" t="s">
        <v>698</v>
      </c>
      <c r="F316" t="s">
        <v>187</v>
      </c>
      <c r="G316" s="1">
        <v>45845</v>
      </c>
      <c r="H316" s="1">
        <v>45846</v>
      </c>
      <c r="I316" s="2">
        <v>3312</v>
      </c>
      <c r="J316" t="s">
        <v>774</v>
      </c>
      <c r="K316" t="s">
        <v>783</v>
      </c>
      <c r="L316" t="s">
        <v>824</v>
      </c>
      <c r="M316" t="s">
        <v>830</v>
      </c>
      <c r="N316" t="str">
        <f t="shared" si="12"/>
        <v>T-3</v>
      </c>
      <c r="O316">
        <f t="shared" si="13"/>
        <v>2025</v>
      </c>
      <c r="P316" t="str">
        <f t="shared" si="14"/>
        <v>7. julio</v>
      </c>
    </row>
    <row r="317" spans="1:16" x14ac:dyDescent="0.35">
      <c r="A317">
        <v>362000</v>
      </c>
      <c r="B317" t="s">
        <v>30</v>
      </c>
      <c r="C317" t="s">
        <v>139</v>
      </c>
      <c r="D317" t="s">
        <v>147</v>
      </c>
      <c r="E317" t="s">
        <v>677</v>
      </c>
      <c r="F317" t="s">
        <v>187</v>
      </c>
      <c r="G317" s="1">
        <v>45736</v>
      </c>
      <c r="H317" s="1">
        <v>45736</v>
      </c>
      <c r="I317" s="2">
        <v>1396.5</v>
      </c>
      <c r="J317" t="s">
        <v>779</v>
      </c>
      <c r="K317" t="s">
        <v>783</v>
      </c>
      <c r="L317" t="s">
        <v>823</v>
      </c>
      <c r="M317" t="s">
        <v>830</v>
      </c>
      <c r="N317" t="str">
        <f t="shared" si="12"/>
        <v>T-1</v>
      </c>
      <c r="O317">
        <f t="shared" si="13"/>
        <v>2025</v>
      </c>
      <c r="P317" t="str">
        <f t="shared" si="14"/>
        <v>3. marzo</v>
      </c>
    </row>
    <row r="318" spans="1:16" x14ac:dyDescent="0.35">
      <c r="A318">
        <v>721744</v>
      </c>
      <c r="B318" t="s">
        <v>5</v>
      </c>
      <c r="C318" t="s">
        <v>138</v>
      </c>
      <c r="D318" t="s">
        <v>281</v>
      </c>
      <c r="E318" t="s">
        <v>677</v>
      </c>
      <c r="F318" t="s">
        <v>187</v>
      </c>
      <c r="G318" s="1">
        <v>45757</v>
      </c>
      <c r="H318" s="1">
        <v>45757</v>
      </c>
      <c r="I318" s="2">
        <v>1396.5</v>
      </c>
      <c r="J318" t="s">
        <v>779</v>
      </c>
      <c r="K318" t="s">
        <v>783</v>
      </c>
      <c r="L318" t="s">
        <v>823</v>
      </c>
      <c r="M318" t="s">
        <v>828</v>
      </c>
      <c r="N318" t="str">
        <f t="shared" si="12"/>
        <v>T-2</v>
      </c>
      <c r="O318">
        <f t="shared" si="13"/>
        <v>2025</v>
      </c>
      <c r="P318" t="str">
        <f t="shared" si="14"/>
        <v>4. abril</v>
      </c>
    </row>
    <row r="319" spans="1:16" x14ac:dyDescent="0.35">
      <c r="A319">
        <v>605803</v>
      </c>
      <c r="B319" t="s">
        <v>13</v>
      </c>
      <c r="C319" t="s">
        <v>138</v>
      </c>
      <c r="D319" t="s">
        <v>322</v>
      </c>
      <c r="E319" t="s">
        <v>652</v>
      </c>
      <c r="F319" t="s">
        <v>187</v>
      </c>
      <c r="G319" s="1">
        <v>45754</v>
      </c>
      <c r="H319" s="1">
        <v>45758</v>
      </c>
      <c r="I319" s="2">
        <v>1950</v>
      </c>
      <c r="J319" t="s">
        <v>774</v>
      </c>
      <c r="K319" t="s">
        <v>783</v>
      </c>
      <c r="L319" t="s">
        <v>823</v>
      </c>
      <c r="M319" t="s">
        <v>828</v>
      </c>
      <c r="N319" t="str">
        <f t="shared" si="12"/>
        <v>T-2</v>
      </c>
      <c r="O319">
        <f t="shared" si="13"/>
        <v>2025</v>
      </c>
      <c r="P319" t="str">
        <f t="shared" si="14"/>
        <v>4. abril</v>
      </c>
    </row>
    <row r="320" spans="1:16" x14ac:dyDescent="0.35">
      <c r="A320">
        <v>712809</v>
      </c>
      <c r="B320" t="s">
        <v>2</v>
      </c>
      <c r="C320" t="s">
        <v>138</v>
      </c>
      <c r="D320" t="s">
        <v>322</v>
      </c>
      <c r="E320" t="s">
        <v>652</v>
      </c>
      <c r="F320" t="s">
        <v>187</v>
      </c>
      <c r="G320" s="1">
        <v>45754</v>
      </c>
      <c r="H320" s="1">
        <v>45758</v>
      </c>
      <c r="I320" s="2">
        <v>3510</v>
      </c>
      <c r="J320" t="s">
        <v>774</v>
      </c>
      <c r="K320" t="s">
        <v>786</v>
      </c>
      <c r="L320" t="s">
        <v>823</v>
      </c>
      <c r="M320" t="s">
        <v>829</v>
      </c>
      <c r="N320" t="str">
        <f t="shared" si="12"/>
        <v>T-2</v>
      </c>
      <c r="O320">
        <f t="shared" si="13"/>
        <v>2025</v>
      </c>
      <c r="P320" t="str">
        <f t="shared" si="14"/>
        <v>4. abril</v>
      </c>
    </row>
    <row r="321" spans="1:16" x14ac:dyDescent="0.35">
      <c r="A321">
        <v>399365</v>
      </c>
      <c r="B321" t="s">
        <v>13</v>
      </c>
      <c r="C321" t="s">
        <v>138</v>
      </c>
      <c r="D321" t="s">
        <v>323</v>
      </c>
      <c r="E321" t="s">
        <v>710</v>
      </c>
      <c r="F321" t="s">
        <v>187</v>
      </c>
      <c r="G321" s="1">
        <v>45810</v>
      </c>
      <c r="H321" s="1">
        <v>45826</v>
      </c>
      <c r="I321" s="2">
        <v>720</v>
      </c>
      <c r="J321" t="s">
        <v>774</v>
      </c>
      <c r="K321" t="s">
        <v>783</v>
      </c>
      <c r="L321" t="s">
        <v>823</v>
      </c>
      <c r="M321" t="s">
        <v>830</v>
      </c>
      <c r="N321" t="str">
        <f t="shared" si="12"/>
        <v>T-2</v>
      </c>
      <c r="O321">
        <f t="shared" si="13"/>
        <v>2025</v>
      </c>
      <c r="P321" t="str">
        <f t="shared" si="14"/>
        <v>6. junio</v>
      </c>
    </row>
    <row r="322" spans="1:16" x14ac:dyDescent="0.35">
      <c r="A322">
        <v>565050</v>
      </c>
      <c r="B322" t="s">
        <v>20</v>
      </c>
      <c r="C322" t="s">
        <v>136</v>
      </c>
      <c r="D322" t="s">
        <v>246</v>
      </c>
      <c r="E322" t="s">
        <v>652</v>
      </c>
      <c r="F322" t="s">
        <v>187</v>
      </c>
      <c r="G322" s="1">
        <v>45768</v>
      </c>
      <c r="H322" s="1">
        <v>45768</v>
      </c>
      <c r="I322" s="2">
        <v>390</v>
      </c>
      <c r="J322" t="s">
        <v>774</v>
      </c>
      <c r="K322" t="s">
        <v>786</v>
      </c>
      <c r="L322" t="s">
        <v>824</v>
      </c>
      <c r="M322" t="s">
        <v>830</v>
      </c>
      <c r="N322" t="str">
        <f t="shared" si="12"/>
        <v>T-2</v>
      </c>
      <c r="O322">
        <f t="shared" si="13"/>
        <v>2025</v>
      </c>
      <c r="P322" t="str">
        <f t="shared" si="14"/>
        <v>4. abril</v>
      </c>
    </row>
    <row r="323" spans="1:16" x14ac:dyDescent="0.35">
      <c r="A323">
        <v>711794</v>
      </c>
      <c r="B323" t="s">
        <v>17</v>
      </c>
      <c r="C323" t="s">
        <v>138</v>
      </c>
      <c r="D323" t="s">
        <v>246</v>
      </c>
      <c r="E323" t="s">
        <v>652</v>
      </c>
      <c r="F323" t="s">
        <v>187</v>
      </c>
      <c r="G323" s="1">
        <v>45768</v>
      </c>
      <c r="H323" s="1">
        <v>45768</v>
      </c>
      <c r="I323" s="2">
        <v>780</v>
      </c>
      <c r="J323" t="s">
        <v>774</v>
      </c>
      <c r="K323" t="s">
        <v>786</v>
      </c>
      <c r="L323" t="s">
        <v>823</v>
      </c>
      <c r="M323" t="s">
        <v>828</v>
      </c>
      <c r="N323" t="str">
        <f t="shared" ref="N323:N386" si="15">"T-" &amp; ROUNDUP((MONTH(G323)/3), 0)</f>
        <v>T-2</v>
      </c>
      <c r="O323">
        <f t="shared" ref="O323:O386" si="16">YEAR(G323)</f>
        <v>2025</v>
      </c>
      <c r="P323" t="str">
        <f t="shared" ref="P323:P386" si="17">MONTH(G323) &amp; ". " &amp; TEXT(G323, "MMMM")</f>
        <v>4. abril</v>
      </c>
    </row>
    <row r="324" spans="1:16" x14ac:dyDescent="0.35">
      <c r="A324">
        <v>487411</v>
      </c>
      <c r="B324" t="s">
        <v>30</v>
      </c>
      <c r="C324" t="s">
        <v>138</v>
      </c>
      <c r="D324" t="s">
        <v>286</v>
      </c>
      <c r="E324" t="s">
        <v>652</v>
      </c>
      <c r="F324" t="s">
        <v>187</v>
      </c>
      <c r="G324" s="1">
        <v>45768</v>
      </c>
      <c r="H324" s="1">
        <v>45768</v>
      </c>
      <c r="I324" s="2">
        <v>234</v>
      </c>
      <c r="J324" t="s">
        <v>774</v>
      </c>
      <c r="K324" t="s">
        <v>783</v>
      </c>
      <c r="L324" t="s">
        <v>823</v>
      </c>
      <c r="M324" t="s">
        <v>830</v>
      </c>
      <c r="N324" t="str">
        <f t="shared" si="15"/>
        <v>T-2</v>
      </c>
      <c r="O324">
        <f t="shared" si="16"/>
        <v>2025</v>
      </c>
      <c r="P324" t="str">
        <f t="shared" si="17"/>
        <v>4. abril</v>
      </c>
    </row>
    <row r="325" spans="1:16" x14ac:dyDescent="0.35">
      <c r="A325">
        <v>471795</v>
      </c>
      <c r="B325" t="s">
        <v>23</v>
      </c>
      <c r="C325" t="s">
        <v>141</v>
      </c>
      <c r="D325" t="s">
        <v>286</v>
      </c>
      <c r="E325" t="s">
        <v>652</v>
      </c>
      <c r="F325" t="s">
        <v>187</v>
      </c>
      <c r="G325" s="1">
        <v>45768</v>
      </c>
      <c r="H325" s="1">
        <v>45768</v>
      </c>
      <c r="I325" s="2">
        <v>780</v>
      </c>
      <c r="J325" t="s">
        <v>774</v>
      </c>
      <c r="K325" t="s">
        <v>786</v>
      </c>
      <c r="L325" t="s">
        <v>823</v>
      </c>
      <c r="M325" t="s">
        <v>829</v>
      </c>
      <c r="N325" t="str">
        <f t="shared" si="15"/>
        <v>T-2</v>
      </c>
      <c r="O325">
        <f t="shared" si="16"/>
        <v>2025</v>
      </c>
      <c r="P325" t="str">
        <f t="shared" si="17"/>
        <v>4. abril</v>
      </c>
    </row>
    <row r="326" spans="1:16" x14ac:dyDescent="0.35">
      <c r="A326">
        <v>400940</v>
      </c>
      <c r="B326" t="s">
        <v>5</v>
      </c>
      <c r="C326" t="s">
        <v>139</v>
      </c>
      <c r="D326" t="s">
        <v>324</v>
      </c>
      <c r="E326" t="s">
        <v>711</v>
      </c>
      <c r="F326" t="s">
        <v>187</v>
      </c>
      <c r="G326" s="1">
        <v>45776</v>
      </c>
      <c r="H326" s="1">
        <v>45898</v>
      </c>
      <c r="I326" s="2">
        <v>337</v>
      </c>
      <c r="J326" t="s">
        <v>778</v>
      </c>
      <c r="K326" t="s">
        <v>783</v>
      </c>
      <c r="L326" t="s">
        <v>823</v>
      </c>
      <c r="M326" t="s">
        <v>830</v>
      </c>
      <c r="N326" t="str">
        <f t="shared" si="15"/>
        <v>T-2</v>
      </c>
      <c r="O326">
        <f t="shared" si="16"/>
        <v>2025</v>
      </c>
      <c r="P326" t="str">
        <f t="shared" si="17"/>
        <v>4. abril</v>
      </c>
    </row>
    <row r="327" spans="1:16" x14ac:dyDescent="0.35">
      <c r="A327">
        <v>398043</v>
      </c>
      <c r="B327" t="s">
        <v>5</v>
      </c>
      <c r="C327" t="s">
        <v>138</v>
      </c>
      <c r="D327" t="s">
        <v>325</v>
      </c>
      <c r="E327" t="s">
        <v>712</v>
      </c>
      <c r="F327" t="s">
        <v>187</v>
      </c>
      <c r="G327" s="1">
        <v>45804</v>
      </c>
      <c r="H327" s="1">
        <v>45806</v>
      </c>
      <c r="I327" s="2">
        <v>3195</v>
      </c>
      <c r="J327" t="s">
        <v>774</v>
      </c>
      <c r="K327" t="s">
        <v>786</v>
      </c>
      <c r="L327" t="s">
        <v>823</v>
      </c>
      <c r="M327" t="s">
        <v>830</v>
      </c>
      <c r="N327" t="str">
        <f t="shared" si="15"/>
        <v>T-2</v>
      </c>
      <c r="O327">
        <f t="shared" si="16"/>
        <v>2025</v>
      </c>
      <c r="P327" t="str">
        <f t="shared" si="17"/>
        <v>5. mayo</v>
      </c>
    </row>
    <row r="328" spans="1:16" x14ac:dyDescent="0.35">
      <c r="A328">
        <v>365192</v>
      </c>
      <c r="B328" t="s">
        <v>46</v>
      </c>
      <c r="C328" t="s">
        <v>138</v>
      </c>
      <c r="D328" t="s">
        <v>161</v>
      </c>
      <c r="E328" t="s">
        <v>679</v>
      </c>
      <c r="F328" t="s">
        <v>187</v>
      </c>
      <c r="G328" s="1">
        <v>45772</v>
      </c>
      <c r="H328" s="1">
        <v>45772</v>
      </c>
      <c r="I328" s="2">
        <v>3900</v>
      </c>
      <c r="J328" t="s">
        <v>779</v>
      </c>
      <c r="K328" t="s">
        <v>783</v>
      </c>
      <c r="L328" t="s">
        <v>823</v>
      </c>
      <c r="M328" t="s">
        <v>828</v>
      </c>
      <c r="N328" t="str">
        <f t="shared" si="15"/>
        <v>T-2</v>
      </c>
      <c r="O328">
        <f t="shared" si="16"/>
        <v>2025</v>
      </c>
      <c r="P328" t="str">
        <f t="shared" si="17"/>
        <v>4. abril</v>
      </c>
    </row>
    <row r="329" spans="1:16" x14ac:dyDescent="0.35">
      <c r="A329">
        <v>721478</v>
      </c>
      <c r="B329" t="s">
        <v>45</v>
      </c>
      <c r="C329" t="s">
        <v>137</v>
      </c>
      <c r="D329" t="s">
        <v>161</v>
      </c>
      <c r="E329" t="s">
        <v>679</v>
      </c>
      <c r="F329" t="s">
        <v>187</v>
      </c>
      <c r="G329" s="1">
        <v>45772</v>
      </c>
      <c r="H329" s="1">
        <v>45772</v>
      </c>
      <c r="I329" s="2">
        <v>300</v>
      </c>
      <c r="J329" t="s">
        <v>779</v>
      </c>
      <c r="K329" t="s">
        <v>783</v>
      </c>
      <c r="L329" t="s">
        <v>824</v>
      </c>
      <c r="M329" t="s">
        <v>828</v>
      </c>
      <c r="N329" t="str">
        <f t="shared" si="15"/>
        <v>T-2</v>
      </c>
      <c r="O329">
        <f t="shared" si="16"/>
        <v>2025</v>
      </c>
      <c r="P329" t="str">
        <f t="shared" si="17"/>
        <v>4. abril</v>
      </c>
    </row>
    <row r="330" spans="1:16" x14ac:dyDescent="0.35">
      <c r="A330">
        <v>700153</v>
      </c>
      <c r="B330" t="s">
        <v>30</v>
      </c>
      <c r="C330" t="s">
        <v>138</v>
      </c>
      <c r="D330" t="s">
        <v>156</v>
      </c>
      <c r="E330" t="s">
        <v>673</v>
      </c>
      <c r="F330" t="s">
        <v>187</v>
      </c>
      <c r="G330" s="1">
        <v>45772</v>
      </c>
      <c r="H330" s="1">
        <v>45772</v>
      </c>
      <c r="I330" s="2">
        <v>2375</v>
      </c>
      <c r="J330" t="s">
        <v>779</v>
      </c>
      <c r="K330" t="s">
        <v>783</v>
      </c>
      <c r="L330" t="s">
        <v>823</v>
      </c>
      <c r="M330" t="s">
        <v>830</v>
      </c>
      <c r="N330" t="str">
        <f t="shared" si="15"/>
        <v>T-2</v>
      </c>
      <c r="O330">
        <f t="shared" si="16"/>
        <v>2025</v>
      </c>
      <c r="P330" t="str">
        <f t="shared" si="17"/>
        <v>4. abril</v>
      </c>
    </row>
    <row r="331" spans="1:16" x14ac:dyDescent="0.35">
      <c r="A331">
        <v>711334</v>
      </c>
      <c r="B331" t="s">
        <v>23</v>
      </c>
      <c r="C331" t="s">
        <v>139</v>
      </c>
      <c r="D331" t="s">
        <v>326</v>
      </c>
      <c r="E331" t="s">
        <v>713</v>
      </c>
      <c r="F331" t="s">
        <v>187</v>
      </c>
      <c r="G331" s="1">
        <v>45756</v>
      </c>
      <c r="H331" s="1">
        <v>45756</v>
      </c>
      <c r="I331" s="2">
        <v>3975</v>
      </c>
      <c r="J331" t="s">
        <v>779</v>
      </c>
      <c r="K331" t="s">
        <v>788</v>
      </c>
      <c r="L331" t="s">
        <v>823</v>
      </c>
      <c r="M331" t="s">
        <v>829</v>
      </c>
      <c r="N331" t="str">
        <f t="shared" si="15"/>
        <v>T-2</v>
      </c>
      <c r="O331">
        <f t="shared" si="16"/>
        <v>2025</v>
      </c>
      <c r="P331" t="str">
        <f t="shared" si="17"/>
        <v>4. abril</v>
      </c>
    </row>
    <row r="332" spans="1:16" x14ac:dyDescent="0.35">
      <c r="A332">
        <v>709951</v>
      </c>
      <c r="B332" t="s">
        <v>74</v>
      </c>
      <c r="C332" t="s">
        <v>138</v>
      </c>
      <c r="D332" t="s">
        <v>326</v>
      </c>
      <c r="E332" t="s">
        <v>713</v>
      </c>
      <c r="F332" t="s">
        <v>187</v>
      </c>
      <c r="G332" s="1">
        <v>45756</v>
      </c>
      <c r="H332" s="1">
        <v>45756</v>
      </c>
      <c r="I332" s="2">
        <v>3975</v>
      </c>
      <c r="J332" t="s">
        <v>779</v>
      </c>
      <c r="K332" t="s">
        <v>783</v>
      </c>
      <c r="L332" t="s">
        <v>823</v>
      </c>
      <c r="M332" t="s">
        <v>830</v>
      </c>
      <c r="N332" t="str">
        <f t="shared" si="15"/>
        <v>T-2</v>
      </c>
      <c r="O332">
        <f t="shared" si="16"/>
        <v>2025</v>
      </c>
      <c r="P332" t="str">
        <f t="shared" si="17"/>
        <v>4. abril</v>
      </c>
    </row>
    <row r="333" spans="1:16" x14ac:dyDescent="0.35">
      <c r="A333">
        <v>594897</v>
      </c>
      <c r="B333" t="s">
        <v>73</v>
      </c>
      <c r="C333" t="s">
        <v>136</v>
      </c>
      <c r="D333" t="s">
        <v>210</v>
      </c>
      <c r="E333" t="s">
        <v>665</v>
      </c>
      <c r="F333" t="s">
        <v>187</v>
      </c>
      <c r="G333" s="1">
        <v>45755</v>
      </c>
      <c r="H333" s="1">
        <v>45790</v>
      </c>
      <c r="I333" s="2">
        <v>640</v>
      </c>
      <c r="J333" t="s">
        <v>777</v>
      </c>
      <c r="K333" t="s">
        <v>783</v>
      </c>
      <c r="L333" t="s">
        <v>823</v>
      </c>
      <c r="M333" t="s">
        <v>830</v>
      </c>
      <c r="N333" t="str">
        <f t="shared" si="15"/>
        <v>T-2</v>
      </c>
      <c r="O333">
        <f t="shared" si="16"/>
        <v>2025</v>
      </c>
      <c r="P333" t="str">
        <f t="shared" si="17"/>
        <v>4. abril</v>
      </c>
    </row>
    <row r="334" spans="1:16" x14ac:dyDescent="0.35">
      <c r="A334">
        <v>473059</v>
      </c>
      <c r="B334" t="s">
        <v>8</v>
      </c>
      <c r="C334" t="s">
        <v>138</v>
      </c>
      <c r="D334" t="s">
        <v>195</v>
      </c>
      <c r="E334" t="s">
        <v>654</v>
      </c>
      <c r="F334" t="s">
        <v>187</v>
      </c>
      <c r="G334" s="1">
        <v>45768</v>
      </c>
      <c r="H334" s="1">
        <v>45768</v>
      </c>
      <c r="I334" s="2">
        <v>850</v>
      </c>
      <c r="J334" t="s">
        <v>777</v>
      </c>
      <c r="K334" t="s">
        <v>783</v>
      </c>
      <c r="L334" t="s">
        <v>823</v>
      </c>
      <c r="M334" t="s">
        <v>828</v>
      </c>
      <c r="N334" t="str">
        <f t="shared" si="15"/>
        <v>T-2</v>
      </c>
      <c r="O334">
        <f t="shared" si="16"/>
        <v>2025</v>
      </c>
      <c r="P334" t="str">
        <f t="shared" si="17"/>
        <v>4. abril</v>
      </c>
    </row>
    <row r="335" spans="1:16" x14ac:dyDescent="0.35">
      <c r="A335">
        <v>719877</v>
      </c>
      <c r="B335" t="s">
        <v>27</v>
      </c>
      <c r="C335" t="s">
        <v>137</v>
      </c>
      <c r="D335" t="s">
        <v>277</v>
      </c>
      <c r="E335" t="s">
        <v>652</v>
      </c>
      <c r="F335" t="s">
        <v>187</v>
      </c>
      <c r="G335" s="1">
        <v>45769</v>
      </c>
      <c r="H335" s="1">
        <v>45772</v>
      </c>
      <c r="I335" s="2">
        <v>936</v>
      </c>
      <c r="J335" t="s">
        <v>774</v>
      </c>
      <c r="K335" t="s">
        <v>789</v>
      </c>
      <c r="L335" t="s">
        <v>823</v>
      </c>
      <c r="M335" t="s">
        <v>828</v>
      </c>
      <c r="N335" t="str">
        <f t="shared" si="15"/>
        <v>T-2</v>
      </c>
      <c r="O335">
        <f t="shared" si="16"/>
        <v>2025</v>
      </c>
      <c r="P335" t="str">
        <f t="shared" si="17"/>
        <v>4. abril</v>
      </c>
    </row>
    <row r="336" spans="1:16" x14ac:dyDescent="0.35">
      <c r="A336">
        <v>465613</v>
      </c>
      <c r="B336" t="s">
        <v>69</v>
      </c>
      <c r="C336" t="s">
        <v>141</v>
      </c>
      <c r="D336" t="s">
        <v>277</v>
      </c>
      <c r="E336" t="s">
        <v>652</v>
      </c>
      <c r="F336" t="s">
        <v>187</v>
      </c>
      <c r="G336" s="1">
        <v>45769</v>
      </c>
      <c r="H336" s="1">
        <v>45772</v>
      </c>
      <c r="I336" s="2">
        <v>1872</v>
      </c>
      <c r="J336" t="s">
        <v>774</v>
      </c>
      <c r="K336" t="s">
        <v>783</v>
      </c>
      <c r="L336" t="s">
        <v>823</v>
      </c>
      <c r="M336" t="s">
        <v>829</v>
      </c>
      <c r="N336" t="str">
        <f t="shared" si="15"/>
        <v>T-2</v>
      </c>
      <c r="O336">
        <f t="shared" si="16"/>
        <v>2025</v>
      </c>
      <c r="P336" t="str">
        <f t="shared" si="17"/>
        <v>4. abril</v>
      </c>
    </row>
    <row r="337" spans="1:16" x14ac:dyDescent="0.35">
      <c r="A337">
        <v>232036</v>
      </c>
      <c r="B337" t="s">
        <v>34</v>
      </c>
      <c r="C337" t="s">
        <v>141</v>
      </c>
      <c r="D337" t="s">
        <v>184</v>
      </c>
      <c r="E337" t="s">
        <v>652</v>
      </c>
      <c r="F337" t="s">
        <v>187</v>
      </c>
      <c r="G337" s="1">
        <v>45769</v>
      </c>
      <c r="H337" s="1">
        <v>45772</v>
      </c>
      <c r="I337" s="2">
        <v>3432</v>
      </c>
      <c r="J337" t="s">
        <v>774</v>
      </c>
      <c r="K337" t="s">
        <v>785</v>
      </c>
      <c r="L337" t="s">
        <v>824</v>
      </c>
      <c r="M337" t="s">
        <v>830</v>
      </c>
      <c r="N337" t="str">
        <f t="shared" si="15"/>
        <v>T-2</v>
      </c>
      <c r="O337">
        <f t="shared" si="16"/>
        <v>2025</v>
      </c>
      <c r="P337" t="str">
        <f t="shared" si="17"/>
        <v>4. abril</v>
      </c>
    </row>
    <row r="338" spans="1:16" x14ac:dyDescent="0.35">
      <c r="A338">
        <v>708874</v>
      </c>
      <c r="B338" t="s">
        <v>23</v>
      </c>
      <c r="C338" t="s">
        <v>138</v>
      </c>
      <c r="D338" t="s">
        <v>327</v>
      </c>
      <c r="E338" t="s">
        <v>698</v>
      </c>
      <c r="F338" t="s">
        <v>187</v>
      </c>
      <c r="G338" s="1">
        <v>45810</v>
      </c>
      <c r="H338" s="1">
        <v>45811</v>
      </c>
      <c r="I338" s="2">
        <v>4180</v>
      </c>
      <c r="J338" t="s">
        <v>774</v>
      </c>
      <c r="K338" t="s">
        <v>783</v>
      </c>
      <c r="L338" t="s">
        <v>823</v>
      </c>
      <c r="M338" t="s">
        <v>830</v>
      </c>
      <c r="N338" t="str">
        <f t="shared" si="15"/>
        <v>T-2</v>
      </c>
      <c r="O338">
        <f t="shared" si="16"/>
        <v>2025</v>
      </c>
      <c r="P338" t="str">
        <f t="shared" si="17"/>
        <v>6. junio</v>
      </c>
    </row>
    <row r="339" spans="1:16" x14ac:dyDescent="0.35">
      <c r="A339">
        <v>706322</v>
      </c>
      <c r="B339" t="s">
        <v>23</v>
      </c>
      <c r="C339" t="s">
        <v>138</v>
      </c>
      <c r="D339" t="s">
        <v>328</v>
      </c>
      <c r="E339" t="s">
        <v>652</v>
      </c>
      <c r="F339" t="s">
        <v>187</v>
      </c>
      <c r="G339" s="1">
        <v>45769</v>
      </c>
      <c r="H339" s="1">
        <v>45772</v>
      </c>
      <c r="I339" s="2">
        <v>520</v>
      </c>
      <c r="J339" t="s">
        <v>776</v>
      </c>
      <c r="K339" t="s">
        <v>783</v>
      </c>
      <c r="L339" t="s">
        <v>823</v>
      </c>
      <c r="M339" t="s">
        <v>828</v>
      </c>
      <c r="N339" t="str">
        <f t="shared" si="15"/>
        <v>T-2</v>
      </c>
      <c r="O339">
        <f t="shared" si="16"/>
        <v>2025</v>
      </c>
      <c r="P339" t="str">
        <f t="shared" si="17"/>
        <v>4. abril</v>
      </c>
    </row>
    <row r="340" spans="1:16" x14ac:dyDescent="0.35">
      <c r="A340">
        <v>565167</v>
      </c>
      <c r="B340" t="s">
        <v>20</v>
      </c>
      <c r="C340" t="s">
        <v>136</v>
      </c>
      <c r="D340" t="s">
        <v>246</v>
      </c>
      <c r="E340" t="s">
        <v>652</v>
      </c>
      <c r="F340" t="s">
        <v>187</v>
      </c>
      <c r="G340" s="1">
        <v>45776</v>
      </c>
      <c r="H340" s="1">
        <v>45776</v>
      </c>
      <c r="I340" s="2">
        <v>546</v>
      </c>
      <c r="J340" t="s">
        <v>774</v>
      </c>
      <c r="K340" t="s">
        <v>783</v>
      </c>
      <c r="L340" t="s">
        <v>823</v>
      </c>
      <c r="M340" t="s">
        <v>830</v>
      </c>
      <c r="N340" t="str">
        <f t="shared" si="15"/>
        <v>T-2</v>
      </c>
      <c r="O340">
        <f t="shared" si="16"/>
        <v>2025</v>
      </c>
      <c r="P340" t="str">
        <f t="shared" si="17"/>
        <v>4. abril</v>
      </c>
    </row>
    <row r="341" spans="1:16" x14ac:dyDescent="0.35">
      <c r="A341">
        <v>414884</v>
      </c>
      <c r="B341" t="s">
        <v>45</v>
      </c>
      <c r="C341" t="s">
        <v>138</v>
      </c>
      <c r="D341" t="s">
        <v>246</v>
      </c>
      <c r="E341" t="s">
        <v>652</v>
      </c>
      <c r="F341" t="s">
        <v>187</v>
      </c>
      <c r="G341" s="1">
        <v>45776</v>
      </c>
      <c r="H341" s="1">
        <v>45776</v>
      </c>
      <c r="I341" s="2">
        <v>858</v>
      </c>
      <c r="J341" t="s">
        <v>774</v>
      </c>
      <c r="K341" t="s">
        <v>800</v>
      </c>
      <c r="L341" t="s">
        <v>823</v>
      </c>
      <c r="M341" t="s">
        <v>829</v>
      </c>
      <c r="N341" t="str">
        <f t="shared" si="15"/>
        <v>T-2</v>
      </c>
      <c r="O341">
        <f t="shared" si="16"/>
        <v>2025</v>
      </c>
      <c r="P341" t="str">
        <f t="shared" si="17"/>
        <v>4. abril</v>
      </c>
    </row>
    <row r="342" spans="1:16" x14ac:dyDescent="0.35">
      <c r="A342">
        <v>429609</v>
      </c>
      <c r="B342" t="s">
        <v>5</v>
      </c>
      <c r="C342" t="s">
        <v>138</v>
      </c>
      <c r="D342" t="s">
        <v>246</v>
      </c>
      <c r="E342" t="s">
        <v>652</v>
      </c>
      <c r="F342" t="s">
        <v>187</v>
      </c>
      <c r="G342" s="1">
        <v>45777</v>
      </c>
      <c r="H342" s="1">
        <v>45777</v>
      </c>
      <c r="I342" s="2">
        <v>468</v>
      </c>
      <c r="J342" t="s">
        <v>774</v>
      </c>
      <c r="K342" t="s">
        <v>789</v>
      </c>
      <c r="L342" t="s">
        <v>823</v>
      </c>
      <c r="M342" t="s">
        <v>830</v>
      </c>
      <c r="N342" t="str">
        <f t="shared" si="15"/>
        <v>T-2</v>
      </c>
      <c r="O342">
        <f t="shared" si="16"/>
        <v>2025</v>
      </c>
      <c r="P342" t="str">
        <f t="shared" si="17"/>
        <v>4. abril</v>
      </c>
    </row>
    <row r="343" spans="1:16" x14ac:dyDescent="0.35">
      <c r="A343">
        <v>498111</v>
      </c>
      <c r="B343" t="s">
        <v>33</v>
      </c>
      <c r="C343" t="s">
        <v>136</v>
      </c>
      <c r="D343" t="s">
        <v>246</v>
      </c>
      <c r="E343" t="s">
        <v>652</v>
      </c>
      <c r="F343" t="s">
        <v>187</v>
      </c>
      <c r="G343" s="1">
        <v>45777</v>
      </c>
      <c r="H343" s="1">
        <v>45777</v>
      </c>
      <c r="I343" s="2">
        <v>936</v>
      </c>
      <c r="J343" t="s">
        <v>774</v>
      </c>
      <c r="K343" t="s">
        <v>788</v>
      </c>
      <c r="L343" t="s">
        <v>824</v>
      </c>
      <c r="M343" t="s">
        <v>830</v>
      </c>
      <c r="N343" t="str">
        <f t="shared" si="15"/>
        <v>T-2</v>
      </c>
      <c r="O343">
        <f t="shared" si="16"/>
        <v>2025</v>
      </c>
      <c r="P343" t="str">
        <f t="shared" si="17"/>
        <v>4. abril</v>
      </c>
    </row>
    <row r="344" spans="1:16" x14ac:dyDescent="0.35">
      <c r="A344">
        <v>486652</v>
      </c>
      <c r="B344" t="s">
        <v>30</v>
      </c>
      <c r="C344" t="s">
        <v>138</v>
      </c>
      <c r="D344" t="s">
        <v>286</v>
      </c>
      <c r="E344" t="s">
        <v>652</v>
      </c>
      <c r="F344" t="s">
        <v>187</v>
      </c>
      <c r="G344" s="1">
        <v>45776</v>
      </c>
      <c r="H344" s="1">
        <v>45776</v>
      </c>
      <c r="I344" s="2">
        <v>936</v>
      </c>
      <c r="J344" t="s">
        <v>774</v>
      </c>
      <c r="K344" t="s">
        <v>783</v>
      </c>
      <c r="L344" t="s">
        <v>823</v>
      </c>
      <c r="M344" t="s">
        <v>828</v>
      </c>
      <c r="N344" t="str">
        <f t="shared" si="15"/>
        <v>T-2</v>
      </c>
      <c r="O344">
        <f t="shared" si="16"/>
        <v>2025</v>
      </c>
      <c r="P344" t="str">
        <f t="shared" si="17"/>
        <v>4. abril</v>
      </c>
    </row>
    <row r="345" spans="1:16" x14ac:dyDescent="0.35">
      <c r="A345">
        <v>425965</v>
      </c>
      <c r="B345" t="s">
        <v>30</v>
      </c>
      <c r="C345" t="s">
        <v>138</v>
      </c>
      <c r="D345" t="s">
        <v>329</v>
      </c>
      <c r="E345" t="s">
        <v>652</v>
      </c>
      <c r="F345" t="s">
        <v>187</v>
      </c>
      <c r="G345" s="1">
        <v>45777</v>
      </c>
      <c r="H345" s="1">
        <v>45777</v>
      </c>
      <c r="I345" s="2">
        <v>650</v>
      </c>
      <c r="J345" t="s">
        <v>774</v>
      </c>
      <c r="K345" t="s">
        <v>789</v>
      </c>
      <c r="L345" t="s">
        <v>823</v>
      </c>
      <c r="M345" t="s">
        <v>828</v>
      </c>
      <c r="N345" t="str">
        <f t="shared" si="15"/>
        <v>T-2</v>
      </c>
      <c r="O345">
        <f t="shared" si="16"/>
        <v>2025</v>
      </c>
      <c r="P345" t="str">
        <f t="shared" si="17"/>
        <v>4. abril</v>
      </c>
    </row>
    <row r="346" spans="1:16" x14ac:dyDescent="0.35">
      <c r="A346">
        <v>701624</v>
      </c>
      <c r="B346" t="s">
        <v>75</v>
      </c>
      <c r="C346" t="s">
        <v>138</v>
      </c>
      <c r="D346" t="s">
        <v>197</v>
      </c>
      <c r="E346" t="s">
        <v>647</v>
      </c>
      <c r="F346" t="s">
        <v>187</v>
      </c>
      <c r="G346" s="1">
        <v>45775</v>
      </c>
      <c r="H346" s="1">
        <v>45776</v>
      </c>
      <c r="I346" s="2">
        <v>3850</v>
      </c>
      <c r="J346" t="s">
        <v>774</v>
      </c>
      <c r="K346" t="s">
        <v>783</v>
      </c>
      <c r="L346" t="s">
        <v>823</v>
      </c>
      <c r="M346" t="s">
        <v>830</v>
      </c>
      <c r="N346" t="str">
        <f t="shared" si="15"/>
        <v>T-2</v>
      </c>
      <c r="O346">
        <f t="shared" si="16"/>
        <v>2025</v>
      </c>
      <c r="P346" t="str">
        <f t="shared" si="17"/>
        <v>4. abril</v>
      </c>
    </row>
    <row r="347" spans="1:16" x14ac:dyDescent="0.35">
      <c r="A347">
        <v>720953</v>
      </c>
      <c r="B347" t="s">
        <v>24</v>
      </c>
      <c r="C347" t="s">
        <v>138</v>
      </c>
      <c r="D347" t="s">
        <v>197</v>
      </c>
      <c r="E347" t="s">
        <v>647</v>
      </c>
      <c r="F347" t="s">
        <v>187</v>
      </c>
      <c r="G347" s="1">
        <v>45775</v>
      </c>
      <c r="H347" s="1">
        <v>45776</v>
      </c>
      <c r="I347" s="2">
        <v>2100</v>
      </c>
      <c r="J347" t="s">
        <v>774</v>
      </c>
      <c r="K347" t="s">
        <v>785</v>
      </c>
      <c r="L347" t="s">
        <v>823</v>
      </c>
      <c r="M347" t="s">
        <v>829</v>
      </c>
      <c r="N347" t="str">
        <f t="shared" si="15"/>
        <v>T-2</v>
      </c>
      <c r="O347">
        <f t="shared" si="16"/>
        <v>2025</v>
      </c>
      <c r="P347" t="str">
        <f t="shared" si="17"/>
        <v>4. abril</v>
      </c>
    </row>
    <row r="348" spans="1:16" x14ac:dyDescent="0.35">
      <c r="A348">
        <v>721743</v>
      </c>
      <c r="B348" t="s">
        <v>27</v>
      </c>
      <c r="C348" t="s">
        <v>138</v>
      </c>
      <c r="D348" t="s">
        <v>330</v>
      </c>
      <c r="E348" t="s">
        <v>703</v>
      </c>
      <c r="F348" t="s">
        <v>187</v>
      </c>
      <c r="G348" s="1">
        <v>45769</v>
      </c>
      <c r="H348" s="1">
        <v>45772</v>
      </c>
      <c r="I348" s="2">
        <v>851.43</v>
      </c>
      <c r="J348" t="s">
        <v>774</v>
      </c>
      <c r="K348" t="s">
        <v>785</v>
      </c>
      <c r="L348" t="s">
        <v>823</v>
      </c>
      <c r="M348" t="s">
        <v>830</v>
      </c>
      <c r="N348" t="str">
        <f t="shared" si="15"/>
        <v>T-2</v>
      </c>
      <c r="O348">
        <f t="shared" si="16"/>
        <v>2025</v>
      </c>
      <c r="P348" t="str">
        <f t="shared" si="17"/>
        <v>4. abril</v>
      </c>
    </row>
    <row r="349" spans="1:16" x14ac:dyDescent="0.35">
      <c r="A349">
        <v>498142</v>
      </c>
      <c r="B349" t="s">
        <v>5</v>
      </c>
      <c r="C349" t="s">
        <v>138</v>
      </c>
      <c r="D349" t="s">
        <v>330</v>
      </c>
      <c r="E349" t="s">
        <v>703</v>
      </c>
      <c r="F349" t="s">
        <v>187</v>
      </c>
      <c r="G349" s="1">
        <v>45769</v>
      </c>
      <c r="H349" s="1">
        <v>45772</v>
      </c>
      <c r="I349" s="2">
        <v>5108.57</v>
      </c>
      <c r="J349" t="s">
        <v>774</v>
      </c>
      <c r="K349" t="s">
        <v>785</v>
      </c>
      <c r="L349" t="s">
        <v>823</v>
      </c>
      <c r="M349" t="s">
        <v>830</v>
      </c>
      <c r="N349" t="str">
        <f t="shared" si="15"/>
        <v>T-2</v>
      </c>
      <c r="O349">
        <f t="shared" si="16"/>
        <v>2025</v>
      </c>
      <c r="P349" t="str">
        <f t="shared" si="17"/>
        <v>4. abril</v>
      </c>
    </row>
    <row r="350" spans="1:16" x14ac:dyDescent="0.35">
      <c r="A350">
        <v>415213</v>
      </c>
      <c r="B350" t="s">
        <v>45</v>
      </c>
      <c r="C350" t="s">
        <v>140</v>
      </c>
      <c r="D350" t="s">
        <v>331</v>
      </c>
      <c r="E350" t="s">
        <v>703</v>
      </c>
      <c r="F350" t="s">
        <v>187</v>
      </c>
      <c r="G350" s="1">
        <v>45772</v>
      </c>
      <c r="H350" s="1">
        <v>45772</v>
      </c>
      <c r="I350" s="2">
        <v>212.86</v>
      </c>
      <c r="J350" t="s">
        <v>774</v>
      </c>
      <c r="K350" t="s">
        <v>783</v>
      </c>
      <c r="L350" t="s">
        <v>824</v>
      </c>
      <c r="M350" t="s">
        <v>828</v>
      </c>
      <c r="N350" t="str">
        <f t="shared" si="15"/>
        <v>T-2</v>
      </c>
      <c r="O350">
        <f t="shared" si="16"/>
        <v>2025</v>
      </c>
      <c r="P350" t="str">
        <f t="shared" si="17"/>
        <v>4. abril</v>
      </c>
    </row>
    <row r="351" spans="1:16" x14ac:dyDescent="0.35">
      <c r="A351">
        <v>270469</v>
      </c>
      <c r="B351" t="s">
        <v>33</v>
      </c>
      <c r="C351" t="s">
        <v>136</v>
      </c>
      <c r="D351" t="s">
        <v>331</v>
      </c>
      <c r="E351" t="s">
        <v>703</v>
      </c>
      <c r="F351" t="s">
        <v>187</v>
      </c>
      <c r="G351" s="1">
        <v>45772</v>
      </c>
      <c r="H351" s="1">
        <v>45772</v>
      </c>
      <c r="I351" s="2">
        <v>1277.1400000000001</v>
      </c>
      <c r="J351" t="s">
        <v>774</v>
      </c>
      <c r="K351" t="s">
        <v>783</v>
      </c>
      <c r="L351" t="s">
        <v>823</v>
      </c>
      <c r="M351" t="s">
        <v>828</v>
      </c>
      <c r="N351" t="str">
        <f t="shared" si="15"/>
        <v>T-2</v>
      </c>
      <c r="O351">
        <f t="shared" si="16"/>
        <v>2025</v>
      </c>
      <c r="P351" t="str">
        <f t="shared" si="17"/>
        <v>4. abril</v>
      </c>
    </row>
    <row r="352" spans="1:16" x14ac:dyDescent="0.35">
      <c r="A352">
        <v>709671</v>
      </c>
      <c r="B352" t="s">
        <v>32</v>
      </c>
      <c r="C352" t="s">
        <v>136</v>
      </c>
      <c r="D352" t="s">
        <v>332</v>
      </c>
      <c r="E352" t="s">
        <v>703</v>
      </c>
      <c r="F352" t="s">
        <v>187</v>
      </c>
      <c r="G352" s="1">
        <v>45769</v>
      </c>
      <c r="H352" s="1">
        <v>45771</v>
      </c>
      <c r="I352" s="2">
        <v>638.57000000000005</v>
      </c>
      <c r="J352" t="s">
        <v>774</v>
      </c>
      <c r="K352" t="s">
        <v>783</v>
      </c>
      <c r="L352" t="s">
        <v>823</v>
      </c>
      <c r="M352" t="s">
        <v>829</v>
      </c>
      <c r="N352" t="str">
        <f t="shared" si="15"/>
        <v>T-2</v>
      </c>
      <c r="O352">
        <f t="shared" si="16"/>
        <v>2025</v>
      </c>
      <c r="P352" t="str">
        <f t="shared" si="17"/>
        <v>4. abril</v>
      </c>
    </row>
    <row r="353" spans="1:16" x14ac:dyDescent="0.35">
      <c r="A353">
        <v>412401</v>
      </c>
      <c r="B353" t="s">
        <v>28</v>
      </c>
      <c r="C353" t="s">
        <v>139</v>
      </c>
      <c r="D353" t="s">
        <v>332</v>
      </c>
      <c r="E353" t="s">
        <v>703</v>
      </c>
      <c r="F353" t="s">
        <v>187</v>
      </c>
      <c r="G353" s="1">
        <v>45769</v>
      </c>
      <c r="H353" s="1">
        <v>45771</v>
      </c>
      <c r="I353" s="2">
        <v>3831.43</v>
      </c>
      <c r="J353" t="s">
        <v>774</v>
      </c>
      <c r="K353" t="s">
        <v>789</v>
      </c>
      <c r="L353" t="s">
        <v>823</v>
      </c>
      <c r="M353" t="s">
        <v>830</v>
      </c>
      <c r="N353" t="str">
        <f t="shared" si="15"/>
        <v>T-2</v>
      </c>
      <c r="O353">
        <f t="shared" si="16"/>
        <v>2025</v>
      </c>
      <c r="P353" t="str">
        <f t="shared" si="17"/>
        <v>4. abril</v>
      </c>
    </row>
    <row r="354" spans="1:16" x14ac:dyDescent="0.35">
      <c r="A354">
        <v>478459</v>
      </c>
      <c r="B354" t="s">
        <v>5</v>
      </c>
      <c r="C354" t="s">
        <v>138</v>
      </c>
      <c r="D354" t="s">
        <v>183</v>
      </c>
      <c r="E354" t="s">
        <v>703</v>
      </c>
      <c r="F354" t="s">
        <v>187</v>
      </c>
      <c r="G354" s="1">
        <v>45777</v>
      </c>
      <c r="H354" s="1">
        <v>45777</v>
      </c>
      <c r="I354" s="2">
        <v>496.67</v>
      </c>
      <c r="J354" t="s">
        <v>774</v>
      </c>
      <c r="K354" t="s">
        <v>789</v>
      </c>
      <c r="L354" t="s">
        <v>823</v>
      </c>
      <c r="M354" t="s">
        <v>830</v>
      </c>
      <c r="N354" t="str">
        <f t="shared" si="15"/>
        <v>T-2</v>
      </c>
      <c r="O354">
        <f t="shared" si="16"/>
        <v>2025</v>
      </c>
      <c r="P354" t="str">
        <f t="shared" si="17"/>
        <v>4. abril</v>
      </c>
    </row>
    <row r="355" spans="1:16" x14ac:dyDescent="0.35">
      <c r="A355">
        <v>715815</v>
      </c>
      <c r="B355" t="s">
        <v>33</v>
      </c>
      <c r="C355" t="s">
        <v>138</v>
      </c>
      <c r="D355" t="s">
        <v>183</v>
      </c>
      <c r="E355" t="s">
        <v>703</v>
      </c>
      <c r="F355" t="s">
        <v>187</v>
      </c>
      <c r="G355" s="1">
        <v>45777</v>
      </c>
      <c r="H355" s="1">
        <v>45777</v>
      </c>
      <c r="I355" s="2">
        <v>993.33</v>
      </c>
      <c r="J355" t="s">
        <v>774</v>
      </c>
      <c r="K355" t="s">
        <v>783</v>
      </c>
      <c r="L355" t="s">
        <v>823</v>
      </c>
      <c r="M355" t="s">
        <v>828</v>
      </c>
      <c r="N355" t="str">
        <f t="shared" si="15"/>
        <v>T-2</v>
      </c>
      <c r="O355">
        <f t="shared" si="16"/>
        <v>2025</v>
      </c>
      <c r="P355" t="str">
        <f t="shared" si="17"/>
        <v>4. abril</v>
      </c>
    </row>
    <row r="356" spans="1:16" x14ac:dyDescent="0.35">
      <c r="A356">
        <v>716462</v>
      </c>
      <c r="B356" t="s">
        <v>2</v>
      </c>
      <c r="C356" t="s">
        <v>138</v>
      </c>
      <c r="D356" t="s">
        <v>240</v>
      </c>
      <c r="E356" t="s">
        <v>681</v>
      </c>
      <c r="F356" t="s">
        <v>187</v>
      </c>
      <c r="G356" s="1">
        <v>45772</v>
      </c>
      <c r="H356" s="1">
        <v>45772</v>
      </c>
      <c r="I356" s="2">
        <v>2539.59</v>
      </c>
      <c r="J356" t="s">
        <v>779</v>
      </c>
      <c r="K356" t="s">
        <v>783</v>
      </c>
      <c r="L356" t="s">
        <v>823</v>
      </c>
      <c r="M356" t="s">
        <v>830</v>
      </c>
      <c r="N356" t="str">
        <f t="shared" si="15"/>
        <v>T-2</v>
      </c>
      <c r="O356">
        <f t="shared" si="16"/>
        <v>2025</v>
      </c>
      <c r="P356" t="str">
        <f t="shared" si="17"/>
        <v>4. abril</v>
      </c>
    </row>
    <row r="357" spans="1:16" x14ac:dyDescent="0.35">
      <c r="A357">
        <v>718723</v>
      </c>
      <c r="B357" t="s">
        <v>14</v>
      </c>
      <c r="C357" t="s">
        <v>137</v>
      </c>
      <c r="D357" t="s">
        <v>267</v>
      </c>
      <c r="E357" t="s">
        <v>682</v>
      </c>
      <c r="F357" t="s">
        <v>187</v>
      </c>
      <c r="G357" s="1">
        <v>45772</v>
      </c>
      <c r="H357" s="1">
        <v>45772</v>
      </c>
      <c r="I357" s="2">
        <v>660</v>
      </c>
      <c r="J357" t="s">
        <v>777</v>
      </c>
      <c r="K357" t="s">
        <v>783</v>
      </c>
      <c r="L357" t="s">
        <v>823</v>
      </c>
      <c r="M357" t="s">
        <v>829</v>
      </c>
      <c r="N357" t="str">
        <f t="shared" si="15"/>
        <v>T-2</v>
      </c>
      <c r="O357">
        <f t="shared" si="16"/>
        <v>2025</v>
      </c>
      <c r="P357" t="str">
        <f t="shared" si="17"/>
        <v>4. abril</v>
      </c>
    </row>
    <row r="358" spans="1:16" x14ac:dyDescent="0.35">
      <c r="A358">
        <v>711821</v>
      </c>
      <c r="B358" t="s">
        <v>23</v>
      </c>
      <c r="C358" t="s">
        <v>138</v>
      </c>
      <c r="D358" t="s">
        <v>223</v>
      </c>
      <c r="E358" t="s">
        <v>674</v>
      </c>
      <c r="F358" t="s">
        <v>187</v>
      </c>
      <c r="G358" s="1">
        <v>45771</v>
      </c>
      <c r="H358" s="1">
        <v>45771</v>
      </c>
      <c r="I358" s="2">
        <v>811.13</v>
      </c>
      <c r="J358" t="s">
        <v>777</v>
      </c>
      <c r="K358" t="s">
        <v>783</v>
      </c>
      <c r="L358" t="s">
        <v>824</v>
      </c>
      <c r="M358" t="s">
        <v>830</v>
      </c>
      <c r="N358" t="str">
        <f t="shared" si="15"/>
        <v>T-2</v>
      </c>
      <c r="O358">
        <f t="shared" si="16"/>
        <v>2025</v>
      </c>
      <c r="P358" t="str">
        <f t="shared" si="17"/>
        <v>4. abril</v>
      </c>
    </row>
    <row r="359" spans="1:16" x14ac:dyDescent="0.35">
      <c r="A359">
        <v>712150</v>
      </c>
      <c r="B359" t="s">
        <v>32</v>
      </c>
      <c r="C359" t="s">
        <v>137</v>
      </c>
      <c r="D359" t="s">
        <v>223</v>
      </c>
      <c r="E359" t="s">
        <v>674</v>
      </c>
      <c r="F359" t="s">
        <v>187</v>
      </c>
      <c r="G359" s="1">
        <v>45771</v>
      </c>
      <c r="H359" s="1">
        <v>45771</v>
      </c>
      <c r="I359" s="2">
        <v>486.68</v>
      </c>
      <c r="J359" t="s">
        <v>777</v>
      </c>
      <c r="K359" t="s">
        <v>785</v>
      </c>
      <c r="L359" t="s">
        <v>823</v>
      </c>
      <c r="M359" t="s">
        <v>830</v>
      </c>
      <c r="N359" t="str">
        <f t="shared" si="15"/>
        <v>T-2</v>
      </c>
      <c r="O359">
        <f t="shared" si="16"/>
        <v>2025</v>
      </c>
      <c r="P359" t="str">
        <f t="shared" si="17"/>
        <v>4. abril</v>
      </c>
    </row>
    <row r="360" spans="1:16" x14ac:dyDescent="0.35">
      <c r="A360">
        <v>724012</v>
      </c>
      <c r="B360" t="s">
        <v>28</v>
      </c>
      <c r="C360" t="s">
        <v>141</v>
      </c>
      <c r="D360" t="s">
        <v>333</v>
      </c>
      <c r="E360" t="s">
        <v>665</v>
      </c>
      <c r="F360" t="s">
        <v>187</v>
      </c>
      <c r="G360" s="1">
        <v>45755</v>
      </c>
      <c r="H360" s="1">
        <v>45755</v>
      </c>
      <c r="I360" s="2">
        <v>1160</v>
      </c>
      <c r="J360" t="s">
        <v>777</v>
      </c>
      <c r="K360" t="s">
        <v>783</v>
      </c>
      <c r="L360" t="s">
        <v>823</v>
      </c>
      <c r="M360" t="s">
        <v>828</v>
      </c>
      <c r="N360" t="str">
        <f t="shared" si="15"/>
        <v>T-2</v>
      </c>
      <c r="O360">
        <f t="shared" si="16"/>
        <v>2025</v>
      </c>
      <c r="P360" t="str">
        <f t="shared" si="17"/>
        <v>4. abril</v>
      </c>
    </row>
    <row r="361" spans="1:16" x14ac:dyDescent="0.35">
      <c r="A361">
        <v>717480</v>
      </c>
      <c r="B361" t="s">
        <v>4</v>
      </c>
      <c r="C361" t="s">
        <v>137</v>
      </c>
      <c r="D361" t="s">
        <v>334</v>
      </c>
      <c r="E361" t="s">
        <v>665</v>
      </c>
      <c r="F361" t="s">
        <v>187</v>
      </c>
      <c r="G361" s="1">
        <v>45750</v>
      </c>
      <c r="H361" s="1">
        <v>45750</v>
      </c>
      <c r="I361" s="2">
        <v>840</v>
      </c>
      <c r="J361" t="s">
        <v>777</v>
      </c>
      <c r="K361" t="s">
        <v>783</v>
      </c>
      <c r="L361" t="s">
        <v>823</v>
      </c>
      <c r="M361" t="s">
        <v>828</v>
      </c>
      <c r="N361" t="str">
        <f t="shared" si="15"/>
        <v>T-2</v>
      </c>
      <c r="O361">
        <f t="shared" si="16"/>
        <v>2025</v>
      </c>
      <c r="P361" t="str">
        <f t="shared" si="17"/>
        <v>4. abril</v>
      </c>
    </row>
    <row r="362" spans="1:16" x14ac:dyDescent="0.35">
      <c r="A362">
        <v>720002</v>
      </c>
      <c r="B362" t="s">
        <v>4</v>
      </c>
      <c r="C362" t="s">
        <v>137</v>
      </c>
      <c r="D362" t="s">
        <v>158</v>
      </c>
      <c r="E362" t="s">
        <v>648</v>
      </c>
      <c r="F362" t="s">
        <v>773</v>
      </c>
      <c r="G362" s="1">
        <v>45797</v>
      </c>
      <c r="H362" s="1">
        <v>46002</v>
      </c>
      <c r="I362" s="2">
        <v>1820</v>
      </c>
      <c r="J362" t="s">
        <v>775</v>
      </c>
      <c r="K362" t="s">
        <v>800</v>
      </c>
      <c r="L362" t="s">
        <v>823</v>
      </c>
      <c r="M362" t="s">
        <v>830</v>
      </c>
      <c r="N362" t="str">
        <f t="shared" si="15"/>
        <v>T-2</v>
      </c>
      <c r="O362">
        <f t="shared" si="16"/>
        <v>2025</v>
      </c>
      <c r="P362" t="str">
        <f t="shared" si="17"/>
        <v>5. mayo</v>
      </c>
    </row>
    <row r="363" spans="1:16" x14ac:dyDescent="0.35">
      <c r="A363">
        <v>491133</v>
      </c>
      <c r="B363" t="s">
        <v>16</v>
      </c>
      <c r="C363" t="s">
        <v>136</v>
      </c>
      <c r="D363" t="s">
        <v>147</v>
      </c>
      <c r="E363" t="s">
        <v>677</v>
      </c>
      <c r="F363" t="s">
        <v>187</v>
      </c>
      <c r="G363" s="1">
        <v>45750</v>
      </c>
      <c r="H363" s="1">
        <v>45750</v>
      </c>
      <c r="I363" s="2">
        <v>1323</v>
      </c>
      <c r="J363" t="s">
        <v>779</v>
      </c>
      <c r="K363" t="s">
        <v>789</v>
      </c>
      <c r="L363" t="s">
        <v>823</v>
      </c>
      <c r="M363" t="s">
        <v>829</v>
      </c>
      <c r="N363" t="str">
        <f t="shared" si="15"/>
        <v>T-2</v>
      </c>
      <c r="O363">
        <f t="shared" si="16"/>
        <v>2025</v>
      </c>
      <c r="P363" t="str">
        <f t="shared" si="17"/>
        <v>4. abril</v>
      </c>
    </row>
    <row r="364" spans="1:16" x14ac:dyDescent="0.35">
      <c r="A364">
        <v>406707</v>
      </c>
      <c r="B364" t="s">
        <v>36</v>
      </c>
      <c r="C364" t="s">
        <v>141</v>
      </c>
      <c r="D364" t="s">
        <v>281</v>
      </c>
      <c r="E364" t="s">
        <v>677</v>
      </c>
      <c r="F364" t="s">
        <v>187</v>
      </c>
      <c r="G364" s="1">
        <v>45771</v>
      </c>
      <c r="H364" s="1">
        <v>45771</v>
      </c>
      <c r="I364" s="2">
        <v>1289.08</v>
      </c>
      <c r="J364" t="s">
        <v>779</v>
      </c>
      <c r="K364" t="s">
        <v>783</v>
      </c>
      <c r="L364" t="s">
        <v>824</v>
      </c>
      <c r="M364" t="s">
        <v>830</v>
      </c>
      <c r="N364" t="str">
        <f t="shared" si="15"/>
        <v>T-2</v>
      </c>
      <c r="O364">
        <f t="shared" si="16"/>
        <v>2025</v>
      </c>
      <c r="P364" t="str">
        <f t="shared" si="17"/>
        <v>4. abril</v>
      </c>
    </row>
    <row r="365" spans="1:16" x14ac:dyDescent="0.35">
      <c r="A365">
        <v>424240</v>
      </c>
      <c r="B365" t="s">
        <v>20</v>
      </c>
      <c r="C365" t="s">
        <v>136</v>
      </c>
      <c r="D365" t="s">
        <v>335</v>
      </c>
      <c r="E365" t="s">
        <v>714</v>
      </c>
      <c r="F365" t="s">
        <v>187</v>
      </c>
      <c r="G365" s="1">
        <v>45784</v>
      </c>
      <c r="H365" s="1">
        <v>45784</v>
      </c>
      <c r="I365" s="2">
        <v>1785</v>
      </c>
      <c r="J365" t="s">
        <v>779</v>
      </c>
      <c r="K365" t="s">
        <v>800</v>
      </c>
      <c r="L365" t="s">
        <v>823</v>
      </c>
      <c r="M365" t="s">
        <v>830</v>
      </c>
      <c r="N365" t="str">
        <f t="shared" si="15"/>
        <v>T-2</v>
      </c>
      <c r="O365">
        <f t="shared" si="16"/>
        <v>2025</v>
      </c>
      <c r="P365" t="str">
        <f t="shared" si="17"/>
        <v>5. mayo</v>
      </c>
    </row>
    <row r="366" spans="1:16" x14ac:dyDescent="0.35">
      <c r="A366">
        <v>407568</v>
      </c>
      <c r="B366" t="s">
        <v>24</v>
      </c>
      <c r="C366" t="s">
        <v>138</v>
      </c>
      <c r="D366" t="s">
        <v>335</v>
      </c>
      <c r="E366" t="s">
        <v>675</v>
      </c>
      <c r="F366" t="s">
        <v>187</v>
      </c>
      <c r="G366" s="1">
        <v>45784</v>
      </c>
      <c r="H366" s="1">
        <v>45784</v>
      </c>
      <c r="I366" s="2">
        <v>3500</v>
      </c>
      <c r="J366" t="s">
        <v>779</v>
      </c>
      <c r="K366" t="s">
        <v>783</v>
      </c>
      <c r="L366" t="s">
        <v>823</v>
      </c>
      <c r="M366" t="s">
        <v>828</v>
      </c>
      <c r="N366" t="str">
        <f t="shared" si="15"/>
        <v>T-2</v>
      </c>
      <c r="O366">
        <f t="shared" si="16"/>
        <v>2025</v>
      </c>
      <c r="P366" t="str">
        <f t="shared" si="17"/>
        <v>5. mayo</v>
      </c>
    </row>
    <row r="367" spans="1:16" x14ac:dyDescent="0.35">
      <c r="A367">
        <v>561540</v>
      </c>
      <c r="B367" t="s">
        <v>2</v>
      </c>
      <c r="C367" t="s">
        <v>138</v>
      </c>
      <c r="D367" t="s">
        <v>210</v>
      </c>
      <c r="E367" t="s">
        <v>665</v>
      </c>
      <c r="F367" t="s">
        <v>187</v>
      </c>
      <c r="G367" s="1">
        <v>45784</v>
      </c>
      <c r="H367" s="1">
        <v>45812</v>
      </c>
      <c r="I367" s="2">
        <v>250</v>
      </c>
      <c r="J367" t="s">
        <v>777</v>
      </c>
      <c r="K367" t="s">
        <v>783</v>
      </c>
      <c r="L367" t="s">
        <v>823</v>
      </c>
      <c r="M367" t="s">
        <v>828</v>
      </c>
      <c r="N367" t="str">
        <f t="shared" si="15"/>
        <v>T-2</v>
      </c>
      <c r="O367">
        <f t="shared" si="16"/>
        <v>2025</v>
      </c>
      <c r="P367" t="str">
        <f t="shared" si="17"/>
        <v>5. mayo</v>
      </c>
    </row>
    <row r="368" spans="1:16" x14ac:dyDescent="0.35">
      <c r="A368">
        <v>708737</v>
      </c>
      <c r="B368" t="s">
        <v>10</v>
      </c>
      <c r="C368" t="s">
        <v>138</v>
      </c>
      <c r="D368" t="s">
        <v>336</v>
      </c>
      <c r="E368" t="s">
        <v>667</v>
      </c>
      <c r="F368" t="s">
        <v>187</v>
      </c>
      <c r="G368" s="1">
        <v>45783</v>
      </c>
      <c r="H368" s="1">
        <v>45783</v>
      </c>
      <c r="I368" s="2">
        <v>350</v>
      </c>
      <c r="J368" t="s">
        <v>777</v>
      </c>
      <c r="K368" t="s">
        <v>783</v>
      </c>
      <c r="L368" t="s">
        <v>823</v>
      </c>
      <c r="M368" t="s">
        <v>829</v>
      </c>
      <c r="N368" t="str">
        <f t="shared" si="15"/>
        <v>T-2</v>
      </c>
      <c r="O368">
        <f t="shared" si="16"/>
        <v>2025</v>
      </c>
      <c r="P368" t="str">
        <f t="shared" si="17"/>
        <v>5. mayo</v>
      </c>
    </row>
    <row r="369" spans="1:16" x14ac:dyDescent="0.35">
      <c r="A369">
        <v>440712</v>
      </c>
      <c r="B369" t="s">
        <v>29</v>
      </c>
      <c r="C369" t="s">
        <v>136</v>
      </c>
      <c r="D369" t="s">
        <v>210</v>
      </c>
      <c r="E369" t="s">
        <v>665</v>
      </c>
      <c r="F369" t="s">
        <v>187</v>
      </c>
      <c r="G369" s="1">
        <v>45782</v>
      </c>
      <c r="H369" s="1">
        <v>45810</v>
      </c>
      <c r="I369" s="2">
        <v>1000</v>
      </c>
      <c r="J369" t="s">
        <v>777</v>
      </c>
      <c r="K369" t="s">
        <v>789</v>
      </c>
      <c r="L369" t="s">
        <v>823</v>
      </c>
      <c r="M369" t="s">
        <v>830</v>
      </c>
      <c r="N369" t="str">
        <f t="shared" si="15"/>
        <v>T-2</v>
      </c>
      <c r="O369">
        <f t="shared" si="16"/>
        <v>2025</v>
      </c>
      <c r="P369" t="str">
        <f t="shared" si="17"/>
        <v>5. mayo</v>
      </c>
    </row>
    <row r="370" spans="1:16" x14ac:dyDescent="0.35">
      <c r="A370">
        <v>723056</v>
      </c>
      <c r="B370" t="s">
        <v>5</v>
      </c>
      <c r="C370" t="s">
        <v>138</v>
      </c>
      <c r="D370" t="s">
        <v>337</v>
      </c>
      <c r="E370" t="s">
        <v>647</v>
      </c>
      <c r="F370" t="s">
        <v>187</v>
      </c>
      <c r="G370" s="1">
        <v>45769</v>
      </c>
      <c r="H370" s="1">
        <v>45772</v>
      </c>
      <c r="I370" s="2">
        <v>290.52999999999997</v>
      </c>
      <c r="J370" t="s">
        <v>776</v>
      </c>
      <c r="K370" t="s">
        <v>789</v>
      </c>
      <c r="L370" t="s">
        <v>823</v>
      </c>
      <c r="M370" t="s">
        <v>830</v>
      </c>
      <c r="N370" t="str">
        <f t="shared" si="15"/>
        <v>T-2</v>
      </c>
      <c r="O370">
        <f t="shared" si="16"/>
        <v>2025</v>
      </c>
      <c r="P370" t="str">
        <f t="shared" si="17"/>
        <v>4. abril</v>
      </c>
    </row>
    <row r="371" spans="1:16" x14ac:dyDescent="0.35">
      <c r="A371">
        <v>701277</v>
      </c>
      <c r="B371" t="s">
        <v>2</v>
      </c>
      <c r="C371" t="s">
        <v>138</v>
      </c>
      <c r="D371" t="s">
        <v>337</v>
      </c>
      <c r="E371" t="s">
        <v>647</v>
      </c>
      <c r="F371" t="s">
        <v>187</v>
      </c>
      <c r="G371" s="1">
        <v>45769</v>
      </c>
      <c r="H371" s="1">
        <v>45772</v>
      </c>
      <c r="I371" s="2">
        <v>435.79</v>
      </c>
      <c r="J371" t="s">
        <v>776</v>
      </c>
      <c r="K371" t="s">
        <v>783</v>
      </c>
      <c r="L371" t="s">
        <v>824</v>
      </c>
      <c r="M371" t="s">
        <v>828</v>
      </c>
      <c r="N371" t="str">
        <f t="shared" si="15"/>
        <v>T-2</v>
      </c>
      <c r="O371">
        <f t="shared" si="16"/>
        <v>2025</v>
      </c>
      <c r="P371" t="str">
        <f t="shared" si="17"/>
        <v>4. abril</v>
      </c>
    </row>
    <row r="372" spans="1:16" x14ac:dyDescent="0.35">
      <c r="A372">
        <v>718551</v>
      </c>
      <c r="B372" t="s">
        <v>59</v>
      </c>
      <c r="C372" t="s">
        <v>137</v>
      </c>
      <c r="D372" t="s">
        <v>209</v>
      </c>
      <c r="E372" t="s">
        <v>647</v>
      </c>
      <c r="F372" t="s">
        <v>187</v>
      </c>
      <c r="G372" s="1">
        <v>45775</v>
      </c>
      <c r="H372" s="1">
        <v>45777</v>
      </c>
      <c r="I372" s="2">
        <v>1126</v>
      </c>
      <c r="J372" t="s">
        <v>776</v>
      </c>
      <c r="K372" t="s">
        <v>783</v>
      </c>
      <c r="L372" t="s">
        <v>823</v>
      </c>
      <c r="M372" t="s">
        <v>830</v>
      </c>
      <c r="N372" t="str">
        <f t="shared" si="15"/>
        <v>T-2</v>
      </c>
      <c r="O372">
        <f t="shared" si="16"/>
        <v>2025</v>
      </c>
      <c r="P372" t="str">
        <f t="shared" si="17"/>
        <v>4. abril</v>
      </c>
    </row>
    <row r="373" spans="1:16" x14ac:dyDescent="0.35">
      <c r="A373">
        <v>564666</v>
      </c>
      <c r="B373" t="s">
        <v>4</v>
      </c>
      <c r="C373" t="s">
        <v>138</v>
      </c>
      <c r="D373" t="s">
        <v>307</v>
      </c>
      <c r="E373" t="s">
        <v>669</v>
      </c>
      <c r="F373" t="s">
        <v>187</v>
      </c>
      <c r="G373" s="1">
        <v>45777</v>
      </c>
      <c r="H373" s="1">
        <v>45777</v>
      </c>
      <c r="I373" s="2">
        <v>675</v>
      </c>
      <c r="J373" t="s">
        <v>777</v>
      </c>
      <c r="K373" t="s">
        <v>783</v>
      </c>
      <c r="L373" t="s">
        <v>823</v>
      </c>
      <c r="M373" t="s">
        <v>829</v>
      </c>
      <c r="N373" t="str">
        <f t="shared" si="15"/>
        <v>T-2</v>
      </c>
      <c r="O373">
        <f t="shared" si="16"/>
        <v>2025</v>
      </c>
      <c r="P373" t="str">
        <f t="shared" si="17"/>
        <v>4. abril</v>
      </c>
    </row>
    <row r="374" spans="1:16" x14ac:dyDescent="0.35">
      <c r="A374">
        <v>710631</v>
      </c>
      <c r="B374" t="s">
        <v>25</v>
      </c>
      <c r="C374" t="s">
        <v>138</v>
      </c>
      <c r="D374" t="s">
        <v>338</v>
      </c>
      <c r="E374" t="s">
        <v>652</v>
      </c>
      <c r="F374" t="s">
        <v>187</v>
      </c>
      <c r="G374" s="1">
        <v>45783</v>
      </c>
      <c r="H374" s="1">
        <v>45786</v>
      </c>
      <c r="I374" s="2">
        <v>936</v>
      </c>
      <c r="J374" t="s">
        <v>774</v>
      </c>
      <c r="K374" t="s">
        <v>783</v>
      </c>
      <c r="L374" t="s">
        <v>823</v>
      </c>
      <c r="M374" t="s">
        <v>830</v>
      </c>
      <c r="N374" t="str">
        <f t="shared" si="15"/>
        <v>T-2</v>
      </c>
      <c r="O374">
        <f t="shared" si="16"/>
        <v>2025</v>
      </c>
      <c r="P374" t="str">
        <f t="shared" si="17"/>
        <v>5. mayo</v>
      </c>
    </row>
    <row r="375" spans="1:16" x14ac:dyDescent="0.35">
      <c r="A375">
        <v>716269</v>
      </c>
      <c r="B375" t="s">
        <v>33</v>
      </c>
      <c r="C375" t="s">
        <v>137</v>
      </c>
      <c r="D375" t="s">
        <v>338</v>
      </c>
      <c r="E375" t="s">
        <v>652</v>
      </c>
      <c r="F375" t="s">
        <v>187</v>
      </c>
      <c r="G375" s="1">
        <v>45783</v>
      </c>
      <c r="H375" s="1">
        <v>45786</v>
      </c>
      <c r="I375" s="2">
        <v>2808</v>
      </c>
      <c r="J375" t="s">
        <v>774</v>
      </c>
      <c r="K375" t="s">
        <v>788</v>
      </c>
      <c r="L375" t="s">
        <v>823</v>
      </c>
      <c r="M375" t="s">
        <v>830</v>
      </c>
      <c r="N375" t="str">
        <f t="shared" si="15"/>
        <v>T-2</v>
      </c>
      <c r="O375">
        <f t="shared" si="16"/>
        <v>2025</v>
      </c>
      <c r="P375" t="str">
        <f t="shared" si="17"/>
        <v>5. mayo</v>
      </c>
    </row>
    <row r="376" spans="1:16" x14ac:dyDescent="0.35">
      <c r="A376">
        <v>712800</v>
      </c>
      <c r="B376" t="s">
        <v>24</v>
      </c>
      <c r="C376" t="s">
        <v>138</v>
      </c>
      <c r="D376" t="s">
        <v>286</v>
      </c>
      <c r="E376" t="s">
        <v>652</v>
      </c>
      <c r="F376" t="s">
        <v>187</v>
      </c>
      <c r="G376" s="1">
        <v>45786</v>
      </c>
      <c r="H376" s="1">
        <v>45786</v>
      </c>
      <c r="I376" s="2">
        <v>312</v>
      </c>
      <c r="J376" t="s">
        <v>774</v>
      </c>
      <c r="K376" t="s">
        <v>788</v>
      </c>
      <c r="L376" t="s">
        <v>823</v>
      </c>
      <c r="M376" t="s">
        <v>828</v>
      </c>
      <c r="N376" t="str">
        <f t="shared" si="15"/>
        <v>T-2</v>
      </c>
      <c r="O376">
        <f t="shared" si="16"/>
        <v>2025</v>
      </c>
      <c r="P376" t="str">
        <f t="shared" si="17"/>
        <v>5. mayo</v>
      </c>
    </row>
    <row r="377" spans="1:16" x14ac:dyDescent="0.35">
      <c r="A377">
        <v>702216</v>
      </c>
      <c r="B377" t="s">
        <v>24</v>
      </c>
      <c r="C377" t="s">
        <v>138</v>
      </c>
      <c r="D377" t="s">
        <v>286</v>
      </c>
      <c r="E377" t="s">
        <v>652</v>
      </c>
      <c r="F377" t="s">
        <v>187</v>
      </c>
      <c r="G377" s="1">
        <v>45786</v>
      </c>
      <c r="H377" s="1">
        <v>45786</v>
      </c>
      <c r="I377" s="2">
        <v>1248</v>
      </c>
      <c r="J377" t="s">
        <v>774</v>
      </c>
      <c r="K377" t="s">
        <v>783</v>
      </c>
      <c r="L377" t="s">
        <v>823</v>
      </c>
      <c r="M377" t="s">
        <v>828</v>
      </c>
      <c r="N377" t="str">
        <f t="shared" si="15"/>
        <v>T-2</v>
      </c>
      <c r="O377">
        <f t="shared" si="16"/>
        <v>2025</v>
      </c>
      <c r="P377" t="str">
        <f t="shared" si="17"/>
        <v>5. mayo</v>
      </c>
    </row>
    <row r="378" spans="1:16" x14ac:dyDescent="0.35">
      <c r="A378">
        <v>610860</v>
      </c>
      <c r="B378" t="s">
        <v>13</v>
      </c>
      <c r="C378" t="s">
        <v>138</v>
      </c>
      <c r="D378" t="s">
        <v>315</v>
      </c>
      <c r="E378" t="s">
        <v>652</v>
      </c>
      <c r="F378" t="s">
        <v>187</v>
      </c>
      <c r="G378" s="1">
        <v>45782</v>
      </c>
      <c r="H378" s="1">
        <v>45786</v>
      </c>
      <c r="I378" s="2">
        <v>2340</v>
      </c>
      <c r="J378" t="s">
        <v>774</v>
      </c>
      <c r="K378" t="s">
        <v>800</v>
      </c>
      <c r="L378" t="s">
        <v>823</v>
      </c>
      <c r="M378" t="s">
        <v>830</v>
      </c>
      <c r="N378" t="str">
        <f t="shared" si="15"/>
        <v>T-2</v>
      </c>
      <c r="O378">
        <f t="shared" si="16"/>
        <v>2025</v>
      </c>
      <c r="P378" t="str">
        <f t="shared" si="17"/>
        <v>5. mayo</v>
      </c>
    </row>
    <row r="379" spans="1:16" x14ac:dyDescent="0.35">
      <c r="A379">
        <v>712844</v>
      </c>
      <c r="B379" t="s">
        <v>39</v>
      </c>
      <c r="C379" t="s">
        <v>137</v>
      </c>
      <c r="D379" t="s">
        <v>315</v>
      </c>
      <c r="E379" t="s">
        <v>652</v>
      </c>
      <c r="F379" t="s">
        <v>187</v>
      </c>
      <c r="G379" s="1">
        <v>45782</v>
      </c>
      <c r="H379" s="1">
        <v>45786</v>
      </c>
      <c r="I379" s="2">
        <v>3510</v>
      </c>
      <c r="J379" t="s">
        <v>774</v>
      </c>
      <c r="K379" t="s">
        <v>788</v>
      </c>
      <c r="L379" t="s">
        <v>824</v>
      </c>
      <c r="M379" t="s">
        <v>829</v>
      </c>
      <c r="N379" t="str">
        <f t="shared" si="15"/>
        <v>T-2</v>
      </c>
      <c r="O379">
        <f t="shared" si="16"/>
        <v>2025</v>
      </c>
      <c r="P379" t="str">
        <f t="shared" si="17"/>
        <v>5. mayo</v>
      </c>
    </row>
    <row r="380" spans="1:16" x14ac:dyDescent="0.35">
      <c r="A380">
        <v>714716</v>
      </c>
      <c r="B380" t="s">
        <v>31</v>
      </c>
      <c r="C380" t="s">
        <v>136</v>
      </c>
      <c r="D380" t="s">
        <v>339</v>
      </c>
      <c r="E380" t="s">
        <v>652</v>
      </c>
      <c r="F380" t="s">
        <v>187</v>
      </c>
      <c r="G380" s="1">
        <v>45782</v>
      </c>
      <c r="H380" s="1">
        <v>45785</v>
      </c>
      <c r="I380" s="2">
        <v>2124</v>
      </c>
      <c r="J380" t="s">
        <v>774</v>
      </c>
      <c r="K380" t="s">
        <v>789</v>
      </c>
      <c r="L380" t="s">
        <v>823</v>
      </c>
      <c r="M380" t="s">
        <v>830</v>
      </c>
      <c r="N380" t="str">
        <f t="shared" si="15"/>
        <v>T-2</v>
      </c>
      <c r="O380">
        <f t="shared" si="16"/>
        <v>2025</v>
      </c>
      <c r="P380" t="str">
        <f t="shared" si="17"/>
        <v>5. mayo</v>
      </c>
    </row>
    <row r="381" spans="1:16" x14ac:dyDescent="0.35">
      <c r="A381">
        <v>714175</v>
      </c>
      <c r="B381" t="s">
        <v>32</v>
      </c>
      <c r="C381" t="s">
        <v>137</v>
      </c>
      <c r="D381" t="s">
        <v>246</v>
      </c>
      <c r="E381" t="s">
        <v>652</v>
      </c>
      <c r="F381" t="s">
        <v>187</v>
      </c>
      <c r="G381" s="1">
        <v>45786</v>
      </c>
      <c r="H381" s="1">
        <v>45786</v>
      </c>
      <c r="I381" s="2">
        <v>468</v>
      </c>
      <c r="J381" t="s">
        <v>774</v>
      </c>
      <c r="K381" t="s">
        <v>800</v>
      </c>
      <c r="L381" t="s">
        <v>823</v>
      </c>
      <c r="M381" t="s">
        <v>830</v>
      </c>
      <c r="N381" t="str">
        <f t="shared" si="15"/>
        <v>T-2</v>
      </c>
      <c r="O381">
        <f t="shared" si="16"/>
        <v>2025</v>
      </c>
      <c r="P381" t="str">
        <f t="shared" si="17"/>
        <v>5. mayo</v>
      </c>
    </row>
    <row r="382" spans="1:16" x14ac:dyDescent="0.35">
      <c r="A382">
        <v>709076</v>
      </c>
      <c r="B382" t="s">
        <v>25</v>
      </c>
      <c r="C382" t="s">
        <v>138</v>
      </c>
      <c r="D382" t="s">
        <v>246</v>
      </c>
      <c r="E382" t="s">
        <v>652</v>
      </c>
      <c r="F382" t="s">
        <v>187</v>
      </c>
      <c r="G382" s="1">
        <v>45786</v>
      </c>
      <c r="H382" s="1">
        <v>45786</v>
      </c>
      <c r="I382" s="2">
        <v>624</v>
      </c>
      <c r="J382" t="s">
        <v>774</v>
      </c>
      <c r="K382" t="s">
        <v>783</v>
      </c>
      <c r="L382" t="s">
        <v>823</v>
      </c>
      <c r="M382" t="s">
        <v>828</v>
      </c>
      <c r="N382" t="str">
        <f t="shared" si="15"/>
        <v>T-2</v>
      </c>
      <c r="O382">
        <f t="shared" si="16"/>
        <v>2025</v>
      </c>
      <c r="P382" t="str">
        <f t="shared" si="17"/>
        <v>5. mayo</v>
      </c>
    </row>
    <row r="383" spans="1:16" x14ac:dyDescent="0.35">
      <c r="A383">
        <v>722275</v>
      </c>
      <c r="B383" t="s">
        <v>46</v>
      </c>
      <c r="C383" t="s">
        <v>138</v>
      </c>
      <c r="D383" t="s">
        <v>322</v>
      </c>
      <c r="E383" t="s">
        <v>652</v>
      </c>
      <c r="F383" t="s">
        <v>187</v>
      </c>
      <c r="G383" s="1">
        <v>45782</v>
      </c>
      <c r="H383" s="1">
        <v>45786</v>
      </c>
      <c r="I383" s="2">
        <v>2340</v>
      </c>
      <c r="J383" t="s">
        <v>774</v>
      </c>
      <c r="K383" t="s">
        <v>800</v>
      </c>
      <c r="L383" t="s">
        <v>823</v>
      </c>
      <c r="M383" t="s">
        <v>828</v>
      </c>
      <c r="N383" t="str">
        <f t="shared" si="15"/>
        <v>T-2</v>
      </c>
      <c r="O383">
        <f t="shared" si="16"/>
        <v>2025</v>
      </c>
      <c r="P383" t="str">
        <f t="shared" si="17"/>
        <v>5. mayo</v>
      </c>
    </row>
    <row r="384" spans="1:16" x14ac:dyDescent="0.35">
      <c r="A384">
        <v>708236</v>
      </c>
      <c r="B384" t="s">
        <v>71</v>
      </c>
      <c r="C384" t="s">
        <v>138</v>
      </c>
      <c r="D384" t="s">
        <v>322</v>
      </c>
      <c r="E384" t="s">
        <v>652</v>
      </c>
      <c r="F384" t="s">
        <v>187</v>
      </c>
      <c r="G384" s="1">
        <v>45782</v>
      </c>
      <c r="H384" s="1">
        <v>45786</v>
      </c>
      <c r="I384" s="2">
        <v>2340</v>
      </c>
      <c r="J384" t="s">
        <v>774</v>
      </c>
      <c r="K384" t="s">
        <v>783</v>
      </c>
      <c r="L384" t="s">
        <v>823</v>
      </c>
      <c r="M384" t="s">
        <v>829</v>
      </c>
      <c r="N384" t="str">
        <f t="shared" si="15"/>
        <v>T-2</v>
      </c>
      <c r="O384">
        <f t="shared" si="16"/>
        <v>2025</v>
      </c>
      <c r="P384" t="str">
        <f t="shared" si="17"/>
        <v>5. mayo</v>
      </c>
    </row>
    <row r="385" spans="1:16" x14ac:dyDescent="0.35">
      <c r="A385">
        <v>130817</v>
      </c>
      <c r="B385" t="s">
        <v>62</v>
      </c>
      <c r="C385" t="s">
        <v>138</v>
      </c>
      <c r="D385" t="s">
        <v>210</v>
      </c>
      <c r="E385" t="s">
        <v>665</v>
      </c>
      <c r="F385" t="s">
        <v>187</v>
      </c>
      <c r="G385" s="1">
        <v>45747</v>
      </c>
      <c r="H385" s="1">
        <v>45775</v>
      </c>
      <c r="I385" s="2">
        <v>4500</v>
      </c>
      <c r="J385" t="s">
        <v>777</v>
      </c>
      <c r="K385" t="s">
        <v>783</v>
      </c>
      <c r="L385" t="s">
        <v>824</v>
      </c>
      <c r="M385" t="s">
        <v>830</v>
      </c>
      <c r="N385" t="str">
        <f t="shared" si="15"/>
        <v>T-1</v>
      </c>
      <c r="O385">
        <f t="shared" si="16"/>
        <v>2025</v>
      </c>
      <c r="P385" t="str">
        <f t="shared" si="17"/>
        <v>3. marzo</v>
      </c>
    </row>
    <row r="386" spans="1:16" x14ac:dyDescent="0.35">
      <c r="A386">
        <v>472640</v>
      </c>
      <c r="B386" t="s">
        <v>5</v>
      </c>
      <c r="C386" t="s">
        <v>138</v>
      </c>
      <c r="D386" t="s">
        <v>210</v>
      </c>
      <c r="E386" t="s">
        <v>665</v>
      </c>
      <c r="F386" t="s">
        <v>187</v>
      </c>
      <c r="G386" s="1">
        <v>45747</v>
      </c>
      <c r="H386" s="1">
        <v>45775</v>
      </c>
      <c r="I386" s="2">
        <v>250</v>
      </c>
      <c r="J386" t="s">
        <v>777</v>
      </c>
      <c r="K386" t="s">
        <v>785</v>
      </c>
      <c r="L386" t="s">
        <v>823</v>
      </c>
      <c r="M386" t="s">
        <v>830</v>
      </c>
      <c r="N386" t="str">
        <f t="shared" si="15"/>
        <v>T-1</v>
      </c>
      <c r="O386">
        <f t="shared" si="16"/>
        <v>2025</v>
      </c>
      <c r="P386" t="str">
        <f t="shared" si="17"/>
        <v>3. marzo</v>
      </c>
    </row>
    <row r="387" spans="1:16" x14ac:dyDescent="0.35">
      <c r="A387">
        <v>711363</v>
      </c>
      <c r="B387" t="s">
        <v>30</v>
      </c>
      <c r="C387" t="s">
        <v>138</v>
      </c>
      <c r="D387" t="s">
        <v>210</v>
      </c>
      <c r="E387" t="s">
        <v>665</v>
      </c>
      <c r="F387" t="s">
        <v>187</v>
      </c>
      <c r="G387" s="1">
        <v>45749</v>
      </c>
      <c r="H387" s="1">
        <v>45777</v>
      </c>
      <c r="I387" s="2">
        <v>250</v>
      </c>
      <c r="J387" t="s">
        <v>777</v>
      </c>
      <c r="K387" t="s">
        <v>783</v>
      </c>
      <c r="L387" t="s">
        <v>823</v>
      </c>
      <c r="M387" t="s">
        <v>828</v>
      </c>
      <c r="N387" t="str">
        <f t="shared" ref="N387:N450" si="18">"T-" &amp; ROUNDUP((MONTH(G387)/3), 0)</f>
        <v>T-2</v>
      </c>
      <c r="O387">
        <f t="shared" ref="O387:O450" si="19">YEAR(G387)</f>
        <v>2025</v>
      </c>
      <c r="P387" t="str">
        <f t="shared" ref="P387:P450" si="20">MONTH(G387) &amp; ". " &amp; TEXT(G387, "MMMM")</f>
        <v>4. abril</v>
      </c>
    </row>
    <row r="388" spans="1:16" x14ac:dyDescent="0.35">
      <c r="A388">
        <v>449261</v>
      </c>
      <c r="B388" t="s">
        <v>63</v>
      </c>
      <c r="C388" t="s">
        <v>136</v>
      </c>
      <c r="D388" t="s">
        <v>210</v>
      </c>
      <c r="E388" t="s">
        <v>665</v>
      </c>
      <c r="F388" t="s">
        <v>187</v>
      </c>
      <c r="G388" s="1">
        <v>45749</v>
      </c>
      <c r="H388" s="1">
        <v>45777</v>
      </c>
      <c r="I388" s="2">
        <v>3000</v>
      </c>
      <c r="J388" t="s">
        <v>777</v>
      </c>
      <c r="K388" t="s">
        <v>783</v>
      </c>
      <c r="L388" t="s">
        <v>823</v>
      </c>
      <c r="M388" t="s">
        <v>830</v>
      </c>
      <c r="N388" t="str">
        <f t="shared" si="18"/>
        <v>T-2</v>
      </c>
      <c r="O388">
        <f t="shared" si="19"/>
        <v>2025</v>
      </c>
      <c r="P388" t="str">
        <f t="shared" si="20"/>
        <v>4. abril</v>
      </c>
    </row>
    <row r="389" spans="1:16" x14ac:dyDescent="0.35">
      <c r="A389">
        <v>404038</v>
      </c>
      <c r="B389" t="s">
        <v>23</v>
      </c>
      <c r="C389" t="s">
        <v>138</v>
      </c>
      <c r="D389" t="s">
        <v>210</v>
      </c>
      <c r="E389" t="s">
        <v>665</v>
      </c>
      <c r="F389" t="s">
        <v>187</v>
      </c>
      <c r="G389" s="1">
        <v>45749</v>
      </c>
      <c r="H389" s="1">
        <v>45777</v>
      </c>
      <c r="I389" s="2">
        <v>750</v>
      </c>
      <c r="J389" t="s">
        <v>777</v>
      </c>
      <c r="K389" t="s">
        <v>800</v>
      </c>
      <c r="L389" t="s">
        <v>823</v>
      </c>
      <c r="M389" t="s">
        <v>829</v>
      </c>
      <c r="N389" t="str">
        <f t="shared" si="18"/>
        <v>T-2</v>
      </c>
      <c r="O389">
        <f t="shared" si="19"/>
        <v>2025</v>
      </c>
      <c r="P389" t="str">
        <f t="shared" si="20"/>
        <v>4. abril</v>
      </c>
    </row>
    <row r="390" spans="1:16" x14ac:dyDescent="0.35">
      <c r="A390">
        <v>718625</v>
      </c>
      <c r="B390" t="s">
        <v>70</v>
      </c>
      <c r="C390" t="s">
        <v>137</v>
      </c>
      <c r="D390" t="s">
        <v>210</v>
      </c>
      <c r="E390" t="s">
        <v>665</v>
      </c>
      <c r="F390" t="s">
        <v>187</v>
      </c>
      <c r="G390" s="1">
        <v>45749</v>
      </c>
      <c r="H390" s="1">
        <v>45777</v>
      </c>
      <c r="I390" s="2">
        <v>250</v>
      </c>
      <c r="J390" t="s">
        <v>777</v>
      </c>
      <c r="K390" t="s">
        <v>789</v>
      </c>
      <c r="L390" t="s">
        <v>823</v>
      </c>
      <c r="M390" t="s">
        <v>830</v>
      </c>
      <c r="N390" t="str">
        <f t="shared" si="18"/>
        <v>T-2</v>
      </c>
      <c r="O390">
        <f t="shared" si="19"/>
        <v>2025</v>
      </c>
      <c r="P390" t="str">
        <f t="shared" si="20"/>
        <v>4. abril</v>
      </c>
    </row>
    <row r="391" spans="1:16" x14ac:dyDescent="0.35">
      <c r="A391">
        <v>489299</v>
      </c>
      <c r="B391" t="s">
        <v>5</v>
      </c>
      <c r="C391" t="s">
        <v>138</v>
      </c>
      <c r="D391" t="s">
        <v>210</v>
      </c>
      <c r="E391" t="s">
        <v>665</v>
      </c>
      <c r="F391" t="s">
        <v>187</v>
      </c>
      <c r="G391" s="1">
        <v>45719</v>
      </c>
      <c r="H391" s="1">
        <v>45747</v>
      </c>
      <c r="I391" s="2">
        <v>3250</v>
      </c>
      <c r="J391" t="s">
        <v>777</v>
      </c>
      <c r="K391" t="s">
        <v>783</v>
      </c>
      <c r="L391" t="s">
        <v>823</v>
      </c>
      <c r="M391" t="s">
        <v>830</v>
      </c>
      <c r="N391" t="str">
        <f t="shared" si="18"/>
        <v>T-1</v>
      </c>
      <c r="O391">
        <f t="shared" si="19"/>
        <v>2025</v>
      </c>
      <c r="P391" t="str">
        <f t="shared" si="20"/>
        <v>3. marzo</v>
      </c>
    </row>
    <row r="392" spans="1:16" x14ac:dyDescent="0.35">
      <c r="A392">
        <v>492503</v>
      </c>
      <c r="B392" t="s">
        <v>2</v>
      </c>
      <c r="C392" t="s">
        <v>138</v>
      </c>
      <c r="D392" t="s">
        <v>210</v>
      </c>
      <c r="E392" t="s">
        <v>665</v>
      </c>
      <c r="F392" t="s">
        <v>187</v>
      </c>
      <c r="G392" s="1">
        <v>45719</v>
      </c>
      <c r="H392" s="1">
        <v>45747</v>
      </c>
      <c r="I392" s="2">
        <v>500</v>
      </c>
      <c r="J392" t="s">
        <v>777</v>
      </c>
      <c r="K392" t="s">
        <v>785</v>
      </c>
      <c r="L392" t="s">
        <v>824</v>
      </c>
      <c r="M392" t="s">
        <v>828</v>
      </c>
      <c r="N392" t="str">
        <f t="shared" si="18"/>
        <v>T-1</v>
      </c>
      <c r="O392">
        <f t="shared" si="19"/>
        <v>2025</v>
      </c>
      <c r="P392" t="str">
        <f t="shared" si="20"/>
        <v>3. marzo</v>
      </c>
    </row>
    <row r="393" spans="1:16" x14ac:dyDescent="0.35">
      <c r="A393">
        <v>721271</v>
      </c>
      <c r="B393" t="s">
        <v>18</v>
      </c>
      <c r="C393" t="s">
        <v>137</v>
      </c>
      <c r="D393" t="s">
        <v>195</v>
      </c>
      <c r="E393" t="s">
        <v>654</v>
      </c>
      <c r="F393" t="s">
        <v>187</v>
      </c>
      <c r="G393" s="1">
        <v>45771</v>
      </c>
      <c r="H393" s="1">
        <v>45771</v>
      </c>
      <c r="I393" s="2">
        <v>1190</v>
      </c>
      <c r="J393" t="s">
        <v>777</v>
      </c>
      <c r="K393" t="s">
        <v>783</v>
      </c>
      <c r="L393" t="s">
        <v>823</v>
      </c>
      <c r="M393" t="s">
        <v>828</v>
      </c>
      <c r="N393" t="str">
        <f t="shared" si="18"/>
        <v>T-2</v>
      </c>
      <c r="O393">
        <f t="shared" si="19"/>
        <v>2025</v>
      </c>
      <c r="P393" t="str">
        <f t="shared" si="20"/>
        <v>4. abril</v>
      </c>
    </row>
    <row r="394" spans="1:16" x14ac:dyDescent="0.35">
      <c r="A394">
        <v>395021</v>
      </c>
      <c r="B394" t="s">
        <v>13</v>
      </c>
      <c r="C394" t="s">
        <v>138</v>
      </c>
      <c r="D394" t="s">
        <v>309</v>
      </c>
      <c r="E394" t="s">
        <v>682</v>
      </c>
      <c r="F394" t="s">
        <v>187</v>
      </c>
      <c r="G394" s="1">
        <v>45772</v>
      </c>
      <c r="H394" s="1">
        <v>45772</v>
      </c>
      <c r="I394" s="2">
        <v>720</v>
      </c>
      <c r="J394" t="s">
        <v>777</v>
      </c>
      <c r="K394" t="s">
        <v>783</v>
      </c>
      <c r="L394" t="s">
        <v>823</v>
      </c>
      <c r="M394" t="s">
        <v>830</v>
      </c>
      <c r="N394" t="str">
        <f t="shared" si="18"/>
        <v>T-2</v>
      </c>
      <c r="O394">
        <f t="shared" si="19"/>
        <v>2025</v>
      </c>
      <c r="P394" t="str">
        <f t="shared" si="20"/>
        <v>4. abril</v>
      </c>
    </row>
    <row r="395" spans="1:16" x14ac:dyDescent="0.35">
      <c r="A395">
        <v>390997</v>
      </c>
      <c r="B395" t="s">
        <v>13</v>
      </c>
      <c r="C395" t="s">
        <v>138</v>
      </c>
      <c r="D395" t="s">
        <v>160</v>
      </c>
      <c r="E395" t="s">
        <v>654</v>
      </c>
      <c r="F395" t="s">
        <v>187</v>
      </c>
      <c r="G395" s="1">
        <v>45775</v>
      </c>
      <c r="H395" s="1">
        <v>45775</v>
      </c>
      <c r="I395" s="2">
        <v>1190</v>
      </c>
      <c r="J395" t="s">
        <v>777</v>
      </c>
      <c r="K395" t="s">
        <v>783</v>
      </c>
      <c r="L395" t="s">
        <v>823</v>
      </c>
      <c r="M395" t="s">
        <v>829</v>
      </c>
      <c r="N395" t="str">
        <f t="shared" si="18"/>
        <v>T-2</v>
      </c>
      <c r="O395">
        <f t="shared" si="19"/>
        <v>2025</v>
      </c>
      <c r="P395" t="str">
        <f t="shared" si="20"/>
        <v>4. abril</v>
      </c>
    </row>
    <row r="396" spans="1:16" x14ac:dyDescent="0.35">
      <c r="A396">
        <v>714301</v>
      </c>
      <c r="B396" t="s">
        <v>27</v>
      </c>
      <c r="C396" t="s">
        <v>137</v>
      </c>
      <c r="D396" t="s">
        <v>340</v>
      </c>
      <c r="E396" t="s">
        <v>703</v>
      </c>
      <c r="F396" t="s">
        <v>187</v>
      </c>
      <c r="G396" s="1">
        <v>45810</v>
      </c>
      <c r="H396" s="1">
        <v>45814</v>
      </c>
      <c r="I396" s="2">
        <v>1390</v>
      </c>
      <c r="J396" t="s">
        <v>774</v>
      </c>
      <c r="K396" t="s">
        <v>789</v>
      </c>
      <c r="L396" t="s">
        <v>823</v>
      </c>
      <c r="M396" t="s">
        <v>830</v>
      </c>
      <c r="N396" t="str">
        <f t="shared" si="18"/>
        <v>T-2</v>
      </c>
      <c r="O396">
        <f t="shared" si="19"/>
        <v>2025</v>
      </c>
      <c r="P396" t="str">
        <f t="shared" si="20"/>
        <v>6. junio</v>
      </c>
    </row>
    <row r="397" spans="1:16" x14ac:dyDescent="0.35">
      <c r="A397">
        <v>466234</v>
      </c>
      <c r="B397" t="s">
        <v>30</v>
      </c>
      <c r="C397" t="s">
        <v>138</v>
      </c>
      <c r="D397" t="s">
        <v>272</v>
      </c>
      <c r="E397" t="s">
        <v>696</v>
      </c>
      <c r="F397" t="s">
        <v>187</v>
      </c>
      <c r="G397" s="1">
        <v>45783</v>
      </c>
      <c r="H397" s="1">
        <v>45790</v>
      </c>
      <c r="I397" s="2">
        <v>2959</v>
      </c>
      <c r="J397" t="s">
        <v>779</v>
      </c>
      <c r="K397" t="s">
        <v>783</v>
      </c>
      <c r="L397" t="s">
        <v>823</v>
      </c>
      <c r="M397" t="s">
        <v>830</v>
      </c>
      <c r="N397" t="str">
        <f t="shared" si="18"/>
        <v>T-2</v>
      </c>
      <c r="O397">
        <f t="shared" si="19"/>
        <v>2025</v>
      </c>
      <c r="P397" t="str">
        <f t="shared" si="20"/>
        <v>5. mayo</v>
      </c>
    </row>
    <row r="398" spans="1:16" x14ac:dyDescent="0.35">
      <c r="A398">
        <v>588210</v>
      </c>
      <c r="B398" t="s">
        <v>31</v>
      </c>
      <c r="C398" t="s">
        <v>138</v>
      </c>
      <c r="D398" t="s">
        <v>197</v>
      </c>
      <c r="E398" t="s">
        <v>647</v>
      </c>
      <c r="F398" t="s">
        <v>187</v>
      </c>
      <c r="G398" s="1">
        <v>45789</v>
      </c>
      <c r="H398" s="1">
        <v>45790</v>
      </c>
      <c r="I398" s="2">
        <v>1400</v>
      </c>
      <c r="J398" t="s">
        <v>774</v>
      </c>
      <c r="K398" t="s">
        <v>783</v>
      </c>
      <c r="L398" t="s">
        <v>823</v>
      </c>
      <c r="M398" t="s">
        <v>828</v>
      </c>
      <c r="N398" t="str">
        <f t="shared" si="18"/>
        <v>T-2</v>
      </c>
      <c r="O398">
        <f t="shared" si="19"/>
        <v>2025</v>
      </c>
      <c r="P398" t="str">
        <f t="shared" si="20"/>
        <v>5. mayo</v>
      </c>
    </row>
    <row r="399" spans="1:16" x14ac:dyDescent="0.35">
      <c r="A399">
        <v>564986</v>
      </c>
      <c r="B399" t="s">
        <v>2</v>
      </c>
      <c r="C399" t="s">
        <v>138</v>
      </c>
      <c r="D399" t="s">
        <v>197</v>
      </c>
      <c r="E399" t="s">
        <v>647</v>
      </c>
      <c r="F399" t="s">
        <v>187</v>
      </c>
      <c r="G399" s="1">
        <v>45789</v>
      </c>
      <c r="H399" s="1">
        <v>45790</v>
      </c>
      <c r="I399" s="2">
        <v>700</v>
      </c>
      <c r="J399" t="s">
        <v>774</v>
      </c>
      <c r="K399" t="s">
        <v>783</v>
      </c>
      <c r="L399" t="s">
        <v>823</v>
      </c>
      <c r="M399" t="s">
        <v>828</v>
      </c>
      <c r="N399" t="str">
        <f t="shared" si="18"/>
        <v>T-2</v>
      </c>
      <c r="O399">
        <f t="shared" si="19"/>
        <v>2025</v>
      </c>
      <c r="P399" t="str">
        <f t="shared" si="20"/>
        <v>5. mayo</v>
      </c>
    </row>
    <row r="400" spans="1:16" x14ac:dyDescent="0.35">
      <c r="A400">
        <v>752284</v>
      </c>
      <c r="B400" t="s">
        <v>31</v>
      </c>
      <c r="C400" t="s">
        <v>137</v>
      </c>
      <c r="D400" t="s">
        <v>332</v>
      </c>
      <c r="E400" t="s">
        <v>703</v>
      </c>
      <c r="F400" t="s">
        <v>187</v>
      </c>
      <c r="G400" s="1">
        <v>45782</v>
      </c>
      <c r="H400" s="1">
        <v>45784</v>
      </c>
      <c r="I400" s="2">
        <v>2980</v>
      </c>
      <c r="J400" t="s">
        <v>774</v>
      </c>
      <c r="K400" t="s">
        <v>783</v>
      </c>
      <c r="L400" t="s">
        <v>824</v>
      </c>
      <c r="M400" t="s">
        <v>829</v>
      </c>
      <c r="N400" t="str">
        <f t="shared" si="18"/>
        <v>T-2</v>
      </c>
      <c r="O400">
        <f t="shared" si="19"/>
        <v>2025</v>
      </c>
      <c r="P400" t="str">
        <f t="shared" si="20"/>
        <v>5. mayo</v>
      </c>
    </row>
    <row r="401" spans="1:16" x14ac:dyDescent="0.35">
      <c r="A401">
        <v>701995</v>
      </c>
      <c r="B401" t="s">
        <v>47</v>
      </c>
      <c r="C401" t="s">
        <v>138</v>
      </c>
      <c r="D401" t="s">
        <v>332</v>
      </c>
      <c r="E401" t="s">
        <v>703</v>
      </c>
      <c r="F401" t="s">
        <v>187</v>
      </c>
      <c r="G401" s="1">
        <v>45782</v>
      </c>
      <c r="H401" s="1">
        <v>45784</v>
      </c>
      <c r="I401" s="2">
        <v>1490</v>
      </c>
      <c r="J401" t="s">
        <v>774</v>
      </c>
      <c r="K401" t="s">
        <v>787</v>
      </c>
      <c r="L401" t="s">
        <v>823</v>
      </c>
      <c r="M401" t="s">
        <v>830</v>
      </c>
      <c r="N401" t="str">
        <f t="shared" si="18"/>
        <v>T-2</v>
      </c>
      <c r="O401">
        <f t="shared" si="19"/>
        <v>2025</v>
      </c>
      <c r="P401" t="str">
        <f t="shared" si="20"/>
        <v>5. mayo</v>
      </c>
    </row>
    <row r="402" spans="1:16" x14ac:dyDescent="0.35">
      <c r="A402">
        <v>718524</v>
      </c>
      <c r="B402" t="s">
        <v>27</v>
      </c>
      <c r="C402" t="s">
        <v>139</v>
      </c>
      <c r="D402" t="s">
        <v>341</v>
      </c>
      <c r="E402" t="s">
        <v>703</v>
      </c>
      <c r="F402" t="s">
        <v>187</v>
      </c>
      <c r="G402" s="1">
        <v>45785</v>
      </c>
      <c r="H402" s="1">
        <v>45786</v>
      </c>
      <c r="I402" s="2">
        <v>1986.67</v>
      </c>
      <c r="J402" t="s">
        <v>774</v>
      </c>
      <c r="K402" t="s">
        <v>787</v>
      </c>
      <c r="L402" t="s">
        <v>823</v>
      </c>
      <c r="M402" t="s">
        <v>830</v>
      </c>
      <c r="N402" t="str">
        <f t="shared" si="18"/>
        <v>T-2</v>
      </c>
      <c r="O402">
        <f t="shared" si="19"/>
        <v>2025</v>
      </c>
      <c r="P402" t="str">
        <f t="shared" si="20"/>
        <v>5. mayo</v>
      </c>
    </row>
    <row r="403" spans="1:16" x14ac:dyDescent="0.35">
      <c r="A403">
        <v>712556</v>
      </c>
      <c r="B403" t="s">
        <v>30</v>
      </c>
      <c r="C403" t="s">
        <v>138</v>
      </c>
      <c r="D403" t="s">
        <v>341</v>
      </c>
      <c r="E403" t="s">
        <v>703</v>
      </c>
      <c r="F403" t="s">
        <v>187</v>
      </c>
      <c r="G403" s="1">
        <v>45785</v>
      </c>
      <c r="H403" s="1">
        <v>45786</v>
      </c>
      <c r="I403" s="2">
        <v>993.33</v>
      </c>
      <c r="J403" t="s">
        <v>774</v>
      </c>
      <c r="K403" t="s">
        <v>787</v>
      </c>
      <c r="L403" t="s">
        <v>823</v>
      </c>
      <c r="M403" t="s">
        <v>828</v>
      </c>
      <c r="N403" t="str">
        <f t="shared" si="18"/>
        <v>T-2</v>
      </c>
      <c r="O403">
        <f t="shared" si="19"/>
        <v>2025</v>
      </c>
      <c r="P403" t="str">
        <f t="shared" si="20"/>
        <v>5. mayo</v>
      </c>
    </row>
    <row r="404" spans="1:16" x14ac:dyDescent="0.35">
      <c r="A404">
        <v>750027</v>
      </c>
      <c r="B404" t="s">
        <v>31</v>
      </c>
      <c r="C404" t="s">
        <v>139</v>
      </c>
      <c r="D404" t="s">
        <v>161</v>
      </c>
      <c r="E404" t="s">
        <v>679</v>
      </c>
      <c r="F404" t="s">
        <v>187</v>
      </c>
      <c r="G404" s="1">
        <v>45805</v>
      </c>
      <c r="H404" s="1">
        <v>45805</v>
      </c>
      <c r="I404" s="2">
        <v>2950</v>
      </c>
      <c r="J404" t="s">
        <v>779</v>
      </c>
      <c r="K404" t="s">
        <v>785</v>
      </c>
      <c r="L404" t="s">
        <v>823</v>
      </c>
      <c r="M404" t="s">
        <v>830</v>
      </c>
      <c r="N404" t="str">
        <f t="shared" si="18"/>
        <v>T-2</v>
      </c>
      <c r="O404">
        <f t="shared" si="19"/>
        <v>2025</v>
      </c>
      <c r="P404" t="str">
        <f t="shared" si="20"/>
        <v>5. mayo</v>
      </c>
    </row>
    <row r="405" spans="1:16" x14ac:dyDescent="0.35">
      <c r="A405">
        <v>718488</v>
      </c>
      <c r="B405" t="s">
        <v>30</v>
      </c>
      <c r="C405" t="s">
        <v>137</v>
      </c>
      <c r="D405" t="s">
        <v>156</v>
      </c>
      <c r="E405" t="s">
        <v>673</v>
      </c>
      <c r="F405" t="s">
        <v>187</v>
      </c>
      <c r="G405" s="1">
        <v>45786</v>
      </c>
      <c r="H405" s="1">
        <v>45786</v>
      </c>
      <c r="I405" s="2">
        <v>2250</v>
      </c>
      <c r="J405" t="s">
        <v>779</v>
      </c>
      <c r="K405" t="s">
        <v>788</v>
      </c>
      <c r="L405" t="s">
        <v>823</v>
      </c>
      <c r="M405" t="s">
        <v>829</v>
      </c>
      <c r="N405" t="str">
        <f t="shared" si="18"/>
        <v>T-2</v>
      </c>
      <c r="O405">
        <f t="shared" si="19"/>
        <v>2025</v>
      </c>
      <c r="P405" t="str">
        <f t="shared" si="20"/>
        <v>5. mayo</v>
      </c>
    </row>
    <row r="406" spans="1:16" x14ac:dyDescent="0.35">
      <c r="A406">
        <v>530649</v>
      </c>
      <c r="B406" t="s">
        <v>4</v>
      </c>
      <c r="C406" t="s">
        <v>138</v>
      </c>
      <c r="D406" t="s">
        <v>161</v>
      </c>
      <c r="E406" t="s">
        <v>679</v>
      </c>
      <c r="F406" t="s">
        <v>187</v>
      </c>
      <c r="G406" s="1">
        <v>45786</v>
      </c>
      <c r="H406" s="1">
        <v>45786</v>
      </c>
      <c r="I406" s="2">
        <v>350</v>
      </c>
      <c r="J406" t="s">
        <v>779</v>
      </c>
      <c r="K406" t="s">
        <v>783</v>
      </c>
      <c r="L406" t="s">
        <v>824</v>
      </c>
      <c r="M406" t="s">
        <v>830</v>
      </c>
      <c r="N406" t="str">
        <f t="shared" si="18"/>
        <v>T-2</v>
      </c>
      <c r="O406">
        <f t="shared" si="19"/>
        <v>2025</v>
      </c>
      <c r="P406" t="str">
        <f t="shared" si="20"/>
        <v>5. mayo</v>
      </c>
    </row>
    <row r="407" spans="1:16" x14ac:dyDescent="0.35">
      <c r="A407">
        <v>605527</v>
      </c>
      <c r="B407" t="s">
        <v>45</v>
      </c>
      <c r="C407" t="s">
        <v>138</v>
      </c>
      <c r="D407" t="s">
        <v>161</v>
      </c>
      <c r="E407" t="s">
        <v>679</v>
      </c>
      <c r="F407" t="s">
        <v>187</v>
      </c>
      <c r="G407" s="1">
        <v>45786</v>
      </c>
      <c r="H407" s="1">
        <v>45786</v>
      </c>
      <c r="I407" s="2">
        <v>3850</v>
      </c>
      <c r="J407" t="s">
        <v>779</v>
      </c>
      <c r="K407" t="s">
        <v>783</v>
      </c>
      <c r="L407" t="s">
        <v>823</v>
      </c>
      <c r="M407" t="s">
        <v>830</v>
      </c>
      <c r="N407" t="str">
        <f t="shared" si="18"/>
        <v>T-2</v>
      </c>
      <c r="O407">
        <f t="shared" si="19"/>
        <v>2025</v>
      </c>
      <c r="P407" t="str">
        <f t="shared" si="20"/>
        <v>5. mayo</v>
      </c>
    </row>
    <row r="408" spans="1:16" x14ac:dyDescent="0.35">
      <c r="A408">
        <v>718582</v>
      </c>
      <c r="B408" t="s">
        <v>30</v>
      </c>
      <c r="C408" t="s">
        <v>138</v>
      </c>
      <c r="D408" t="s">
        <v>342</v>
      </c>
      <c r="E408" t="s">
        <v>652</v>
      </c>
      <c r="F408" t="s">
        <v>187</v>
      </c>
      <c r="G408" s="1">
        <v>45789</v>
      </c>
      <c r="H408" s="1">
        <v>45792</v>
      </c>
      <c r="I408" s="2">
        <v>531</v>
      </c>
      <c r="J408" t="s">
        <v>774</v>
      </c>
      <c r="K408" t="s">
        <v>783</v>
      </c>
      <c r="L408" t="s">
        <v>823</v>
      </c>
      <c r="M408" t="s">
        <v>828</v>
      </c>
      <c r="N408" t="str">
        <f t="shared" si="18"/>
        <v>T-2</v>
      </c>
      <c r="O408">
        <f t="shared" si="19"/>
        <v>2025</v>
      </c>
      <c r="P408" t="str">
        <f t="shared" si="20"/>
        <v>5. mayo</v>
      </c>
    </row>
    <row r="409" spans="1:16" x14ac:dyDescent="0.35">
      <c r="A409">
        <v>717587</v>
      </c>
      <c r="B409" t="s">
        <v>30</v>
      </c>
      <c r="C409" t="s">
        <v>137</v>
      </c>
      <c r="D409" t="s">
        <v>342</v>
      </c>
      <c r="E409" t="s">
        <v>652</v>
      </c>
      <c r="F409" t="s">
        <v>187</v>
      </c>
      <c r="G409" s="1">
        <v>45789</v>
      </c>
      <c r="H409" s="1">
        <v>45792</v>
      </c>
      <c r="I409" s="2">
        <v>2655</v>
      </c>
      <c r="J409" t="s">
        <v>774</v>
      </c>
      <c r="K409" t="s">
        <v>783</v>
      </c>
      <c r="L409" t="s">
        <v>823</v>
      </c>
      <c r="M409" t="s">
        <v>828</v>
      </c>
      <c r="N409" t="str">
        <f t="shared" si="18"/>
        <v>T-2</v>
      </c>
      <c r="O409">
        <f t="shared" si="19"/>
        <v>2025</v>
      </c>
      <c r="P409" t="str">
        <f t="shared" si="20"/>
        <v>5. mayo</v>
      </c>
    </row>
    <row r="410" spans="1:16" x14ac:dyDescent="0.35">
      <c r="A410">
        <v>700668</v>
      </c>
      <c r="B410" t="s">
        <v>27</v>
      </c>
      <c r="C410" t="s">
        <v>138</v>
      </c>
      <c r="D410" t="s">
        <v>316</v>
      </c>
      <c r="E410" t="s">
        <v>652</v>
      </c>
      <c r="F410" t="s">
        <v>187</v>
      </c>
      <c r="G410" s="1">
        <v>45789</v>
      </c>
      <c r="H410" s="1">
        <v>45791</v>
      </c>
      <c r="I410" s="2">
        <v>3276</v>
      </c>
      <c r="J410" t="s">
        <v>774</v>
      </c>
      <c r="K410" t="s">
        <v>783</v>
      </c>
      <c r="L410" t="s">
        <v>823</v>
      </c>
      <c r="M410" t="s">
        <v>830</v>
      </c>
      <c r="N410" t="str">
        <f t="shared" si="18"/>
        <v>T-2</v>
      </c>
      <c r="O410">
        <f t="shared" si="19"/>
        <v>2025</v>
      </c>
      <c r="P410" t="str">
        <f t="shared" si="20"/>
        <v>5. mayo</v>
      </c>
    </row>
    <row r="411" spans="1:16" x14ac:dyDescent="0.35">
      <c r="A411">
        <v>365469</v>
      </c>
      <c r="B411" t="s">
        <v>30</v>
      </c>
      <c r="C411" t="s">
        <v>138</v>
      </c>
      <c r="D411" t="s">
        <v>156</v>
      </c>
      <c r="E411" t="s">
        <v>673</v>
      </c>
      <c r="F411" t="s">
        <v>187</v>
      </c>
      <c r="G411" s="1">
        <v>45791</v>
      </c>
      <c r="H411" s="1">
        <v>45791</v>
      </c>
      <c r="I411" s="2">
        <v>333.33</v>
      </c>
      <c r="J411" t="s">
        <v>779</v>
      </c>
      <c r="K411" t="s">
        <v>788</v>
      </c>
      <c r="L411" t="s">
        <v>823</v>
      </c>
      <c r="M411" t="s">
        <v>829</v>
      </c>
      <c r="N411" t="str">
        <f t="shared" si="18"/>
        <v>T-2</v>
      </c>
      <c r="O411">
        <f t="shared" si="19"/>
        <v>2025</v>
      </c>
      <c r="P411" t="str">
        <f t="shared" si="20"/>
        <v>5. mayo</v>
      </c>
    </row>
    <row r="412" spans="1:16" x14ac:dyDescent="0.35">
      <c r="A412">
        <v>721224</v>
      </c>
      <c r="B412" t="s">
        <v>63</v>
      </c>
      <c r="C412" t="s">
        <v>136</v>
      </c>
      <c r="D412" t="s">
        <v>156</v>
      </c>
      <c r="E412" t="s">
        <v>673</v>
      </c>
      <c r="F412" t="s">
        <v>187</v>
      </c>
      <c r="G412" s="1">
        <v>45791</v>
      </c>
      <c r="H412" s="1">
        <v>45791</v>
      </c>
      <c r="I412" s="2">
        <v>1666.67</v>
      </c>
      <c r="J412" t="s">
        <v>779</v>
      </c>
      <c r="K412" t="s">
        <v>783</v>
      </c>
      <c r="L412" t="s">
        <v>823</v>
      </c>
      <c r="M412" t="s">
        <v>830</v>
      </c>
      <c r="N412" t="str">
        <f t="shared" si="18"/>
        <v>T-2</v>
      </c>
      <c r="O412">
        <f t="shared" si="19"/>
        <v>2025</v>
      </c>
      <c r="P412" t="str">
        <f t="shared" si="20"/>
        <v>5. mayo</v>
      </c>
    </row>
    <row r="413" spans="1:16" x14ac:dyDescent="0.35">
      <c r="A413">
        <v>750028</v>
      </c>
      <c r="B413" t="s">
        <v>31</v>
      </c>
      <c r="C413" t="s">
        <v>139</v>
      </c>
      <c r="D413" t="s">
        <v>344</v>
      </c>
      <c r="E413" t="s">
        <v>694</v>
      </c>
      <c r="F413" t="s">
        <v>187</v>
      </c>
      <c r="G413" s="1">
        <v>45761</v>
      </c>
      <c r="H413" s="1">
        <v>45793</v>
      </c>
      <c r="I413" s="2">
        <v>540</v>
      </c>
      <c r="J413" t="s">
        <v>778</v>
      </c>
      <c r="K413" t="s">
        <v>783</v>
      </c>
      <c r="L413" t="s">
        <v>824</v>
      </c>
      <c r="M413" t="s">
        <v>830</v>
      </c>
      <c r="N413" t="str">
        <f t="shared" si="18"/>
        <v>T-2</v>
      </c>
      <c r="O413">
        <f t="shared" si="19"/>
        <v>2025</v>
      </c>
      <c r="P413" t="str">
        <f t="shared" si="20"/>
        <v>4. abril</v>
      </c>
    </row>
    <row r="414" spans="1:16" x14ac:dyDescent="0.35">
      <c r="A414">
        <v>721156</v>
      </c>
      <c r="B414" t="s">
        <v>27</v>
      </c>
      <c r="C414" t="s">
        <v>137</v>
      </c>
      <c r="D414" t="s">
        <v>344</v>
      </c>
      <c r="E414" t="s">
        <v>694</v>
      </c>
      <c r="F414" t="s">
        <v>187</v>
      </c>
      <c r="G414" s="1">
        <v>45761</v>
      </c>
      <c r="H414" s="1">
        <v>45793</v>
      </c>
      <c r="I414" s="2">
        <v>720</v>
      </c>
      <c r="J414" t="s">
        <v>778</v>
      </c>
      <c r="K414" t="s">
        <v>783</v>
      </c>
      <c r="L414" t="s">
        <v>823</v>
      </c>
      <c r="M414" t="s">
        <v>828</v>
      </c>
      <c r="N414" t="str">
        <f t="shared" si="18"/>
        <v>T-2</v>
      </c>
      <c r="O414">
        <f t="shared" si="19"/>
        <v>2025</v>
      </c>
      <c r="P414" t="str">
        <f t="shared" si="20"/>
        <v>4. abril</v>
      </c>
    </row>
    <row r="415" spans="1:16" x14ac:dyDescent="0.35">
      <c r="A415">
        <v>133002</v>
      </c>
      <c r="B415" t="s">
        <v>4</v>
      </c>
      <c r="C415" t="s">
        <v>138</v>
      </c>
      <c r="D415" t="s">
        <v>345</v>
      </c>
      <c r="E415" t="s">
        <v>715</v>
      </c>
      <c r="F415" t="s">
        <v>187</v>
      </c>
      <c r="G415" s="1">
        <v>45754</v>
      </c>
      <c r="H415" s="1">
        <v>45786</v>
      </c>
      <c r="I415" s="2">
        <v>375</v>
      </c>
      <c r="J415" t="s">
        <v>779</v>
      </c>
      <c r="K415" t="s">
        <v>788</v>
      </c>
      <c r="L415" t="s">
        <v>823</v>
      </c>
      <c r="M415" t="s">
        <v>828</v>
      </c>
      <c r="N415" t="str">
        <f t="shared" si="18"/>
        <v>T-2</v>
      </c>
      <c r="O415">
        <f t="shared" si="19"/>
        <v>2025</v>
      </c>
      <c r="P415" t="str">
        <f t="shared" si="20"/>
        <v>4. abril</v>
      </c>
    </row>
    <row r="416" spans="1:16" x14ac:dyDescent="0.35">
      <c r="A416">
        <v>423430</v>
      </c>
      <c r="B416" t="s">
        <v>19</v>
      </c>
      <c r="C416" t="s">
        <v>139</v>
      </c>
      <c r="D416" t="s">
        <v>164</v>
      </c>
      <c r="E416" t="s">
        <v>675</v>
      </c>
      <c r="F416" t="s">
        <v>187</v>
      </c>
      <c r="G416" s="1">
        <v>45782</v>
      </c>
      <c r="H416" s="1">
        <v>45785</v>
      </c>
      <c r="I416" s="2">
        <v>624</v>
      </c>
      <c r="J416" t="s">
        <v>779</v>
      </c>
      <c r="K416" t="s">
        <v>783</v>
      </c>
      <c r="L416" t="s">
        <v>823</v>
      </c>
      <c r="M416" t="s">
        <v>829</v>
      </c>
      <c r="N416" t="str">
        <f t="shared" si="18"/>
        <v>T-2</v>
      </c>
      <c r="O416">
        <f t="shared" si="19"/>
        <v>2025</v>
      </c>
      <c r="P416" t="str">
        <f t="shared" si="20"/>
        <v>5. mayo</v>
      </c>
    </row>
    <row r="417" spans="1:16" x14ac:dyDescent="0.35">
      <c r="A417">
        <v>603206</v>
      </c>
      <c r="B417" t="s">
        <v>13</v>
      </c>
      <c r="C417" t="s">
        <v>136</v>
      </c>
      <c r="D417" t="s">
        <v>164</v>
      </c>
      <c r="E417" t="s">
        <v>675</v>
      </c>
      <c r="F417" t="s">
        <v>187</v>
      </c>
      <c r="G417" s="1">
        <v>45782</v>
      </c>
      <c r="H417" s="1">
        <v>45785</v>
      </c>
      <c r="I417" s="2">
        <v>208</v>
      </c>
      <c r="J417" t="s">
        <v>779</v>
      </c>
      <c r="K417" t="s">
        <v>783</v>
      </c>
      <c r="L417" t="s">
        <v>823</v>
      </c>
      <c r="M417" t="s">
        <v>830</v>
      </c>
      <c r="N417" t="str">
        <f t="shared" si="18"/>
        <v>T-2</v>
      </c>
      <c r="O417">
        <f t="shared" si="19"/>
        <v>2025</v>
      </c>
      <c r="P417" t="str">
        <f t="shared" si="20"/>
        <v>5. mayo</v>
      </c>
    </row>
    <row r="418" spans="1:16" x14ac:dyDescent="0.35">
      <c r="A418">
        <v>464090</v>
      </c>
      <c r="B418" t="s">
        <v>5</v>
      </c>
      <c r="C418" t="s">
        <v>137</v>
      </c>
      <c r="D418" t="s">
        <v>164</v>
      </c>
      <c r="E418" t="s">
        <v>675</v>
      </c>
      <c r="F418" t="s">
        <v>187</v>
      </c>
      <c r="G418" s="1">
        <v>45782</v>
      </c>
      <c r="H418" s="1">
        <v>45785</v>
      </c>
      <c r="I418" s="2">
        <v>416</v>
      </c>
      <c r="J418" t="s">
        <v>779</v>
      </c>
      <c r="K418" t="s">
        <v>783</v>
      </c>
      <c r="L418" t="s">
        <v>823</v>
      </c>
      <c r="M418" t="s">
        <v>830</v>
      </c>
      <c r="N418" t="str">
        <f t="shared" si="18"/>
        <v>T-2</v>
      </c>
      <c r="O418">
        <f t="shared" si="19"/>
        <v>2025</v>
      </c>
      <c r="P418" t="str">
        <f t="shared" si="20"/>
        <v>5. mayo</v>
      </c>
    </row>
    <row r="419" spans="1:16" x14ac:dyDescent="0.35">
      <c r="A419">
        <v>719334</v>
      </c>
      <c r="B419" t="s">
        <v>24</v>
      </c>
      <c r="C419" t="s">
        <v>138</v>
      </c>
      <c r="D419" t="s">
        <v>280</v>
      </c>
      <c r="E419" t="s">
        <v>664</v>
      </c>
      <c r="F419" t="s">
        <v>187</v>
      </c>
      <c r="G419" s="1">
        <v>45782</v>
      </c>
      <c r="H419" s="1">
        <v>45796</v>
      </c>
      <c r="I419" s="2">
        <v>350.6</v>
      </c>
      <c r="J419" t="s">
        <v>779</v>
      </c>
      <c r="K419" t="s">
        <v>787</v>
      </c>
      <c r="L419" t="s">
        <v>823</v>
      </c>
      <c r="M419" t="s">
        <v>828</v>
      </c>
      <c r="N419" t="str">
        <f t="shared" si="18"/>
        <v>T-2</v>
      </c>
      <c r="O419">
        <f t="shared" si="19"/>
        <v>2025</v>
      </c>
      <c r="P419" t="str">
        <f t="shared" si="20"/>
        <v>5. mayo</v>
      </c>
    </row>
    <row r="420" spans="1:16" x14ac:dyDescent="0.35">
      <c r="A420">
        <v>606125</v>
      </c>
      <c r="B420" t="s">
        <v>13</v>
      </c>
      <c r="C420" t="s">
        <v>138</v>
      </c>
      <c r="D420" t="s">
        <v>346</v>
      </c>
      <c r="E420" t="s">
        <v>716</v>
      </c>
      <c r="F420" t="s">
        <v>187</v>
      </c>
      <c r="G420" s="1">
        <v>45786</v>
      </c>
      <c r="H420" s="1">
        <v>45786</v>
      </c>
      <c r="I420" s="2">
        <v>5400</v>
      </c>
      <c r="J420" t="s">
        <v>779</v>
      </c>
      <c r="K420" t="s">
        <v>789</v>
      </c>
      <c r="L420" t="s">
        <v>823</v>
      </c>
      <c r="M420" t="s">
        <v>830</v>
      </c>
      <c r="N420" t="str">
        <f t="shared" si="18"/>
        <v>T-2</v>
      </c>
      <c r="O420">
        <f t="shared" si="19"/>
        <v>2025</v>
      </c>
      <c r="P420" t="str">
        <f t="shared" si="20"/>
        <v>5. mayo</v>
      </c>
    </row>
    <row r="421" spans="1:16" x14ac:dyDescent="0.35">
      <c r="A421">
        <v>476264</v>
      </c>
      <c r="B421" t="s">
        <v>25</v>
      </c>
      <c r="C421" t="s">
        <v>138</v>
      </c>
      <c r="D421" t="s">
        <v>331</v>
      </c>
      <c r="E421" t="s">
        <v>703</v>
      </c>
      <c r="F421" t="s">
        <v>187</v>
      </c>
      <c r="G421" s="1">
        <v>45789</v>
      </c>
      <c r="H421" s="1">
        <v>45789</v>
      </c>
      <c r="I421" s="2">
        <v>709.52</v>
      </c>
      <c r="J421" t="s">
        <v>774</v>
      </c>
      <c r="K421" t="s">
        <v>788</v>
      </c>
      <c r="L421" t="s">
        <v>824</v>
      </c>
      <c r="M421" t="s">
        <v>829</v>
      </c>
      <c r="N421" t="str">
        <f t="shared" si="18"/>
        <v>T-2</v>
      </c>
      <c r="O421">
        <f t="shared" si="19"/>
        <v>2025</v>
      </c>
      <c r="P421" t="str">
        <f t="shared" si="20"/>
        <v>5. mayo</v>
      </c>
    </row>
    <row r="422" spans="1:16" x14ac:dyDescent="0.35">
      <c r="A422">
        <v>608282</v>
      </c>
      <c r="B422" t="s">
        <v>13</v>
      </c>
      <c r="C422" t="s">
        <v>136</v>
      </c>
      <c r="D422" t="s">
        <v>331</v>
      </c>
      <c r="E422" t="s">
        <v>703</v>
      </c>
      <c r="F422" t="s">
        <v>187</v>
      </c>
      <c r="G422" s="1">
        <v>45789</v>
      </c>
      <c r="H422" s="1">
        <v>45789</v>
      </c>
      <c r="I422" s="2">
        <v>354.76</v>
      </c>
      <c r="J422" t="s">
        <v>774</v>
      </c>
      <c r="K422" t="s">
        <v>783</v>
      </c>
      <c r="L422" t="s">
        <v>823</v>
      </c>
      <c r="M422" t="s">
        <v>830</v>
      </c>
      <c r="N422" t="str">
        <f t="shared" si="18"/>
        <v>T-2</v>
      </c>
      <c r="O422">
        <f t="shared" si="19"/>
        <v>2025</v>
      </c>
      <c r="P422" t="str">
        <f t="shared" si="20"/>
        <v>5. mayo</v>
      </c>
    </row>
    <row r="423" spans="1:16" x14ac:dyDescent="0.35">
      <c r="A423">
        <v>135000</v>
      </c>
      <c r="B423" t="s">
        <v>13</v>
      </c>
      <c r="C423" t="s">
        <v>138</v>
      </c>
      <c r="D423" t="s">
        <v>347</v>
      </c>
      <c r="E423" t="s">
        <v>703</v>
      </c>
      <c r="F423" t="s">
        <v>187</v>
      </c>
      <c r="G423" s="1">
        <v>45790</v>
      </c>
      <c r="H423" s="1">
        <v>45790</v>
      </c>
      <c r="I423" s="2">
        <v>894</v>
      </c>
      <c r="J423" t="s">
        <v>774</v>
      </c>
      <c r="K423" t="s">
        <v>787</v>
      </c>
      <c r="L423" t="s">
        <v>823</v>
      </c>
      <c r="M423" t="s">
        <v>830</v>
      </c>
      <c r="N423" t="str">
        <f t="shared" si="18"/>
        <v>T-2</v>
      </c>
      <c r="O423">
        <f t="shared" si="19"/>
        <v>2025</v>
      </c>
      <c r="P423" t="str">
        <f t="shared" si="20"/>
        <v>5. mayo</v>
      </c>
    </row>
    <row r="424" spans="1:16" x14ac:dyDescent="0.35">
      <c r="A424">
        <v>152119</v>
      </c>
      <c r="B424" t="s">
        <v>78</v>
      </c>
      <c r="C424" t="s">
        <v>139</v>
      </c>
      <c r="D424" t="s">
        <v>347</v>
      </c>
      <c r="E424" t="s">
        <v>703</v>
      </c>
      <c r="F424" t="s">
        <v>187</v>
      </c>
      <c r="G424" s="1">
        <v>45790</v>
      </c>
      <c r="H424" s="1">
        <v>45790</v>
      </c>
      <c r="I424" s="2">
        <v>596</v>
      </c>
      <c r="J424" t="s">
        <v>774</v>
      </c>
      <c r="K424" t="s">
        <v>787</v>
      </c>
      <c r="L424" t="s">
        <v>823</v>
      </c>
      <c r="M424" t="s">
        <v>828</v>
      </c>
      <c r="N424" t="str">
        <f t="shared" si="18"/>
        <v>T-2</v>
      </c>
      <c r="O424">
        <f t="shared" si="19"/>
        <v>2025</v>
      </c>
      <c r="P424" t="str">
        <f t="shared" si="20"/>
        <v>5. mayo</v>
      </c>
    </row>
    <row r="425" spans="1:16" x14ac:dyDescent="0.35">
      <c r="A425">
        <v>461465</v>
      </c>
      <c r="B425" t="s">
        <v>20</v>
      </c>
      <c r="C425" t="s">
        <v>136</v>
      </c>
      <c r="D425" t="s">
        <v>348</v>
      </c>
      <c r="E425" t="s">
        <v>703</v>
      </c>
      <c r="F425" t="s">
        <v>187</v>
      </c>
      <c r="G425" s="1">
        <v>45791</v>
      </c>
      <c r="H425" s="1">
        <v>45791</v>
      </c>
      <c r="I425" s="2">
        <v>1490</v>
      </c>
      <c r="J425" t="s">
        <v>774</v>
      </c>
      <c r="K425" t="s">
        <v>787</v>
      </c>
      <c r="L425" t="s">
        <v>823</v>
      </c>
      <c r="M425" t="s">
        <v>828</v>
      </c>
      <c r="N425" t="str">
        <f t="shared" si="18"/>
        <v>T-2</v>
      </c>
      <c r="O425">
        <f t="shared" si="19"/>
        <v>2025</v>
      </c>
      <c r="P425" t="str">
        <f t="shared" si="20"/>
        <v>5. mayo</v>
      </c>
    </row>
    <row r="426" spans="1:16" x14ac:dyDescent="0.35">
      <c r="A426">
        <v>716539</v>
      </c>
      <c r="B426" t="s">
        <v>20</v>
      </c>
      <c r="C426" t="s">
        <v>136</v>
      </c>
      <c r="D426" t="s">
        <v>349</v>
      </c>
      <c r="E426" t="s">
        <v>703</v>
      </c>
      <c r="F426" t="s">
        <v>187</v>
      </c>
      <c r="G426" s="1">
        <v>45790</v>
      </c>
      <c r="H426" s="1">
        <v>45791</v>
      </c>
      <c r="I426" s="2">
        <v>2980</v>
      </c>
      <c r="J426" t="s">
        <v>774</v>
      </c>
      <c r="K426" t="s">
        <v>800</v>
      </c>
      <c r="L426" t="s">
        <v>823</v>
      </c>
      <c r="M426" t="s">
        <v>830</v>
      </c>
      <c r="N426" t="str">
        <f t="shared" si="18"/>
        <v>T-2</v>
      </c>
      <c r="O426">
        <f t="shared" si="19"/>
        <v>2025</v>
      </c>
      <c r="P426" t="str">
        <f t="shared" si="20"/>
        <v>5. mayo</v>
      </c>
    </row>
    <row r="427" spans="1:16" x14ac:dyDescent="0.35">
      <c r="A427">
        <v>706386</v>
      </c>
      <c r="B427" t="s">
        <v>71</v>
      </c>
      <c r="C427" t="s">
        <v>138</v>
      </c>
      <c r="D427" t="s">
        <v>350</v>
      </c>
      <c r="E427" t="s">
        <v>718</v>
      </c>
      <c r="F427" t="s">
        <v>187</v>
      </c>
      <c r="G427" s="1">
        <v>45793</v>
      </c>
      <c r="H427" s="1">
        <v>45807</v>
      </c>
      <c r="I427" s="2">
        <v>300</v>
      </c>
      <c r="J427" t="s">
        <v>777</v>
      </c>
      <c r="K427" t="s">
        <v>786</v>
      </c>
      <c r="L427" t="s">
        <v>824</v>
      </c>
      <c r="M427" t="s">
        <v>829</v>
      </c>
      <c r="N427" t="str">
        <f t="shared" si="18"/>
        <v>T-2</v>
      </c>
      <c r="O427">
        <f t="shared" si="19"/>
        <v>2025</v>
      </c>
      <c r="P427" t="str">
        <f t="shared" si="20"/>
        <v>5. mayo</v>
      </c>
    </row>
    <row r="428" spans="1:16" x14ac:dyDescent="0.35">
      <c r="A428">
        <v>608115</v>
      </c>
      <c r="B428" t="s">
        <v>13</v>
      </c>
      <c r="C428" t="s">
        <v>138</v>
      </c>
      <c r="D428" t="s">
        <v>241</v>
      </c>
      <c r="E428" t="s">
        <v>647</v>
      </c>
      <c r="F428" t="s">
        <v>773</v>
      </c>
      <c r="G428" s="1">
        <v>45898</v>
      </c>
      <c r="H428" s="1">
        <v>45898</v>
      </c>
      <c r="I428" s="2">
        <v>240</v>
      </c>
      <c r="J428" t="s">
        <v>774</v>
      </c>
      <c r="K428" t="s">
        <v>785</v>
      </c>
      <c r="L428" t="s">
        <v>823</v>
      </c>
      <c r="M428" t="s">
        <v>830</v>
      </c>
      <c r="N428" t="str">
        <f t="shared" si="18"/>
        <v>T-3</v>
      </c>
      <c r="O428">
        <f t="shared" si="19"/>
        <v>2025</v>
      </c>
      <c r="P428" t="str">
        <f t="shared" si="20"/>
        <v>8. agosto</v>
      </c>
    </row>
    <row r="429" spans="1:16" x14ac:dyDescent="0.35">
      <c r="A429">
        <v>399217</v>
      </c>
      <c r="B429" t="s">
        <v>13</v>
      </c>
      <c r="C429" t="s">
        <v>138</v>
      </c>
      <c r="D429" t="s">
        <v>352</v>
      </c>
      <c r="E429" t="s">
        <v>647</v>
      </c>
      <c r="F429" t="s">
        <v>773</v>
      </c>
      <c r="G429" s="1">
        <v>45898</v>
      </c>
      <c r="H429" s="1">
        <v>45898</v>
      </c>
      <c r="I429" s="2">
        <v>240</v>
      </c>
      <c r="J429" t="s">
        <v>774</v>
      </c>
      <c r="K429" t="s">
        <v>783</v>
      </c>
      <c r="L429" t="s">
        <v>823</v>
      </c>
      <c r="M429" t="s">
        <v>830</v>
      </c>
      <c r="N429" t="str">
        <f t="shared" si="18"/>
        <v>T-3</v>
      </c>
      <c r="O429">
        <f t="shared" si="19"/>
        <v>2025</v>
      </c>
      <c r="P429" t="str">
        <f t="shared" si="20"/>
        <v>8. agosto</v>
      </c>
    </row>
    <row r="430" spans="1:16" x14ac:dyDescent="0.35">
      <c r="A430">
        <v>561806</v>
      </c>
      <c r="B430" t="s">
        <v>5</v>
      </c>
      <c r="C430" t="s">
        <v>138</v>
      </c>
      <c r="D430" t="s">
        <v>246</v>
      </c>
      <c r="E430" t="s">
        <v>652</v>
      </c>
      <c r="F430" t="s">
        <v>187</v>
      </c>
      <c r="G430" s="1">
        <v>45796</v>
      </c>
      <c r="H430" s="1">
        <v>45796</v>
      </c>
      <c r="I430" s="2">
        <v>468</v>
      </c>
      <c r="J430" t="s">
        <v>774</v>
      </c>
      <c r="K430" t="s">
        <v>783</v>
      </c>
      <c r="L430" t="s">
        <v>823</v>
      </c>
      <c r="M430" t="s">
        <v>828</v>
      </c>
      <c r="N430" t="str">
        <f t="shared" si="18"/>
        <v>T-2</v>
      </c>
      <c r="O430">
        <f t="shared" si="19"/>
        <v>2025</v>
      </c>
      <c r="P430" t="str">
        <f t="shared" si="20"/>
        <v>5. mayo</v>
      </c>
    </row>
    <row r="431" spans="1:16" x14ac:dyDescent="0.35">
      <c r="A431">
        <v>707958</v>
      </c>
      <c r="B431" t="s">
        <v>5</v>
      </c>
      <c r="C431" t="s">
        <v>138</v>
      </c>
      <c r="D431" t="s">
        <v>246</v>
      </c>
      <c r="E431" t="s">
        <v>652</v>
      </c>
      <c r="F431" t="s">
        <v>187</v>
      </c>
      <c r="G431" s="1">
        <v>45796</v>
      </c>
      <c r="H431" s="1">
        <v>45796</v>
      </c>
      <c r="I431" s="2">
        <v>624</v>
      </c>
      <c r="J431" t="s">
        <v>774</v>
      </c>
      <c r="K431" t="s">
        <v>783</v>
      </c>
      <c r="L431" t="s">
        <v>823</v>
      </c>
      <c r="M431" t="s">
        <v>828</v>
      </c>
      <c r="N431" t="str">
        <f t="shared" si="18"/>
        <v>T-2</v>
      </c>
      <c r="O431">
        <f t="shared" si="19"/>
        <v>2025</v>
      </c>
      <c r="P431" t="str">
        <f t="shared" si="20"/>
        <v>5. mayo</v>
      </c>
    </row>
    <row r="432" spans="1:16" x14ac:dyDescent="0.35">
      <c r="A432">
        <v>708237</v>
      </c>
      <c r="B432" t="s">
        <v>71</v>
      </c>
      <c r="C432" t="s">
        <v>138</v>
      </c>
      <c r="D432" t="s">
        <v>286</v>
      </c>
      <c r="E432" t="s">
        <v>652</v>
      </c>
      <c r="F432" t="s">
        <v>187</v>
      </c>
      <c r="G432" s="1">
        <v>45796</v>
      </c>
      <c r="H432" s="1">
        <v>45796</v>
      </c>
      <c r="I432" s="2">
        <v>858</v>
      </c>
      <c r="J432" t="s">
        <v>774</v>
      </c>
      <c r="K432" t="s">
        <v>785</v>
      </c>
      <c r="L432" t="s">
        <v>823</v>
      </c>
      <c r="M432" t="s">
        <v>829</v>
      </c>
      <c r="N432" t="str">
        <f t="shared" si="18"/>
        <v>T-2</v>
      </c>
      <c r="O432">
        <f t="shared" si="19"/>
        <v>2025</v>
      </c>
      <c r="P432" t="str">
        <f t="shared" si="20"/>
        <v>5. mayo</v>
      </c>
    </row>
    <row r="433" spans="1:16" x14ac:dyDescent="0.35">
      <c r="A433">
        <v>566399</v>
      </c>
      <c r="B433" t="s">
        <v>30</v>
      </c>
      <c r="C433" t="s">
        <v>138</v>
      </c>
      <c r="D433" t="s">
        <v>286</v>
      </c>
      <c r="E433" t="s">
        <v>652</v>
      </c>
      <c r="F433" t="s">
        <v>187</v>
      </c>
      <c r="G433" s="1">
        <v>45797</v>
      </c>
      <c r="H433" s="1">
        <v>45797</v>
      </c>
      <c r="I433" s="2">
        <v>702</v>
      </c>
      <c r="J433" t="s">
        <v>774</v>
      </c>
      <c r="K433" t="s">
        <v>783</v>
      </c>
      <c r="L433" t="s">
        <v>823</v>
      </c>
      <c r="M433" t="s">
        <v>830</v>
      </c>
      <c r="N433" t="str">
        <f t="shared" si="18"/>
        <v>T-2</v>
      </c>
      <c r="O433">
        <f t="shared" si="19"/>
        <v>2025</v>
      </c>
      <c r="P433" t="str">
        <f t="shared" si="20"/>
        <v>5. mayo</v>
      </c>
    </row>
    <row r="434" spans="1:16" x14ac:dyDescent="0.35">
      <c r="A434">
        <v>704720</v>
      </c>
      <c r="B434" t="s">
        <v>24</v>
      </c>
      <c r="C434" t="s">
        <v>138</v>
      </c>
      <c r="D434" t="s">
        <v>174</v>
      </c>
      <c r="E434" t="s">
        <v>699</v>
      </c>
      <c r="F434" t="s">
        <v>187</v>
      </c>
      <c r="G434" s="1">
        <v>45805</v>
      </c>
      <c r="H434" s="1">
        <v>45807</v>
      </c>
      <c r="I434" s="2">
        <v>6426</v>
      </c>
      <c r="J434" t="s">
        <v>774</v>
      </c>
      <c r="K434" t="s">
        <v>800</v>
      </c>
      <c r="L434" t="s">
        <v>824</v>
      </c>
      <c r="M434" t="s">
        <v>830</v>
      </c>
      <c r="N434" t="str">
        <f t="shared" si="18"/>
        <v>T-2</v>
      </c>
      <c r="O434">
        <f t="shared" si="19"/>
        <v>2025</v>
      </c>
      <c r="P434" t="str">
        <f t="shared" si="20"/>
        <v>5. mayo</v>
      </c>
    </row>
    <row r="435" spans="1:16" x14ac:dyDescent="0.35">
      <c r="A435">
        <v>704484</v>
      </c>
      <c r="B435" t="s">
        <v>2</v>
      </c>
      <c r="C435" t="s">
        <v>138</v>
      </c>
      <c r="D435" t="s">
        <v>340</v>
      </c>
      <c r="E435" t="s">
        <v>703</v>
      </c>
      <c r="F435" t="s">
        <v>187</v>
      </c>
      <c r="G435" s="1">
        <v>45810</v>
      </c>
      <c r="H435" s="1">
        <v>45814</v>
      </c>
      <c r="I435" s="2">
        <v>1370</v>
      </c>
      <c r="J435" t="s">
        <v>774</v>
      </c>
      <c r="K435" t="s">
        <v>789</v>
      </c>
      <c r="L435" t="s">
        <v>823</v>
      </c>
      <c r="M435" t="s">
        <v>828</v>
      </c>
      <c r="N435" t="str">
        <f t="shared" si="18"/>
        <v>T-2</v>
      </c>
      <c r="O435">
        <f t="shared" si="19"/>
        <v>2025</v>
      </c>
      <c r="P435" t="str">
        <f t="shared" si="20"/>
        <v>6. junio</v>
      </c>
    </row>
    <row r="436" spans="1:16" x14ac:dyDescent="0.35">
      <c r="A436">
        <v>490759</v>
      </c>
      <c r="B436" t="s">
        <v>20</v>
      </c>
      <c r="C436" t="s">
        <v>136</v>
      </c>
      <c r="D436" t="s">
        <v>354</v>
      </c>
      <c r="E436" t="s">
        <v>694</v>
      </c>
      <c r="F436" t="s">
        <v>187</v>
      </c>
      <c r="G436" s="1">
        <v>45761</v>
      </c>
      <c r="H436" s="1">
        <v>45800</v>
      </c>
      <c r="I436" s="2">
        <v>225</v>
      </c>
      <c r="J436" t="s">
        <v>778</v>
      </c>
      <c r="K436" t="s">
        <v>785</v>
      </c>
      <c r="L436" t="s">
        <v>823</v>
      </c>
      <c r="M436" t="s">
        <v>830</v>
      </c>
      <c r="N436" t="str">
        <f t="shared" si="18"/>
        <v>T-2</v>
      </c>
      <c r="O436">
        <f t="shared" si="19"/>
        <v>2025</v>
      </c>
      <c r="P436" t="str">
        <f t="shared" si="20"/>
        <v>4. abril</v>
      </c>
    </row>
    <row r="437" spans="1:16" x14ac:dyDescent="0.35">
      <c r="A437">
        <v>721041</v>
      </c>
      <c r="B437" t="s">
        <v>22</v>
      </c>
      <c r="C437" t="s">
        <v>137</v>
      </c>
      <c r="D437" t="s">
        <v>355</v>
      </c>
      <c r="E437" t="s">
        <v>694</v>
      </c>
      <c r="F437" t="s">
        <v>187</v>
      </c>
      <c r="G437" s="1">
        <v>45761</v>
      </c>
      <c r="H437" s="1">
        <v>45800</v>
      </c>
      <c r="I437" s="2">
        <v>300</v>
      </c>
      <c r="J437" t="s">
        <v>778</v>
      </c>
      <c r="K437" t="s">
        <v>800</v>
      </c>
      <c r="L437" t="s">
        <v>823</v>
      </c>
      <c r="M437" t="s">
        <v>829</v>
      </c>
      <c r="N437" t="str">
        <f t="shared" si="18"/>
        <v>T-2</v>
      </c>
      <c r="O437">
        <f t="shared" si="19"/>
        <v>2025</v>
      </c>
      <c r="P437" t="str">
        <f t="shared" si="20"/>
        <v>4. abril</v>
      </c>
    </row>
    <row r="438" spans="1:16" x14ac:dyDescent="0.35">
      <c r="A438">
        <v>561249</v>
      </c>
      <c r="B438" t="s">
        <v>20</v>
      </c>
      <c r="C438" t="s">
        <v>136</v>
      </c>
      <c r="D438" t="s">
        <v>356</v>
      </c>
      <c r="E438" t="s">
        <v>694</v>
      </c>
      <c r="F438" t="s">
        <v>187</v>
      </c>
      <c r="G438" s="1">
        <v>45761</v>
      </c>
      <c r="H438" s="1">
        <v>45800</v>
      </c>
      <c r="I438" s="2">
        <v>900</v>
      </c>
      <c r="J438" t="s">
        <v>778</v>
      </c>
      <c r="K438" t="s">
        <v>785</v>
      </c>
      <c r="L438" t="s">
        <v>823</v>
      </c>
      <c r="M438" t="s">
        <v>830</v>
      </c>
      <c r="N438" t="str">
        <f t="shared" si="18"/>
        <v>T-2</v>
      </c>
      <c r="O438">
        <f t="shared" si="19"/>
        <v>2025</v>
      </c>
      <c r="P438" t="str">
        <f t="shared" si="20"/>
        <v>4. abril</v>
      </c>
    </row>
    <row r="439" spans="1:16" x14ac:dyDescent="0.35">
      <c r="A439">
        <v>135054</v>
      </c>
      <c r="B439" t="s">
        <v>13</v>
      </c>
      <c r="C439" t="s">
        <v>138</v>
      </c>
      <c r="D439" t="s">
        <v>359</v>
      </c>
      <c r="E439" t="s">
        <v>694</v>
      </c>
      <c r="F439" t="s">
        <v>187</v>
      </c>
      <c r="G439" s="1">
        <v>45761</v>
      </c>
      <c r="H439" s="1">
        <v>45800</v>
      </c>
      <c r="I439" s="2">
        <v>315</v>
      </c>
      <c r="J439" t="s">
        <v>778</v>
      </c>
      <c r="K439" t="s">
        <v>788</v>
      </c>
      <c r="L439" t="s">
        <v>823</v>
      </c>
      <c r="M439" t="s">
        <v>830</v>
      </c>
      <c r="N439" t="str">
        <f t="shared" si="18"/>
        <v>T-2</v>
      </c>
      <c r="O439">
        <f t="shared" si="19"/>
        <v>2025</v>
      </c>
      <c r="P439" t="str">
        <f t="shared" si="20"/>
        <v>4. abril</v>
      </c>
    </row>
    <row r="440" spans="1:16" x14ac:dyDescent="0.35">
      <c r="A440">
        <v>704768</v>
      </c>
      <c r="B440" t="s">
        <v>30</v>
      </c>
      <c r="C440" t="s">
        <v>138</v>
      </c>
      <c r="D440" t="s">
        <v>360</v>
      </c>
      <c r="E440" t="s">
        <v>694</v>
      </c>
      <c r="F440" t="s">
        <v>187</v>
      </c>
      <c r="G440" s="1">
        <v>45761</v>
      </c>
      <c r="H440" s="1">
        <v>45800</v>
      </c>
      <c r="I440" s="2">
        <v>480</v>
      </c>
      <c r="J440" t="s">
        <v>778</v>
      </c>
      <c r="K440" t="s">
        <v>789</v>
      </c>
      <c r="L440" t="s">
        <v>823</v>
      </c>
      <c r="M440" t="s">
        <v>828</v>
      </c>
      <c r="N440" t="str">
        <f t="shared" si="18"/>
        <v>T-2</v>
      </c>
      <c r="O440">
        <f t="shared" si="19"/>
        <v>2025</v>
      </c>
      <c r="P440" t="str">
        <f t="shared" si="20"/>
        <v>4. abril</v>
      </c>
    </row>
    <row r="441" spans="1:16" x14ac:dyDescent="0.35">
      <c r="A441">
        <v>721971</v>
      </c>
      <c r="B441" t="s">
        <v>20</v>
      </c>
      <c r="C441" t="s">
        <v>136</v>
      </c>
      <c r="D441" t="s">
        <v>361</v>
      </c>
      <c r="E441" t="s">
        <v>694</v>
      </c>
      <c r="F441" t="s">
        <v>187</v>
      </c>
      <c r="G441" s="1">
        <v>45761</v>
      </c>
      <c r="H441" s="1">
        <v>45800</v>
      </c>
      <c r="I441" s="2">
        <v>1380</v>
      </c>
      <c r="J441" t="s">
        <v>778</v>
      </c>
      <c r="K441" t="s">
        <v>800</v>
      </c>
      <c r="L441" t="s">
        <v>823</v>
      </c>
      <c r="M441" t="s">
        <v>828</v>
      </c>
      <c r="N441" t="str">
        <f t="shared" si="18"/>
        <v>T-2</v>
      </c>
      <c r="O441">
        <f t="shared" si="19"/>
        <v>2025</v>
      </c>
      <c r="P441" t="str">
        <f t="shared" si="20"/>
        <v>4. abril</v>
      </c>
    </row>
    <row r="442" spans="1:16" x14ac:dyDescent="0.35">
      <c r="A442">
        <v>400668</v>
      </c>
      <c r="B442" t="s">
        <v>79</v>
      </c>
      <c r="C442" t="s">
        <v>138</v>
      </c>
      <c r="D442" t="s">
        <v>161</v>
      </c>
      <c r="E442" t="s">
        <v>679</v>
      </c>
      <c r="F442" t="s">
        <v>187</v>
      </c>
      <c r="G442" s="1">
        <v>45800</v>
      </c>
      <c r="H442" s="1">
        <v>45800</v>
      </c>
      <c r="I442" s="2">
        <v>4200</v>
      </c>
      <c r="J442" t="s">
        <v>779</v>
      </c>
      <c r="K442" t="s">
        <v>783</v>
      </c>
      <c r="L442" t="s">
        <v>824</v>
      </c>
      <c r="M442" t="s">
        <v>830</v>
      </c>
      <c r="N442" t="str">
        <f t="shared" si="18"/>
        <v>T-2</v>
      </c>
      <c r="O442">
        <f t="shared" si="19"/>
        <v>2025</v>
      </c>
      <c r="P442" t="str">
        <f t="shared" si="20"/>
        <v>5. mayo</v>
      </c>
    </row>
    <row r="443" spans="1:16" x14ac:dyDescent="0.35">
      <c r="A443">
        <v>704570</v>
      </c>
      <c r="B443" t="s">
        <v>23</v>
      </c>
      <c r="C443" t="s">
        <v>138</v>
      </c>
      <c r="D443" t="s">
        <v>143</v>
      </c>
      <c r="E443" t="s">
        <v>717</v>
      </c>
      <c r="F443" t="s">
        <v>187</v>
      </c>
      <c r="G443" s="1">
        <v>45839</v>
      </c>
      <c r="H443" s="1">
        <v>45839</v>
      </c>
      <c r="I443" s="2">
        <v>1721.7</v>
      </c>
      <c r="J443" t="s">
        <v>774</v>
      </c>
      <c r="K443" t="s">
        <v>785</v>
      </c>
      <c r="L443" t="s">
        <v>823</v>
      </c>
      <c r="M443" t="s">
        <v>829</v>
      </c>
      <c r="N443" t="str">
        <f t="shared" si="18"/>
        <v>T-3</v>
      </c>
      <c r="O443">
        <f t="shared" si="19"/>
        <v>2025</v>
      </c>
      <c r="P443" t="str">
        <f t="shared" si="20"/>
        <v>7. julio</v>
      </c>
    </row>
    <row r="444" spans="1:16" x14ac:dyDescent="0.35">
      <c r="A444">
        <v>704368</v>
      </c>
      <c r="B444" t="s">
        <v>79</v>
      </c>
      <c r="C444" t="s">
        <v>138</v>
      </c>
      <c r="D444" t="s">
        <v>167</v>
      </c>
      <c r="E444" t="s">
        <v>717</v>
      </c>
      <c r="F444" t="s">
        <v>773</v>
      </c>
      <c r="G444" s="1">
        <v>46006</v>
      </c>
      <c r="H444" s="1">
        <v>46006</v>
      </c>
      <c r="I444" s="2">
        <v>384.75</v>
      </c>
      <c r="J444" t="s">
        <v>774</v>
      </c>
      <c r="K444" t="s">
        <v>783</v>
      </c>
      <c r="L444" t="s">
        <v>823</v>
      </c>
      <c r="M444" t="s">
        <v>830</v>
      </c>
      <c r="N444" t="str">
        <f t="shared" si="18"/>
        <v>T-4</v>
      </c>
      <c r="O444">
        <f t="shared" si="19"/>
        <v>2025</v>
      </c>
      <c r="P444" t="str">
        <f t="shared" si="20"/>
        <v>12. diciembre</v>
      </c>
    </row>
    <row r="445" spans="1:16" x14ac:dyDescent="0.35">
      <c r="A445">
        <v>448833</v>
      </c>
      <c r="B445" t="s">
        <v>2</v>
      </c>
      <c r="C445" t="s">
        <v>139</v>
      </c>
      <c r="D445" t="s">
        <v>167</v>
      </c>
      <c r="E445" t="s">
        <v>717</v>
      </c>
      <c r="F445" t="s">
        <v>773</v>
      </c>
      <c r="G445" s="1">
        <v>46006</v>
      </c>
      <c r="H445" s="1">
        <v>46006</v>
      </c>
      <c r="I445" s="2">
        <v>384.75</v>
      </c>
      <c r="J445" t="s">
        <v>774</v>
      </c>
      <c r="K445" t="s">
        <v>783</v>
      </c>
      <c r="L445" t="s">
        <v>823</v>
      </c>
      <c r="M445" t="s">
        <v>830</v>
      </c>
      <c r="N445" t="str">
        <f t="shared" si="18"/>
        <v>T-4</v>
      </c>
      <c r="O445">
        <f t="shared" si="19"/>
        <v>2025</v>
      </c>
      <c r="P445" t="str">
        <f t="shared" si="20"/>
        <v>12. diciembre</v>
      </c>
    </row>
    <row r="446" spans="1:16" x14ac:dyDescent="0.35">
      <c r="A446">
        <v>716281</v>
      </c>
      <c r="B446" t="s">
        <v>14</v>
      </c>
      <c r="C446" t="s">
        <v>137</v>
      </c>
      <c r="D446" t="s">
        <v>167</v>
      </c>
      <c r="E446" t="s">
        <v>717</v>
      </c>
      <c r="F446" t="s">
        <v>773</v>
      </c>
      <c r="G446" s="1">
        <v>46006</v>
      </c>
      <c r="H446" s="1">
        <v>46006</v>
      </c>
      <c r="I446" s="2">
        <v>384.75</v>
      </c>
      <c r="J446" t="s">
        <v>774</v>
      </c>
      <c r="K446" t="s">
        <v>785</v>
      </c>
      <c r="L446" t="s">
        <v>823</v>
      </c>
      <c r="M446" t="s">
        <v>828</v>
      </c>
      <c r="N446" t="str">
        <f t="shared" si="18"/>
        <v>T-4</v>
      </c>
      <c r="O446">
        <f t="shared" si="19"/>
        <v>2025</v>
      </c>
      <c r="P446" t="str">
        <f t="shared" si="20"/>
        <v>12. diciembre</v>
      </c>
    </row>
    <row r="447" spans="1:16" x14ac:dyDescent="0.35">
      <c r="A447">
        <v>705642</v>
      </c>
      <c r="B447" t="s">
        <v>63</v>
      </c>
      <c r="C447" t="s">
        <v>136</v>
      </c>
      <c r="D447" t="s">
        <v>167</v>
      </c>
      <c r="E447" t="s">
        <v>717</v>
      </c>
      <c r="F447" t="s">
        <v>773</v>
      </c>
      <c r="G447" s="1">
        <v>46006</v>
      </c>
      <c r="H447" s="1">
        <v>46006</v>
      </c>
      <c r="I447" s="2">
        <v>384.75</v>
      </c>
      <c r="J447" t="s">
        <v>774</v>
      </c>
      <c r="K447" t="s">
        <v>785</v>
      </c>
      <c r="L447" t="s">
        <v>823</v>
      </c>
      <c r="M447" t="s">
        <v>828</v>
      </c>
      <c r="N447" t="str">
        <f t="shared" si="18"/>
        <v>T-4</v>
      </c>
      <c r="O447">
        <f t="shared" si="19"/>
        <v>2025</v>
      </c>
      <c r="P447" t="str">
        <f t="shared" si="20"/>
        <v>12. diciembre</v>
      </c>
    </row>
    <row r="448" spans="1:16" x14ac:dyDescent="0.35">
      <c r="A448">
        <v>365122</v>
      </c>
      <c r="B448" t="s">
        <v>30</v>
      </c>
      <c r="C448" t="s">
        <v>138</v>
      </c>
      <c r="D448" t="s">
        <v>167</v>
      </c>
      <c r="E448" t="s">
        <v>717</v>
      </c>
      <c r="F448" t="s">
        <v>773</v>
      </c>
      <c r="G448" s="1">
        <v>46006</v>
      </c>
      <c r="H448" s="1">
        <v>46006</v>
      </c>
      <c r="I448" s="2">
        <v>384.75</v>
      </c>
      <c r="J448" t="s">
        <v>774</v>
      </c>
      <c r="K448" t="s">
        <v>800</v>
      </c>
      <c r="L448" t="s">
        <v>824</v>
      </c>
      <c r="M448" t="s">
        <v>829</v>
      </c>
      <c r="N448" t="str">
        <f t="shared" si="18"/>
        <v>T-4</v>
      </c>
      <c r="O448">
        <f t="shared" si="19"/>
        <v>2025</v>
      </c>
      <c r="P448" t="str">
        <f t="shared" si="20"/>
        <v>12. diciembre</v>
      </c>
    </row>
    <row r="449" spans="1:16" x14ac:dyDescent="0.35">
      <c r="A449">
        <v>721112</v>
      </c>
      <c r="B449" t="s">
        <v>45</v>
      </c>
      <c r="C449" t="s">
        <v>138</v>
      </c>
      <c r="D449" t="s">
        <v>167</v>
      </c>
      <c r="E449" t="s">
        <v>717</v>
      </c>
      <c r="F449" t="s">
        <v>773</v>
      </c>
      <c r="G449" s="1">
        <v>46006</v>
      </c>
      <c r="H449" s="1">
        <v>46006</v>
      </c>
      <c r="I449" s="2">
        <v>384.75</v>
      </c>
      <c r="J449" t="s">
        <v>774</v>
      </c>
      <c r="K449" t="s">
        <v>783</v>
      </c>
      <c r="L449" t="s">
        <v>823</v>
      </c>
      <c r="M449" t="s">
        <v>830</v>
      </c>
      <c r="N449" t="str">
        <f t="shared" si="18"/>
        <v>T-4</v>
      </c>
      <c r="O449">
        <f t="shared" si="19"/>
        <v>2025</v>
      </c>
      <c r="P449" t="str">
        <f t="shared" si="20"/>
        <v>12. diciembre</v>
      </c>
    </row>
    <row r="450" spans="1:16" x14ac:dyDescent="0.35">
      <c r="A450">
        <v>480462</v>
      </c>
      <c r="B450" t="s">
        <v>32</v>
      </c>
      <c r="C450" t="s">
        <v>138</v>
      </c>
      <c r="D450" t="s">
        <v>362</v>
      </c>
      <c r="E450" t="s">
        <v>719</v>
      </c>
      <c r="F450" t="s">
        <v>187</v>
      </c>
      <c r="G450" s="1">
        <v>45756</v>
      </c>
      <c r="H450" s="1">
        <v>45800</v>
      </c>
      <c r="I450" s="2">
        <v>225</v>
      </c>
      <c r="J450" t="s">
        <v>778</v>
      </c>
      <c r="K450" t="s">
        <v>783</v>
      </c>
      <c r="L450" t="s">
        <v>823</v>
      </c>
      <c r="M450" t="s">
        <v>830</v>
      </c>
      <c r="N450" t="str">
        <f t="shared" si="18"/>
        <v>T-2</v>
      </c>
      <c r="O450">
        <f t="shared" si="19"/>
        <v>2025</v>
      </c>
      <c r="P450" t="str">
        <f t="shared" si="20"/>
        <v>4. abril</v>
      </c>
    </row>
    <row r="451" spans="1:16" x14ac:dyDescent="0.35">
      <c r="A451">
        <v>588228</v>
      </c>
      <c r="B451" t="s">
        <v>31</v>
      </c>
      <c r="C451" t="s">
        <v>139</v>
      </c>
      <c r="D451" t="s">
        <v>363</v>
      </c>
      <c r="E451" t="s">
        <v>669</v>
      </c>
      <c r="F451" t="s">
        <v>187</v>
      </c>
      <c r="G451" s="1">
        <v>45756</v>
      </c>
      <c r="H451" s="1">
        <v>45797</v>
      </c>
      <c r="I451" s="2">
        <v>280</v>
      </c>
      <c r="J451" t="s">
        <v>778</v>
      </c>
      <c r="K451" t="s">
        <v>783</v>
      </c>
      <c r="L451" t="s">
        <v>823</v>
      </c>
      <c r="M451" t="s">
        <v>828</v>
      </c>
      <c r="N451" t="str">
        <f t="shared" ref="N451:N514" si="21">"T-" &amp; ROUNDUP((MONTH(G451)/3), 0)</f>
        <v>T-2</v>
      </c>
      <c r="O451">
        <f t="shared" ref="O451:O514" si="22">YEAR(G451)</f>
        <v>2025</v>
      </c>
      <c r="P451" t="str">
        <f t="shared" ref="P451:P514" si="23">MONTH(G451) &amp; ". " &amp; TEXT(G451, "MMMM")</f>
        <v>4. abril</v>
      </c>
    </row>
    <row r="452" spans="1:16" x14ac:dyDescent="0.35">
      <c r="A452">
        <v>718318</v>
      </c>
      <c r="B452" t="s">
        <v>30</v>
      </c>
      <c r="C452" t="s">
        <v>138</v>
      </c>
      <c r="D452" t="s">
        <v>364</v>
      </c>
      <c r="E452" t="s">
        <v>652</v>
      </c>
      <c r="F452" t="s">
        <v>187</v>
      </c>
      <c r="G452" s="1">
        <v>45799</v>
      </c>
      <c r="H452" s="1">
        <v>45799</v>
      </c>
      <c r="I452" s="2">
        <v>312</v>
      </c>
      <c r="J452" t="s">
        <v>774</v>
      </c>
      <c r="K452" t="s">
        <v>783</v>
      </c>
      <c r="L452" t="s">
        <v>823</v>
      </c>
      <c r="M452" t="s">
        <v>830</v>
      </c>
      <c r="N452" t="str">
        <f t="shared" si="21"/>
        <v>T-2</v>
      </c>
      <c r="O452">
        <f t="shared" si="22"/>
        <v>2025</v>
      </c>
      <c r="P452" t="str">
        <f t="shared" si="23"/>
        <v>5. mayo</v>
      </c>
    </row>
    <row r="453" spans="1:16" x14ac:dyDescent="0.35">
      <c r="A453">
        <v>565563</v>
      </c>
      <c r="B453" t="s">
        <v>5</v>
      </c>
      <c r="C453" t="s">
        <v>138</v>
      </c>
      <c r="D453" t="s">
        <v>364</v>
      </c>
      <c r="E453" t="s">
        <v>652</v>
      </c>
      <c r="F453" t="s">
        <v>187</v>
      </c>
      <c r="G453" s="1">
        <v>45799</v>
      </c>
      <c r="H453" s="1">
        <v>45799</v>
      </c>
      <c r="I453" s="2">
        <v>936</v>
      </c>
      <c r="J453" t="s">
        <v>774</v>
      </c>
      <c r="K453" t="s">
        <v>783</v>
      </c>
      <c r="L453" t="s">
        <v>823</v>
      </c>
      <c r="M453" t="s">
        <v>829</v>
      </c>
      <c r="N453" t="str">
        <f t="shared" si="21"/>
        <v>T-2</v>
      </c>
      <c r="O453">
        <f t="shared" si="22"/>
        <v>2025</v>
      </c>
      <c r="P453" t="str">
        <f t="shared" si="23"/>
        <v>5. mayo</v>
      </c>
    </row>
    <row r="454" spans="1:16" x14ac:dyDescent="0.35">
      <c r="A454">
        <v>711667</v>
      </c>
      <c r="B454" t="s">
        <v>2</v>
      </c>
      <c r="C454" t="s">
        <v>138</v>
      </c>
      <c r="D454" t="s">
        <v>364</v>
      </c>
      <c r="E454" t="s">
        <v>652</v>
      </c>
      <c r="F454" t="s">
        <v>187</v>
      </c>
      <c r="G454" s="1">
        <v>45800</v>
      </c>
      <c r="H454" s="1">
        <v>45800</v>
      </c>
      <c r="I454" s="2">
        <v>468</v>
      </c>
      <c r="J454" t="s">
        <v>774</v>
      </c>
      <c r="K454" t="s">
        <v>783</v>
      </c>
      <c r="L454" t="s">
        <v>823</v>
      </c>
      <c r="M454" t="s">
        <v>830</v>
      </c>
      <c r="N454" t="str">
        <f t="shared" si="21"/>
        <v>T-2</v>
      </c>
      <c r="O454">
        <f t="shared" si="22"/>
        <v>2025</v>
      </c>
      <c r="P454" t="str">
        <f t="shared" si="23"/>
        <v>5. mayo</v>
      </c>
    </row>
    <row r="455" spans="1:16" x14ac:dyDescent="0.35">
      <c r="A455">
        <v>451930</v>
      </c>
      <c r="B455" t="s">
        <v>30</v>
      </c>
      <c r="C455" t="s">
        <v>138</v>
      </c>
      <c r="D455" t="s">
        <v>364</v>
      </c>
      <c r="E455" t="s">
        <v>652</v>
      </c>
      <c r="F455" t="s">
        <v>187</v>
      </c>
      <c r="G455" s="1">
        <v>45800</v>
      </c>
      <c r="H455" s="1">
        <v>45800</v>
      </c>
      <c r="I455" s="2">
        <v>468</v>
      </c>
      <c r="J455" t="s">
        <v>774</v>
      </c>
      <c r="K455" t="s">
        <v>783</v>
      </c>
      <c r="L455" t="s">
        <v>824</v>
      </c>
      <c r="M455" t="s">
        <v>830</v>
      </c>
      <c r="N455" t="str">
        <f t="shared" si="21"/>
        <v>T-2</v>
      </c>
      <c r="O455">
        <f t="shared" si="22"/>
        <v>2025</v>
      </c>
      <c r="P455" t="str">
        <f t="shared" si="23"/>
        <v>5. mayo</v>
      </c>
    </row>
    <row r="456" spans="1:16" x14ac:dyDescent="0.35">
      <c r="A456">
        <v>363783</v>
      </c>
      <c r="B456" t="s">
        <v>4</v>
      </c>
      <c r="C456" t="s">
        <v>139</v>
      </c>
      <c r="D456" t="s">
        <v>365</v>
      </c>
      <c r="E456" t="s">
        <v>669</v>
      </c>
      <c r="F456" t="s">
        <v>187</v>
      </c>
      <c r="G456" s="1">
        <v>45756</v>
      </c>
      <c r="H456" s="1">
        <v>45796</v>
      </c>
      <c r="I456" s="2">
        <v>910</v>
      </c>
      <c r="J456" t="s">
        <v>778</v>
      </c>
      <c r="K456" t="s">
        <v>783</v>
      </c>
      <c r="L456" t="s">
        <v>823</v>
      </c>
      <c r="M456" t="s">
        <v>828</v>
      </c>
      <c r="N456" t="str">
        <f t="shared" si="21"/>
        <v>T-2</v>
      </c>
      <c r="O456">
        <f t="shared" si="22"/>
        <v>2025</v>
      </c>
      <c r="P456" t="str">
        <f t="shared" si="23"/>
        <v>4. abril</v>
      </c>
    </row>
    <row r="457" spans="1:16" x14ac:dyDescent="0.35">
      <c r="A457">
        <v>610829</v>
      </c>
      <c r="B457" t="s">
        <v>13</v>
      </c>
      <c r="C457" t="s">
        <v>138</v>
      </c>
      <c r="D457" t="s">
        <v>366</v>
      </c>
      <c r="E457" t="s">
        <v>669</v>
      </c>
      <c r="F457" t="s">
        <v>187</v>
      </c>
      <c r="G457" s="1">
        <v>45756</v>
      </c>
      <c r="H457" s="1">
        <v>45796</v>
      </c>
      <c r="I457" s="2">
        <v>336</v>
      </c>
      <c r="J457" t="s">
        <v>778</v>
      </c>
      <c r="K457" t="s">
        <v>783</v>
      </c>
      <c r="L457" t="s">
        <v>823</v>
      </c>
      <c r="M457" t="s">
        <v>828</v>
      </c>
      <c r="N457" t="str">
        <f t="shared" si="21"/>
        <v>T-2</v>
      </c>
      <c r="O457">
        <f t="shared" si="22"/>
        <v>2025</v>
      </c>
      <c r="P457" t="str">
        <f t="shared" si="23"/>
        <v>4. abril</v>
      </c>
    </row>
    <row r="458" spans="1:16" x14ac:dyDescent="0.35">
      <c r="A458">
        <v>750030</v>
      </c>
      <c r="B458" t="s">
        <v>4</v>
      </c>
      <c r="C458" t="s">
        <v>138</v>
      </c>
      <c r="D458" t="s">
        <v>366</v>
      </c>
      <c r="E458" t="s">
        <v>669</v>
      </c>
      <c r="F458" t="s">
        <v>187</v>
      </c>
      <c r="G458" s="1">
        <v>45840</v>
      </c>
      <c r="H458" s="1">
        <v>45903</v>
      </c>
      <c r="I458" s="2">
        <v>756</v>
      </c>
      <c r="J458" t="s">
        <v>778</v>
      </c>
      <c r="K458" t="s">
        <v>787</v>
      </c>
      <c r="L458" t="s">
        <v>823</v>
      </c>
      <c r="M458" t="s">
        <v>830</v>
      </c>
      <c r="N458" t="str">
        <f t="shared" si="21"/>
        <v>T-3</v>
      </c>
      <c r="O458">
        <f t="shared" si="22"/>
        <v>2025</v>
      </c>
      <c r="P458" t="str">
        <f t="shared" si="23"/>
        <v>7. julio</v>
      </c>
    </row>
    <row r="459" spans="1:16" x14ac:dyDescent="0.35">
      <c r="A459">
        <v>719054</v>
      </c>
      <c r="B459" t="s">
        <v>34</v>
      </c>
      <c r="C459" t="s">
        <v>138</v>
      </c>
      <c r="D459" t="s">
        <v>367</v>
      </c>
      <c r="E459" t="s">
        <v>669</v>
      </c>
      <c r="F459" t="s">
        <v>187</v>
      </c>
      <c r="G459" s="1">
        <v>45756</v>
      </c>
      <c r="H459" s="1">
        <v>45796</v>
      </c>
      <c r="I459" s="2">
        <v>252</v>
      </c>
      <c r="J459" t="s">
        <v>778</v>
      </c>
      <c r="K459" t="s">
        <v>789</v>
      </c>
      <c r="L459" t="s">
        <v>823</v>
      </c>
      <c r="M459" t="s">
        <v>829</v>
      </c>
      <c r="N459" t="str">
        <f t="shared" si="21"/>
        <v>T-2</v>
      </c>
      <c r="O459">
        <f t="shared" si="22"/>
        <v>2025</v>
      </c>
      <c r="P459" t="str">
        <f t="shared" si="23"/>
        <v>4. abril</v>
      </c>
    </row>
    <row r="460" spans="1:16" x14ac:dyDescent="0.35">
      <c r="A460">
        <v>708012</v>
      </c>
      <c r="B460" t="s">
        <v>2</v>
      </c>
      <c r="C460" t="s">
        <v>138</v>
      </c>
      <c r="D460" t="s">
        <v>368</v>
      </c>
      <c r="E460" t="s">
        <v>669</v>
      </c>
      <c r="F460" t="s">
        <v>187</v>
      </c>
      <c r="G460" s="1">
        <v>45756</v>
      </c>
      <c r="H460" s="1">
        <v>45797</v>
      </c>
      <c r="I460" s="2">
        <v>280</v>
      </c>
      <c r="J460" t="s">
        <v>778</v>
      </c>
      <c r="K460" t="s">
        <v>806</v>
      </c>
      <c r="L460" t="s">
        <v>823</v>
      </c>
      <c r="M460" t="s">
        <v>830</v>
      </c>
      <c r="N460" t="str">
        <f t="shared" si="21"/>
        <v>T-2</v>
      </c>
      <c r="O460">
        <f t="shared" si="22"/>
        <v>2025</v>
      </c>
      <c r="P460" t="str">
        <f t="shared" si="23"/>
        <v>4. abril</v>
      </c>
    </row>
    <row r="461" spans="1:16" x14ac:dyDescent="0.35">
      <c r="A461">
        <v>610619</v>
      </c>
      <c r="B461" t="s">
        <v>13</v>
      </c>
      <c r="C461" t="s">
        <v>136</v>
      </c>
      <c r="D461" t="s">
        <v>369</v>
      </c>
      <c r="E461" t="s">
        <v>652</v>
      </c>
      <c r="F461" t="s">
        <v>187</v>
      </c>
      <c r="G461" s="1">
        <v>45797</v>
      </c>
      <c r="H461" s="1">
        <v>45800</v>
      </c>
      <c r="I461" s="2">
        <v>1872</v>
      </c>
      <c r="J461" t="s">
        <v>774</v>
      </c>
      <c r="K461" t="s">
        <v>783</v>
      </c>
      <c r="L461" t="s">
        <v>823</v>
      </c>
      <c r="M461" t="s">
        <v>830</v>
      </c>
      <c r="N461" t="str">
        <f t="shared" si="21"/>
        <v>T-2</v>
      </c>
      <c r="O461">
        <f t="shared" si="22"/>
        <v>2025</v>
      </c>
      <c r="P461" t="str">
        <f t="shared" si="23"/>
        <v>5. mayo</v>
      </c>
    </row>
    <row r="462" spans="1:16" x14ac:dyDescent="0.35">
      <c r="A462">
        <v>408705</v>
      </c>
      <c r="B462" t="s">
        <v>80</v>
      </c>
      <c r="C462" t="s">
        <v>139</v>
      </c>
      <c r="D462" t="s">
        <v>369</v>
      </c>
      <c r="E462" t="s">
        <v>652</v>
      </c>
      <c r="F462" t="s">
        <v>187</v>
      </c>
      <c r="G462" s="1">
        <v>45797</v>
      </c>
      <c r="H462" s="1">
        <v>45800</v>
      </c>
      <c r="I462" s="2">
        <v>4056</v>
      </c>
      <c r="J462" t="s">
        <v>774</v>
      </c>
      <c r="K462" t="s">
        <v>807</v>
      </c>
      <c r="L462" t="s">
        <v>823</v>
      </c>
      <c r="M462" t="s">
        <v>828</v>
      </c>
      <c r="N462" t="str">
        <f t="shared" si="21"/>
        <v>T-2</v>
      </c>
      <c r="O462">
        <f t="shared" si="22"/>
        <v>2025</v>
      </c>
      <c r="P462" t="str">
        <f t="shared" si="23"/>
        <v>5. mayo</v>
      </c>
    </row>
    <row r="463" spans="1:16" x14ac:dyDescent="0.35">
      <c r="A463">
        <v>703236</v>
      </c>
      <c r="B463" t="s">
        <v>30</v>
      </c>
      <c r="C463" t="s">
        <v>138</v>
      </c>
      <c r="D463" t="s">
        <v>329</v>
      </c>
      <c r="E463" t="s">
        <v>652</v>
      </c>
      <c r="F463" t="s">
        <v>187</v>
      </c>
      <c r="G463" s="1">
        <v>45798</v>
      </c>
      <c r="H463" s="1">
        <v>45798</v>
      </c>
      <c r="I463" s="2">
        <v>202.5</v>
      </c>
      <c r="J463" t="s">
        <v>774</v>
      </c>
      <c r="K463" t="s">
        <v>789</v>
      </c>
      <c r="L463" t="s">
        <v>824</v>
      </c>
      <c r="M463" t="s">
        <v>828</v>
      </c>
      <c r="N463" t="str">
        <f t="shared" si="21"/>
        <v>T-2</v>
      </c>
      <c r="O463">
        <f t="shared" si="22"/>
        <v>2025</v>
      </c>
      <c r="P463" t="str">
        <f t="shared" si="23"/>
        <v>5. mayo</v>
      </c>
    </row>
    <row r="464" spans="1:16" x14ac:dyDescent="0.35">
      <c r="A464">
        <v>610490</v>
      </c>
      <c r="B464" t="s">
        <v>13</v>
      </c>
      <c r="C464" t="s">
        <v>138</v>
      </c>
      <c r="D464" t="s">
        <v>329</v>
      </c>
      <c r="E464" t="s">
        <v>652</v>
      </c>
      <c r="F464" t="s">
        <v>187</v>
      </c>
      <c r="G464" s="1">
        <v>45798</v>
      </c>
      <c r="H464" s="1">
        <v>45798</v>
      </c>
      <c r="I464" s="2">
        <v>405</v>
      </c>
      <c r="J464" t="s">
        <v>774</v>
      </c>
      <c r="K464" t="s">
        <v>789</v>
      </c>
      <c r="L464" t="s">
        <v>823</v>
      </c>
      <c r="M464" t="s">
        <v>829</v>
      </c>
      <c r="N464" t="str">
        <f t="shared" si="21"/>
        <v>T-2</v>
      </c>
      <c r="O464">
        <f t="shared" si="22"/>
        <v>2025</v>
      </c>
      <c r="P464" t="str">
        <f t="shared" si="23"/>
        <v>5. mayo</v>
      </c>
    </row>
    <row r="465" spans="1:16" x14ac:dyDescent="0.35">
      <c r="A465">
        <v>702388</v>
      </c>
      <c r="B465" t="s">
        <v>5</v>
      </c>
      <c r="C465" t="s">
        <v>139</v>
      </c>
      <c r="D465" t="s">
        <v>329</v>
      </c>
      <c r="E465" t="s">
        <v>652</v>
      </c>
      <c r="F465" t="s">
        <v>187</v>
      </c>
      <c r="G465" s="1">
        <v>45798</v>
      </c>
      <c r="H465" s="1">
        <v>45798</v>
      </c>
      <c r="I465" s="2">
        <v>405</v>
      </c>
      <c r="J465" t="s">
        <v>774</v>
      </c>
      <c r="K465" t="s">
        <v>787</v>
      </c>
      <c r="L465" t="s">
        <v>823</v>
      </c>
      <c r="M465" t="s">
        <v>830</v>
      </c>
      <c r="N465" t="str">
        <f t="shared" si="21"/>
        <v>T-2</v>
      </c>
      <c r="O465">
        <f t="shared" si="22"/>
        <v>2025</v>
      </c>
      <c r="P465" t="str">
        <f t="shared" si="23"/>
        <v>5. mayo</v>
      </c>
    </row>
    <row r="466" spans="1:16" x14ac:dyDescent="0.35">
      <c r="A466">
        <v>66268</v>
      </c>
      <c r="B466" t="s">
        <v>5</v>
      </c>
      <c r="C466" t="s">
        <v>138</v>
      </c>
      <c r="D466" t="s">
        <v>370</v>
      </c>
      <c r="E466" t="s">
        <v>652</v>
      </c>
      <c r="F466" t="s">
        <v>187</v>
      </c>
      <c r="G466" s="1">
        <v>45796</v>
      </c>
      <c r="H466" s="1">
        <v>45798</v>
      </c>
      <c r="I466" s="2">
        <v>312</v>
      </c>
      <c r="J466" t="s">
        <v>774</v>
      </c>
      <c r="K466" t="s">
        <v>783</v>
      </c>
      <c r="L466" t="s">
        <v>823</v>
      </c>
      <c r="M466" t="s">
        <v>830</v>
      </c>
      <c r="N466" t="str">
        <f t="shared" si="21"/>
        <v>T-2</v>
      </c>
      <c r="O466">
        <f t="shared" si="22"/>
        <v>2025</v>
      </c>
      <c r="P466" t="str">
        <f t="shared" si="23"/>
        <v>5. mayo</v>
      </c>
    </row>
    <row r="467" spans="1:16" x14ac:dyDescent="0.35">
      <c r="A467">
        <v>608953</v>
      </c>
      <c r="B467" t="s">
        <v>13</v>
      </c>
      <c r="C467" t="s">
        <v>138</v>
      </c>
      <c r="D467" t="s">
        <v>370</v>
      </c>
      <c r="E467" t="s">
        <v>652</v>
      </c>
      <c r="F467" t="s">
        <v>187</v>
      </c>
      <c r="G467" s="1">
        <v>45796</v>
      </c>
      <c r="H467" s="1">
        <v>45798</v>
      </c>
      <c r="I467" s="2">
        <v>1872</v>
      </c>
      <c r="J467" t="s">
        <v>774</v>
      </c>
      <c r="K467" t="s">
        <v>783</v>
      </c>
      <c r="L467" t="s">
        <v>823</v>
      </c>
      <c r="M467" t="s">
        <v>828</v>
      </c>
      <c r="N467" t="str">
        <f t="shared" si="21"/>
        <v>T-2</v>
      </c>
      <c r="O467">
        <f t="shared" si="22"/>
        <v>2025</v>
      </c>
      <c r="P467" t="str">
        <f t="shared" si="23"/>
        <v>5. mayo</v>
      </c>
    </row>
    <row r="468" spans="1:16" x14ac:dyDescent="0.35">
      <c r="A468">
        <v>719762</v>
      </c>
      <c r="B468" t="s">
        <v>30</v>
      </c>
      <c r="C468" t="s">
        <v>137</v>
      </c>
      <c r="D468" t="s">
        <v>371</v>
      </c>
      <c r="E468" t="s">
        <v>720</v>
      </c>
      <c r="F468" t="s">
        <v>187</v>
      </c>
      <c r="G468" s="1">
        <v>45810</v>
      </c>
      <c r="H468" s="1">
        <v>45820</v>
      </c>
      <c r="I468" s="2">
        <v>2700</v>
      </c>
      <c r="J468" t="s">
        <v>776</v>
      </c>
      <c r="K468" t="s">
        <v>783</v>
      </c>
      <c r="L468" t="s">
        <v>823</v>
      </c>
      <c r="M468" t="s">
        <v>830</v>
      </c>
      <c r="N468" t="str">
        <f t="shared" si="21"/>
        <v>T-2</v>
      </c>
      <c r="O468">
        <f t="shared" si="22"/>
        <v>2025</v>
      </c>
      <c r="P468" t="str">
        <f t="shared" si="23"/>
        <v>6. junio</v>
      </c>
    </row>
    <row r="469" spans="1:16" x14ac:dyDescent="0.35">
      <c r="A469">
        <v>566982</v>
      </c>
      <c r="B469" t="s">
        <v>5</v>
      </c>
      <c r="C469" t="s">
        <v>138</v>
      </c>
      <c r="D469" t="s">
        <v>371</v>
      </c>
      <c r="E469" t="s">
        <v>720</v>
      </c>
      <c r="F469" t="s">
        <v>187</v>
      </c>
      <c r="G469" s="1">
        <v>45810</v>
      </c>
      <c r="H469" s="1">
        <v>45820</v>
      </c>
      <c r="I469" s="2">
        <v>900</v>
      </c>
      <c r="J469" t="s">
        <v>776</v>
      </c>
      <c r="K469" t="s">
        <v>783</v>
      </c>
      <c r="L469" t="s">
        <v>824</v>
      </c>
      <c r="M469" t="s">
        <v>829</v>
      </c>
      <c r="N469" t="str">
        <f t="shared" si="21"/>
        <v>T-2</v>
      </c>
      <c r="O469">
        <f t="shared" si="22"/>
        <v>2025</v>
      </c>
      <c r="P469" t="str">
        <f t="shared" si="23"/>
        <v>6. junio</v>
      </c>
    </row>
    <row r="470" spans="1:16" x14ac:dyDescent="0.35">
      <c r="A470">
        <v>240257</v>
      </c>
      <c r="B470" t="s">
        <v>72</v>
      </c>
      <c r="C470" t="s">
        <v>138</v>
      </c>
      <c r="D470" t="s">
        <v>167</v>
      </c>
      <c r="E470" t="s">
        <v>717</v>
      </c>
      <c r="F470" t="s">
        <v>773</v>
      </c>
      <c r="G470" s="1">
        <v>46006</v>
      </c>
      <c r="H470" s="1">
        <v>46006</v>
      </c>
      <c r="I470" s="2">
        <v>384.75</v>
      </c>
      <c r="J470" t="s">
        <v>774</v>
      </c>
      <c r="K470" t="s">
        <v>784</v>
      </c>
      <c r="L470" t="s">
        <v>823</v>
      </c>
      <c r="M470" t="s">
        <v>830</v>
      </c>
      <c r="N470" t="str">
        <f t="shared" si="21"/>
        <v>T-4</v>
      </c>
      <c r="O470">
        <f t="shared" si="22"/>
        <v>2025</v>
      </c>
      <c r="P470" t="str">
        <f t="shared" si="23"/>
        <v>12. diciembre</v>
      </c>
    </row>
    <row r="471" spans="1:16" x14ac:dyDescent="0.35">
      <c r="A471">
        <v>361943</v>
      </c>
      <c r="B471" t="s">
        <v>4</v>
      </c>
      <c r="C471" t="s">
        <v>138</v>
      </c>
      <c r="D471" t="s">
        <v>346</v>
      </c>
      <c r="E471" t="s">
        <v>716</v>
      </c>
      <c r="F471" t="s">
        <v>187</v>
      </c>
      <c r="G471" s="1">
        <v>45799</v>
      </c>
      <c r="H471" s="1">
        <v>45799</v>
      </c>
      <c r="I471" s="2">
        <v>5400</v>
      </c>
      <c r="J471" t="s">
        <v>779</v>
      </c>
      <c r="K471" t="s">
        <v>783</v>
      </c>
      <c r="L471" t="s">
        <v>823</v>
      </c>
      <c r="M471" t="s">
        <v>830</v>
      </c>
      <c r="N471" t="str">
        <f t="shared" si="21"/>
        <v>T-2</v>
      </c>
      <c r="O471">
        <f t="shared" si="22"/>
        <v>2025</v>
      </c>
      <c r="P471" t="str">
        <f t="shared" si="23"/>
        <v>5. mayo</v>
      </c>
    </row>
    <row r="472" spans="1:16" x14ac:dyDescent="0.35">
      <c r="A472">
        <v>705917</v>
      </c>
      <c r="B472" t="s">
        <v>27</v>
      </c>
      <c r="C472" t="s">
        <v>138</v>
      </c>
      <c r="D472" t="s">
        <v>167</v>
      </c>
      <c r="E472" t="s">
        <v>717</v>
      </c>
      <c r="F472" t="s">
        <v>773</v>
      </c>
      <c r="G472" s="1">
        <v>46249</v>
      </c>
      <c r="H472" s="1">
        <v>46249</v>
      </c>
      <c r="I472" s="2">
        <v>384.75</v>
      </c>
      <c r="J472" t="s">
        <v>774</v>
      </c>
      <c r="K472" t="s">
        <v>806</v>
      </c>
      <c r="L472" t="s">
        <v>823</v>
      </c>
      <c r="M472" t="s">
        <v>828</v>
      </c>
      <c r="N472" t="str">
        <f t="shared" si="21"/>
        <v>T-3</v>
      </c>
      <c r="O472">
        <f t="shared" si="22"/>
        <v>2026</v>
      </c>
      <c r="P472" t="str">
        <f t="shared" si="23"/>
        <v>8. agosto</v>
      </c>
    </row>
    <row r="473" spans="1:16" x14ac:dyDescent="0.35">
      <c r="A473">
        <v>721309</v>
      </c>
      <c r="B473" t="s">
        <v>59</v>
      </c>
      <c r="C473" t="s">
        <v>138</v>
      </c>
      <c r="D473" t="s">
        <v>167</v>
      </c>
      <c r="E473" t="s">
        <v>717</v>
      </c>
      <c r="F473" t="s">
        <v>773</v>
      </c>
      <c r="G473" s="1">
        <v>46249</v>
      </c>
      <c r="H473" s="1">
        <v>46249</v>
      </c>
      <c r="I473" s="2">
        <v>384.75</v>
      </c>
      <c r="J473" t="s">
        <v>774</v>
      </c>
      <c r="K473" t="s">
        <v>796</v>
      </c>
      <c r="L473" t="s">
        <v>823</v>
      </c>
      <c r="M473" t="s">
        <v>828</v>
      </c>
      <c r="N473" t="str">
        <f t="shared" si="21"/>
        <v>T-3</v>
      </c>
      <c r="O473">
        <f t="shared" si="22"/>
        <v>2026</v>
      </c>
      <c r="P473" t="str">
        <f t="shared" si="23"/>
        <v>8. agosto</v>
      </c>
    </row>
    <row r="474" spans="1:16" x14ac:dyDescent="0.35">
      <c r="A474">
        <v>466193</v>
      </c>
      <c r="B474" t="s">
        <v>25</v>
      </c>
      <c r="C474" t="s">
        <v>138</v>
      </c>
      <c r="D474" t="s">
        <v>167</v>
      </c>
      <c r="E474" t="s">
        <v>717</v>
      </c>
      <c r="F474" t="s">
        <v>773</v>
      </c>
      <c r="G474" s="1">
        <v>46249</v>
      </c>
      <c r="H474" s="1">
        <v>46249</v>
      </c>
      <c r="I474" s="2">
        <v>384.75</v>
      </c>
      <c r="J474" t="s">
        <v>774</v>
      </c>
      <c r="K474" t="s">
        <v>796</v>
      </c>
      <c r="L474" t="s">
        <v>823</v>
      </c>
      <c r="M474" t="s">
        <v>830</v>
      </c>
      <c r="N474" t="str">
        <f t="shared" si="21"/>
        <v>T-3</v>
      </c>
      <c r="O474">
        <f t="shared" si="22"/>
        <v>2026</v>
      </c>
      <c r="P474" t="str">
        <f t="shared" si="23"/>
        <v>8. agosto</v>
      </c>
    </row>
    <row r="475" spans="1:16" x14ac:dyDescent="0.35">
      <c r="A475">
        <v>716242</v>
      </c>
      <c r="B475" t="s">
        <v>63</v>
      </c>
      <c r="C475" t="s">
        <v>136</v>
      </c>
      <c r="D475" t="s">
        <v>167</v>
      </c>
      <c r="E475" t="s">
        <v>717</v>
      </c>
      <c r="F475" t="s">
        <v>773</v>
      </c>
      <c r="G475" s="1">
        <v>46249</v>
      </c>
      <c r="H475" s="1">
        <v>46249</v>
      </c>
      <c r="I475" s="2">
        <v>384.75</v>
      </c>
      <c r="J475" t="s">
        <v>774</v>
      </c>
      <c r="K475" t="s">
        <v>796</v>
      </c>
      <c r="L475" t="s">
        <v>823</v>
      </c>
      <c r="M475" t="s">
        <v>829</v>
      </c>
      <c r="N475" t="str">
        <f t="shared" si="21"/>
        <v>T-3</v>
      </c>
      <c r="O475">
        <f t="shared" si="22"/>
        <v>2026</v>
      </c>
      <c r="P475" t="str">
        <f t="shared" si="23"/>
        <v>8. agosto</v>
      </c>
    </row>
    <row r="476" spans="1:16" x14ac:dyDescent="0.35">
      <c r="A476">
        <v>422939</v>
      </c>
      <c r="B476" t="s">
        <v>81</v>
      </c>
      <c r="C476" t="s">
        <v>139</v>
      </c>
      <c r="D476" t="s">
        <v>167</v>
      </c>
      <c r="E476" t="s">
        <v>717</v>
      </c>
      <c r="F476" t="s">
        <v>773</v>
      </c>
      <c r="G476" s="1">
        <v>46249</v>
      </c>
      <c r="H476" s="1">
        <v>46249</v>
      </c>
      <c r="I476" s="2">
        <v>384.75</v>
      </c>
      <c r="J476" t="s">
        <v>774</v>
      </c>
      <c r="K476" t="s">
        <v>804</v>
      </c>
      <c r="L476" t="s">
        <v>824</v>
      </c>
      <c r="M476" t="s">
        <v>830</v>
      </c>
      <c r="N476" t="str">
        <f t="shared" si="21"/>
        <v>T-3</v>
      </c>
      <c r="O476">
        <f t="shared" si="22"/>
        <v>2026</v>
      </c>
      <c r="P476" t="str">
        <f t="shared" si="23"/>
        <v>8. agosto</v>
      </c>
    </row>
    <row r="477" spans="1:16" x14ac:dyDescent="0.35">
      <c r="A477">
        <v>405922</v>
      </c>
      <c r="B477" t="s">
        <v>25</v>
      </c>
      <c r="C477" t="s">
        <v>138</v>
      </c>
      <c r="D477" t="s">
        <v>167</v>
      </c>
      <c r="E477" t="s">
        <v>717</v>
      </c>
      <c r="F477" t="s">
        <v>773</v>
      </c>
      <c r="G477" s="1">
        <v>46249</v>
      </c>
      <c r="H477" s="1">
        <v>46249</v>
      </c>
      <c r="I477" s="2">
        <v>384.75</v>
      </c>
      <c r="J477" t="s">
        <v>774</v>
      </c>
      <c r="K477" t="s">
        <v>790</v>
      </c>
      <c r="L477" t="s">
        <v>823</v>
      </c>
      <c r="M477" t="s">
        <v>830</v>
      </c>
      <c r="N477" t="str">
        <f t="shared" si="21"/>
        <v>T-3</v>
      </c>
      <c r="O477">
        <f t="shared" si="22"/>
        <v>2026</v>
      </c>
      <c r="P477" t="str">
        <f t="shared" si="23"/>
        <v>8. agosto</v>
      </c>
    </row>
    <row r="478" spans="1:16" x14ac:dyDescent="0.35">
      <c r="A478">
        <v>701164</v>
      </c>
      <c r="B478" t="s">
        <v>28</v>
      </c>
      <c r="C478" t="s">
        <v>138</v>
      </c>
      <c r="D478" t="s">
        <v>167</v>
      </c>
      <c r="E478" t="s">
        <v>717</v>
      </c>
      <c r="F478" t="s">
        <v>773</v>
      </c>
      <c r="G478" s="1">
        <v>46249</v>
      </c>
      <c r="H478" s="1">
        <v>46249</v>
      </c>
      <c r="I478" s="2">
        <v>384.75</v>
      </c>
      <c r="J478" t="s">
        <v>774</v>
      </c>
      <c r="K478" t="s">
        <v>784</v>
      </c>
      <c r="L478" t="s">
        <v>823</v>
      </c>
      <c r="M478" t="s">
        <v>828</v>
      </c>
      <c r="N478" t="str">
        <f t="shared" si="21"/>
        <v>T-3</v>
      </c>
      <c r="O478">
        <f t="shared" si="22"/>
        <v>2026</v>
      </c>
      <c r="P478" t="str">
        <f t="shared" si="23"/>
        <v>8. agosto</v>
      </c>
    </row>
    <row r="479" spans="1:16" x14ac:dyDescent="0.35">
      <c r="A479">
        <v>707082</v>
      </c>
      <c r="B479" t="s">
        <v>32</v>
      </c>
      <c r="C479" t="s">
        <v>138</v>
      </c>
      <c r="D479" t="s">
        <v>167</v>
      </c>
      <c r="E479" t="s">
        <v>717</v>
      </c>
      <c r="F479" t="s">
        <v>773</v>
      </c>
      <c r="G479" s="1">
        <v>46371</v>
      </c>
      <c r="H479" s="1">
        <v>46371</v>
      </c>
      <c r="I479" s="2">
        <v>384.75</v>
      </c>
      <c r="J479" t="s">
        <v>774</v>
      </c>
      <c r="K479" t="s">
        <v>790</v>
      </c>
      <c r="L479" t="s">
        <v>823</v>
      </c>
      <c r="M479" t="s">
        <v>828</v>
      </c>
      <c r="N479" t="str">
        <f t="shared" si="21"/>
        <v>T-4</v>
      </c>
      <c r="O479">
        <f t="shared" si="22"/>
        <v>2026</v>
      </c>
      <c r="P479" t="str">
        <f t="shared" si="23"/>
        <v>12. diciembre</v>
      </c>
    </row>
    <row r="480" spans="1:16" x14ac:dyDescent="0.35">
      <c r="A480">
        <v>707401</v>
      </c>
      <c r="B480" t="s">
        <v>17</v>
      </c>
      <c r="C480" t="s">
        <v>136</v>
      </c>
      <c r="D480" t="s">
        <v>167</v>
      </c>
      <c r="E480" t="s">
        <v>717</v>
      </c>
      <c r="F480" t="s">
        <v>773</v>
      </c>
      <c r="G480" s="1">
        <v>46013</v>
      </c>
      <c r="H480" s="1">
        <v>46013</v>
      </c>
      <c r="I480" s="2">
        <v>384.75</v>
      </c>
      <c r="J480" t="s">
        <v>774</v>
      </c>
      <c r="K480" t="s">
        <v>808</v>
      </c>
      <c r="L480" t="s">
        <v>823</v>
      </c>
      <c r="M480" t="s">
        <v>829</v>
      </c>
      <c r="N480" t="str">
        <f t="shared" si="21"/>
        <v>T-4</v>
      </c>
      <c r="O480">
        <f t="shared" si="22"/>
        <v>2025</v>
      </c>
      <c r="P480" t="str">
        <f t="shared" si="23"/>
        <v>12. diciembre</v>
      </c>
    </row>
    <row r="481" spans="1:16" x14ac:dyDescent="0.35">
      <c r="A481">
        <v>34953</v>
      </c>
      <c r="B481" t="s">
        <v>19</v>
      </c>
      <c r="C481" t="s">
        <v>139</v>
      </c>
      <c r="D481" t="s">
        <v>167</v>
      </c>
      <c r="E481" t="s">
        <v>717</v>
      </c>
      <c r="F481" t="s">
        <v>773</v>
      </c>
      <c r="G481" s="1">
        <v>46371</v>
      </c>
      <c r="H481" s="1">
        <v>46371</v>
      </c>
      <c r="I481" s="2">
        <v>384.75</v>
      </c>
      <c r="J481" t="s">
        <v>774</v>
      </c>
      <c r="K481" t="s">
        <v>808</v>
      </c>
      <c r="L481" t="s">
        <v>823</v>
      </c>
      <c r="M481" t="s">
        <v>830</v>
      </c>
      <c r="N481" t="str">
        <f t="shared" si="21"/>
        <v>T-4</v>
      </c>
      <c r="O481">
        <f t="shared" si="22"/>
        <v>2026</v>
      </c>
      <c r="P481" t="str">
        <f t="shared" si="23"/>
        <v>12. diciembre</v>
      </c>
    </row>
    <row r="482" spans="1:16" x14ac:dyDescent="0.35">
      <c r="A482">
        <v>723645</v>
      </c>
      <c r="B482" t="s">
        <v>82</v>
      </c>
      <c r="C482" t="s">
        <v>139</v>
      </c>
      <c r="D482" t="s">
        <v>167</v>
      </c>
      <c r="E482" t="s">
        <v>717</v>
      </c>
      <c r="F482" t="s">
        <v>773</v>
      </c>
      <c r="G482" s="1">
        <v>46371</v>
      </c>
      <c r="H482" s="1">
        <v>46371</v>
      </c>
      <c r="I482" s="2">
        <v>384.75</v>
      </c>
      <c r="J482" t="s">
        <v>774</v>
      </c>
      <c r="K482" t="s">
        <v>789</v>
      </c>
      <c r="L482" t="s">
        <v>823</v>
      </c>
      <c r="M482" t="s">
        <v>830</v>
      </c>
      <c r="N482" t="str">
        <f t="shared" si="21"/>
        <v>T-4</v>
      </c>
      <c r="O482">
        <f t="shared" si="22"/>
        <v>2026</v>
      </c>
      <c r="P482" t="str">
        <f t="shared" si="23"/>
        <v>12. diciembre</v>
      </c>
    </row>
    <row r="483" spans="1:16" x14ac:dyDescent="0.35">
      <c r="A483">
        <v>718270</v>
      </c>
      <c r="B483" t="s">
        <v>25</v>
      </c>
      <c r="C483" t="s">
        <v>138</v>
      </c>
      <c r="D483" t="s">
        <v>167</v>
      </c>
      <c r="E483" t="s">
        <v>717</v>
      </c>
      <c r="F483" t="s">
        <v>773</v>
      </c>
      <c r="G483" s="1">
        <v>46371</v>
      </c>
      <c r="H483" s="1">
        <v>46371</v>
      </c>
      <c r="I483" s="2">
        <v>384.75</v>
      </c>
      <c r="J483" t="s">
        <v>774</v>
      </c>
      <c r="K483" t="s">
        <v>785</v>
      </c>
      <c r="L483" t="s">
        <v>823</v>
      </c>
      <c r="M483" t="s">
        <v>828</v>
      </c>
      <c r="N483" t="str">
        <f t="shared" si="21"/>
        <v>T-4</v>
      </c>
      <c r="O483">
        <f t="shared" si="22"/>
        <v>2026</v>
      </c>
      <c r="P483" t="str">
        <f t="shared" si="23"/>
        <v>12. diciembre</v>
      </c>
    </row>
    <row r="484" spans="1:16" x14ac:dyDescent="0.35">
      <c r="A484">
        <v>708111</v>
      </c>
      <c r="B484" t="s">
        <v>83</v>
      </c>
      <c r="C484" t="s">
        <v>138</v>
      </c>
      <c r="D484" t="s">
        <v>167</v>
      </c>
      <c r="E484" t="s">
        <v>717</v>
      </c>
      <c r="F484" t="s">
        <v>773</v>
      </c>
      <c r="G484" s="1">
        <v>46371</v>
      </c>
      <c r="H484" s="1">
        <v>46371</v>
      </c>
      <c r="I484" s="2">
        <v>384.75</v>
      </c>
      <c r="J484" t="s">
        <v>774</v>
      </c>
      <c r="K484" t="s">
        <v>785</v>
      </c>
      <c r="L484" t="s">
        <v>824</v>
      </c>
      <c r="M484" t="s">
        <v>830</v>
      </c>
      <c r="N484" t="str">
        <f t="shared" si="21"/>
        <v>T-4</v>
      </c>
      <c r="O484">
        <f t="shared" si="22"/>
        <v>2026</v>
      </c>
      <c r="P484" t="str">
        <f t="shared" si="23"/>
        <v>12. diciembre</v>
      </c>
    </row>
    <row r="485" spans="1:16" x14ac:dyDescent="0.35">
      <c r="A485">
        <v>716660</v>
      </c>
      <c r="B485" t="s">
        <v>39</v>
      </c>
      <c r="C485" t="s">
        <v>137</v>
      </c>
      <c r="D485" t="s">
        <v>167</v>
      </c>
      <c r="E485" t="s">
        <v>717</v>
      </c>
      <c r="F485" t="s">
        <v>773</v>
      </c>
      <c r="G485" s="1">
        <v>46371</v>
      </c>
      <c r="H485" s="1">
        <v>46371</v>
      </c>
      <c r="I485" s="2">
        <v>384.75</v>
      </c>
      <c r="J485" t="s">
        <v>774</v>
      </c>
      <c r="K485" t="s">
        <v>800</v>
      </c>
      <c r="L485" t="s">
        <v>823</v>
      </c>
      <c r="M485" t="s">
        <v>829</v>
      </c>
      <c r="N485" t="str">
        <f t="shared" si="21"/>
        <v>T-4</v>
      </c>
      <c r="O485">
        <f t="shared" si="22"/>
        <v>2026</v>
      </c>
      <c r="P485" t="str">
        <f t="shared" si="23"/>
        <v>12. diciembre</v>
      </c>
    </row>
    <row r="486" spans="1:16" x14ac:dyDescent="0.35">
      <c r="A486">
        <v>718063</v>
      </c>
      <c r="B486" t="s">
        <v>11</v>
      </c>
      <c r="C486" t="s">
        <v>136</v>
      </c>
      <c r="D486" t="s">
        <v>167</v>
      </c>
      <c r="E486" t="s">
        <v>717</v>
      </c>
      <c r="F486" t="s">
        <v>773</v>
      </c>
      <c r="G486" s="1">
        <v>46371</v>
      </c>
      <c r="H486" s="1">
        <v>46371</v>
      </c>
      <c r="I486" s="2">
        <v>384.75</v>
      </c>
      <c r="J486" t="s">
        <v>774</v>
      </c>
      <c r="K486" t="s">
        <v>800</v>
      </c>
      <c r="L486" t="s">
        <v>823</v>
      </c>
      <c r="M486" t="s">
        <v>830</v>
      </c>
      <c r="N486" t="str">
        <f t="shared" si="21"/>
        <v>T-4</v>
      </c>
      <c r="O486">
        <f t="shared" si="22"/>
        <v>2026</v>
      </c>
      <c r="P486" t="str">
        <f t="shared" si="23"/>
        <v>12. diciembre</v>
      </c>
    </row>
    <row r="487" spans="1:16" x14ac:dyDescent="0.35">
      <c r="A487">
        <v>722693</v>
      </c>
      <c r="B487" t="s">
        <v>28</v>
      </c>
      <c r="C487" t="s">
        <v>138</v>
      </c>
      <c r="D487" t="s">
        <v>313</v>
      </c>
      <c r="E487" t="s">
        <v>652</v>
      </c>
      <c r="F487" t="s">
        <v>187</v>
      </c>
      <c r="G487" s="1">
        <v>45796</v>
      </c>
      <c r="H487" s="1">
        <v>45799</v>
      </c>
      <c r="I487" s="2">
        <v>624</v>
      </c>
      <c r="J487" t="s">
        <v>776</v>
      </c>
      <c r="K487" t="s">
        <v>783</v>
      </c>
      <c r="L487" t="s">
        <v>823</v>
      </c>
      <c r="M487" t="s">
        <v>830</v>
      </c>
      <c r="N487" t="str">
        <f t="shared" si="21"/>
        <v>T-2</v>
      </c>
      <c r="O487">
        <f t="shared" si="22"/>
        <v>2025</v>
      </c>
      <c r="P487" t="str">
        <f t="shared" si="23"/>
        <v>5. mayo</v>
      </c>
    </row>
    <row r="488" spans="1:16" x14ac:dyDescent="0.35">
      <c r="A488">
        <v>469396</v>
      </c>
      <c r="B488" t="s">
        <v>4</v>
      </c>
      <c r="C488" t="s">
        <v>136</v>
      </c>
      <c r="D488" t="s">
        <v>169</v>
      </c>
      <c r="E488" t="s">
        <v>658</v>
      </c>
      <c r="F488" t="s">
        <v>187</v>
      </c>
      <c r="G488" s="1">
        <v>45782</v>
      </c>
      <c r="H488" s="1">
        <v>45785</v>
      </c>
      <c r="I488" s="2">
        <v>312</v>
      </c>
      <c r="J488" t="s">
        <v>774</v>
      </c>
      <c r="K488" t="s">
        <v>783</v>
      </c>
      <c r="L488" t="s">
        <v>823</v>
      </c>
      <c r="M488" t="s">
        <v>828</v>
      </c>
      <c r="N488" t="str">
        <f t="shared" si="21"/>
        <v>T-2</v>
      </c>
      <c r="O488">
        <f t="shared" si="22"/>
        <v>2025</v>
      </c>
      <c r="P488" t="str">
        <f t="shared" si="23"/>
        <v>5. mayo</v>
      </c>
    </row>
    <row r="489" spans="1:16" x14ac:dyDescent="0.35">
      <c r="A489">
        <v>702871</v>
      </c>
      <c r="B489" t="s">
        <v>24</v>
      </c>
      <c r="C489" t="s">
        <v>138</v>
      </c>
      <c r="D489" t="s">
        <v>372</v>
      </c>
      <c r="E489" t="s">
        <v>658</v>
      </c>
      <c r="F489" t="s">
        <v>187</v>
      </c>
      <c r="G489" s="1">
        <v>45793</v>
      </c>
      <c r="H489" s="1">
        <v>45793</v>
      </c>
      <c r="I489" s="2">
        <v>1936</v>
      </c>
      <c r="J489" t="s">
        <v>774</v>
      </c>
      <c r="K489" t="s">
        <v>785</v>
      </c>
      <c r="L489" t="s">
        <v>823</v>
      </c>
      <c r="M489" t="s">
        <v>828</v>
      </c>
      <c r="N489" t="str">
        <f t="shared" si="21"/>
        <v>T-2</v>
      </c>
      <c r="O489">
        <f t="shared" si="22"/>
        <v>2025</v>
      </c>
      <c r="P489" t="str">
        <f t="shared" si="23"/>
        <v>5. mayo</v>
      </c>
    </row>
    <row r="490" spans="1:16" x14ac:dyDescent="0.35">
      <c r="A490">
        <v>611121</v>
      </c>
      <c r="B490" t="s">
        <v>13</v>
      </c>
      <c r="C490" t="s">
        <v>136</v>
      </c>
      <c r="D490" t="s">
        <v>183</v>
      </c>
      <c r="E490" t="s">
        <v>703</v>
      </c>
      <c r="F490" t="s">
        <v>187</v>
      </c>
      <c r="G490" s="1">
        <v>45796</v>
      </c>
      <c r="H490" s="1">
        <v>45796</v>
      </c>
      <c r="I490" s="2">
        <v>1407.22</v>
      </c>
      <c r="J490" t="s">
        <v>774</v>
      </c>
      <c r="K490" t="s">
        <v>797</v>
      </c>
      <c r="L490" t="s">
        <v>824</v>
      </c>
      <c r="M490" t="s">
        <v>830</v>
      </c>
      <c r="N490" t="str">
        <f t="shared" si="21"/>
        <v>T-2</v>
      </c>
      <c r="O490">
        <f t="shared" si="22"/>
        <v>2025</v>
      </c>
      <c r="P490" t="str">
        <f t="shared" si="23"/>
        <v>5. mayo</v>
      </c>
    </row>
    <row r="491" spans="1:16" x14ac:dyDescent="0.35">
      <c r="A491">
        <v>560473</v>
      </c>
      <c r="B491" t="s">
        <v>5</v>
      </c>
      <c r="C491" t="s">
        <v>138</v>
      </c>
      <c r="D491" t="s">
        <v>332</v>
      </c>
      <c r="E491" t="s">
        <v>703</v>
      </c>
      <c r="F491" t="s">
        <v>187</v>
      </c>
      <c r="G491" s="1">
        <v>45797</v>
      </c>
      <c r="H491" s="1">
        <v>45799</v>
      </c>
      <c r="I491" s="2">
        <v>4234.74</v>
      </c>
      <c r="J491" t="s">
        <v>774</v>
      </c>
      <c r="K491" t="s">
        <v>804</v>
      </c>
      <c r="L491" t="s">
        <v>823</v>
      </c>
      <c r="M491" t="s">
        <v>829</v>
      </c>
      <c r="N491" t="str">
        <f t="shared" si="21"/>
        <v>T-2</v>
      </c>
      <c r="O491">
        <f t="shared" si="22"/>
        <v>2025</v>
      </c>
      <c r="P491" t="str">
        <f t="shared" si="23"/>
        <v>5. mayo</v>
      </c>
    </row>
    <row r="492" spans="1:16" x14ac:dyDescent="0.35">
      <c r="A492">
        <v>609715</v>
      </c>
      <c r="B492" t="s">
        <v>13</v>
      </c>
      <c r="C492" t="s">
        <v>138</v>
      </c>
      <c r="D492" t="s">
        <v>332</v>
      </c>
      <c r="E492" t="s">
        <v>703</v>
      </c>
      <c r="F492" t="s">
        <v>187</v>
      </c>
      <c r="G492" s="1">
        <v>45797</v>
      </c>
      <c r="H492" s="1">
        <v>45799</v>
      </c>
      <c r="I492" s="2">
        <v>235.26</v>
      </c>
      <c r="J492" t="s">
        <v>774</v>
      </c>
      <c r="K492" t="s">
        <v>783</v>
      </c>
      <c r="L492" t="s">
        <v>823</v>
      </c>
      <c r="M492" t="s">
        <v>830</v>
      </c>
      <c r="N492" t="str">
        <f t="shared" si="21"/>
        <v>T-2</v>
      </c>
      <c r="O492">
        <f t="shared" si="22"/>
        <v>2025</v>
      </c>
      <c r="P492" t="str">
        <f t="shared" si="23"/>
        <v>5. mayo</v>
      </c>
    </row>
    <row r="493" spans="1:16" x14ac:dyDescent="0.35">
      <c r="A493">
        <v>475455</v>
      </c>
      <c r="B493" t="s">
        <v>30</v>
      </c>
      <c r="C493" t="s">
        <v>138</v>
      </c>
      <c r="D493" t="s">
        <v>331</v>
      </c>
      <c r="E493" t="s">
        <v>703</v>
      </c>
      <c r="F493" t="s">
        <v>187</v>
      </c>
      <c r="G493" s="1">
        <v>45800</v>
      </c>
      <c r="H493" s="1">
        <v>45800</v>
      </c>
      <c r="I493" s="2">
        <v>1407.22</v>
      </c>
      <c r="J493" t="s">
        <v>774</v>
      </c>
      <c r="K493" t="s">
        <v>783</v>
      </c>
      <c r="L493" t="s">
        <v>823</v>
      </c>
      <c r="M493" t="s">
        <v>830</v>
      </c>
      <c r="N493" t="str">
        <f t="shared" si="21"/>
        <v>T-2</v>
      </c>
      <c r="O493">
        <f t="shared" si="22"/>
        <v>2025</v>
      </c>
      <c r="P493" t="str">
        <f t="shared" si="23"/>
        <v>5. mayo</v>
      </c>
    </row>
    <row r="494" spans="1:16" x14ac:dyDescent="0.35">
      <c r="A494">
        <v>487105</v>
      </c>
      <c r="B494" t="s">
        <v>4</v>
      </c>
      <c r="C494" t="s">
        <v>138</v>
      </c>
      <c r="D494" t="s">
        <v>317</v>
      </c>
      <c r="E494" t="s">
        <v>703</v>
      </c>
      <c r="F494" t="s">
        <v>187</v>
      </c>
      <c r="G494" s="1">
        <v>45803</v>
      </c>
      <c r="H494" s="1">
        <v>45803</v>
      </c>
      <c r="I494" s="2">
        <v>1170.71</v>
      </c>
      <c r="J494" t="s">
        <v>774</v>
      </c>
      <c r="K494" t="s">
        <v>783</v>
      </c>
      <c r="L494" t="s">
        <v>823</v>
      </c>
      <c r="M494" t="s">
        <v>828</v>
      </c>
      <c r="N494" t="str">
        <f t="shared" si="21"/>
        <v>T-2</v>
      </c>
      <c r="O494">
        <f t="shared" si="22"/>
        <v>2025</v>
      </c>
      <c r="P494" t="str">
        <f t="shared" si="23"/>
        <v>5. mayo</v>
      </c>
    </row>
    <row r="495" spans="1:16" x14ac:dyDescent="0.35">
      <c r="A495">
        <v>413703</v>
      </c>
      <c r="B495" t="s">
        <v>30</v>
      </c>
      <c r="C495" t="s">
        <v>138</v>
      </c>
      <c r="D495" t="s">
        <v>317</v>
      </c>
      <c r="E495" t="s">
        <v>703</v>
      </c>
      <c r="F495" t="s">
        <v>187</v>
      </c>
      <c r="G495" s="1">
        <v>45803</v>
      </c>
      <c r="H495" s="1">
        <v>45803</v>
      </c>
      <c r="I495" s="2">
        <v>319.29000000000002</v>
      </c>
      <c r="J495" t="s">
        <v>774</v>
      </c>
      <c r="K495" t="s">
        <v>809</v>
      </c>
      <c r="L495" t="s">
        <v>823</v>
      </c>
      <c r="M495" t="s">
        <v>828</v>
      </c>
      <c r="N495" t="str">
        <f t="shared" si="21"/>
        <v>T-2</v>
      </c>
      <c r="O495">
        <f t="shared" si="22"/>
        <v>2025</v>
      </c>
      <c r="P495" t="str">
        <f t="shared" si="23"/>
        <v>5. mayo</v>
      </c>
    </row>
    <row r="496" spans="1:16" x14ac:dyDescent="0.35">
      <c r="A496">
        <v>469226</v>
      </c>
      <c r="B496" t="s">
        <v>85</v>
      </c>
      <c r="C496" t="s">
        <v>138</v>
      </c>
      <c r="D496" t="s">
        <v>167</v>
      </c>
      <c r="E496" t="s">
        <v>717</v>
      </c>
      <c r="F496" t="s">
        <v>773</v>
      </c>
      <c r="G496" s="1">
        <v>46328</v>
      </c>
      <c r="H496" s="1">
        <v>46328</v>
      </c>
      <c r="I496" s="2">
        <v>384.75</v>
      </c>
      <c r="J496" t="s">
        <v>774</v>
      </c>
      <c r="K496" t="s">
        <v>786</v>
      </c>
      <c r="L496" t="s">
        <v>823</v>
      </c>
      <c r="M496" t="s">
        <v>829</v>
      </c>
      <c r="N496" t="str">
        <f t="shared" si="21"/>
        <v>T-4</v>
      </c>
      <c r="O496">
        <f t="shared" si="22"/>
        <v>2026</v>
      </c>
      <c r="P496" t="str">
        <f t="shared" si="23"/>
        <v>11. noviembre</v>
      </c>
    </row>
    <row r="497" spans="1:16" x14ac:dyDescent="0.35">
      <c r="A497">
        <v>707715</v>
      </c>
      <c r="B497" t="s">
        <v>4</v>
      </c>
      <c r="C497" t="s">
        <v>138</v>
      </c>
      <c r="D497" t="s">
        <v>167</v>
      </c>
      <c r="E497" t="s">
        <v>717</v>
      </c>
      <c r="F497" t="s">
        <v>773</v>
      </c>
      <c r="G497" s="1">
        <v>46328</v>
      </c>
      <c r="H497" s="1">
        <v>46328</v>
      </c>
      <c r="I497" s="2">
        <v>384.75</v>
      </c>
      <c r="J497" t="s">
        <v>774</v>
      </c>
      <c r="K497" t="s">
        <v>786</v>
      </c>
      <c r="L497" t="s">
        <v>824</v>
      </c>
      <c r="M497" t="s">
        <v>830</v>
      </c>
      <c r="N497" t="str">
        <f t="shared" si="21"/>
        <v>T-4</v>
      </c>
      <c r="O497">
        <f t="shared" si="22"/>
        <v>2026</v>
      </c>
      <c r="P497" t="str">
        <f t="shared" si="23"/>
        <v>11. noviembre</v>
      </c>
    </row>
    <row r="498" spans="1:16" x14ac:dyDescent="0.35">
      <c r="A498">
        <v>708328</v>
      </c>
      <c r="B498" t="s">
        <v>5</v>
      </c>
      <c r="C498" t="s">
        <v>139</v>
      </c>
      <c r="D498" t="s">
        <v>167</v>
      </c>
      <c r="E498" t="s">
        <v>717</v>
      </c>
      <c r="F498" t="s">
        <v>773</v>
      </c>
      <c r="G498" s="1">
        <v>46328</v>
      </c>
      <c r="H498" s="1">
        <v>46328</v>
      </c>
      <c r="I498" s="2">
        <v>384.75</v>
      </c>
      <c r="J498" t="s">
        <v>774</v>
      </c>
      <c r="K498" t="s">
        <v>786</v>
      </c>
      <c r="L498" t="s">
        <v>823</v>
      </c>
      <c r="M498" t="s">
        <v>830</v>
      </c>
      <c r="N498" t="str">
        <f t="shared" si="21"/>
        <v>T-4</v>
      </c>
      <c r="O498">
        <f t="shared" si="22"/>
        <v>2026</v>
      </c>
      <c r="P498" t="str">
        <f t="shared" si="23"/>
        <v>11. noviembre</v>
      </c>
    </row>
    <row r="499" spans="1:16" x14ac:dyDescent="0.35">
      <c r="A499">
        <v>479206</v>
      </c>
      <c r="B499" t="s">
        <v>5</v>
      </c>
      <c r="C499" t="s">
        <v>138</v>
      </c>
      <c r="D499" t="s">
        <v>167</v>
      </c>
      <c r="E499" t="s">
        <v>717</v>
      </c>
      <c r="F499" t="s">
        <v>773</v>
      </c>
      <c r="G499" s="1">
        <v>46328</v>
      </c>
      <c r="H499" s="1">
        <v>46328</v>
      </c>
      <c r="I499" s="2">
        <v>384.75</v>
      </c>
      <c r="J499" t="s">
        <v>774</v>
      </c>
      <c r="K499" t="s">
        <v>783</v>
      </c>
      <c r="L499" t="s">
        <v>823</v>
      </c>
      <c r="M499" t="s">
        <v>828</v>
      </c>
      <c r="N499" t="str">
        <f t="shared" si="21"/>
        <v>T-4</v>
      </c>
      <c r="O499">
        <f t="shared" si="22"/>
        <v>2026</v>
      </c>
      <c r="P499" t="str">
        <f t="shared" si="23"/>
        <v>11. noviembre</v>
      </c>
    </row>
    <row r="500" spans="1:16" x14ac:dyDescent="0.35">
      <c r="A500">
        <v>720109</v>
      </c>
      <c r="B500" t="s">
        <v>18</v>
      </c>
      <c r="C500" t="s">
        <v>137</v>
      </c>
      <c r="D500" t="s">
        <v>167</v>
      </c>
      <c r="E500" t="s">
        <v>717</v>
      </c>
      <c r="F500" t="s">
        <v>773</v>
      </c>
      <c r="G500" s="1">
        <v>46328</v>
      </c>
      <c r="H500" s="1">
        <v>46328</v>
      </c>
      <c r="I500" s="2">
        <v>384.75</v>
      </c>
      <c r="J500" t="s">
        <v>774</v>
      </c>
      <c r="K500" t="s">
        <v>783</v>
      </c>
      <c r="L500" t="s">
        <v>823</v>
      </c>
      <c r="M500" t="s">
        <v>830</v>
      </c>
      <c r="N500" t="str">
        <f t="shared" si="21"/>
        <v>T-4</v>
      </c>
      <c r="O500">
        <f t="shared" si="22"/>
        <v>2026</v>
      </c>
      <c r="P500" t="str">
        <f t="shared" si="23"/>
        <v>11. noviembre</v>
      </c>
    </row>
    <row r="501" spans="1:16" x14ac:dyDescent="0.35">
      <c r="A501">
        <v>711918</v>
      </c>
      <c r="B501" t="s">
        <v>23</v>
      </c>
      <c r="C501" t="s">
        <v>138</v>
      </c>
      <c r="D501" t="s">
        <v>167</v>
      </c>
      <c r="E501" t="s">
        <v>717</v>
      </c>
      <c r="F501" t="s">
        <v>773</v>
      </c>
      <c r="G501" s="1">
        <v>46328</v>
      </c>
      <c r="H501" s="1">
        <v>46328</v>
      </c>
      <c r="I501" s="2">
        <v>384.75</v>
      </c>
      <c r="J501" t="s">
        <v>774</v>
      </c>
      <c r="K501" t="s">
        <v>809</v>
      </c>
      <c r="L501" t="s">
        <v>823</v>
      </c>
      <c r="M501" t="s">
        <v>829</v>
      </c>
      <c r="N501" t="str">
        <f t="shared" si="21"/>
        <v>T-4</v>
      </c>
      <c r="O501">
        <f t="shared" si="22"/>
        <v>2026</v>
      </c>
      <c r="P501" t="str">
        <f t="shared" si="23"/>
        <v>11. noviembre</v>
      </c>
    </row>
    <row r="502" spans="1:16" x14ac:dyDescent="0.35">
      <c r="A502">
        <v>459305</v>
      </c>
      <c r="B502" t="s">
        <v>5</v>
      </c>
      <c r="C502" t="s">
        <v>138</v>
      </c>
      <c r="D502" t="s">
        <v>167</v>
      </c>
      <c r="E502" t="s">
        <v>717</v>
      </c>
      <c r="F502" t="s">
        <v>773</v>
      </c>
      <c r="G502" s="1">
        <v>46328</v>
      </c>
      <c r="H502" s="1">
        <v>46328</v>
      </c>
      <c r="I502" s="2">
        <v>384.75</v>
      </c>
      <c r="J502" t="s">
        <v>774</v>
      </c>
      <c r="K502" t="s">
        <v>807</v>
      </c>
      <c r="L502" t="s">
        <v>823</v>
      </c>
      <c r="M502" t="s">
        <v>830</v>
      </c>
      <c r="N502" t="str">
        <f t="shared" si="21"/>
        <v>T-4</v>
      </c>
      <c r="O502">
        <f t="shared" si="22"/>
        <v>2026</v>
      </c>
      <c r="P502" t="str">
        <f t="shared" si="23"/>
        <v>11. noviembre</v>
      </c>
    </row>
    <row r="503" spans="1:16" x14ac:dyDescent="0.35">
      <c r="A503">
        <v>720986</v>
      </c>
      <c r="B503" t="s">
        <v>27</v>
      </c>
      <c r="C503" t="s">
        <v>137</v>
      </c>
      <c r="D503" t="s">
        <v>167</v>
      </c>
      <c r="E503" t="s">
        <v>717</v>
      </c>
      <c r="F503" t="s">
        <v>773</v>
      </c>
      <c r="G503" s="1">
        <v>46328</v>
      </c>
      <c r="H503" s="1">
        <v>46328</v>
      </c>
      <c r="I503" s="2">
        <v>384.75</v>
      </c>
      <c r="J503" t="s">
        <v>774</v>
      </c>
      <c r="K503" t="s">
        <v>807</v>
      </c>
      <c r="L503" t="s">
        <v>823</v>
      </c>
      <c r="M503" t="s">
        <v>830</v>
      </c>
      <c r="N503" t="str">
        <f t="shared" si="21"/>
        <v>T-4</v>
      </c>
      <c r="O503">
        <f t="shared" si="22"/>
        <v>2026</v>
      </c>
      <c r="P503" t="str">
        <f t="shared" si="23"/>
        <v>11. noviembre</v>
      </c>
    </row>
    <row r="504" spans="1:16" x14ac:dyDescent="0.35">
      <c r="A504">
        <v>718173</v>
      </c>
      <c r="B504" t="s">
        <v>63</v>
      </c>
      <c r="C504" t="s">
        <v>136</v>
      </c>
      <c r="D504" t="s">
        <v>167</v>
      </c>
      <c r="E504" t="s">
        <v>717</v>
      </c>
      <c r="F504" t="s">
        <v>773</v>
      </c>
      <c r="G504" s="1">
        <v>46328</v>
      </c>
      <c r="H504" s="1">
        <v>46328</v>
      </c>
      <c r="I504" s="2">
        <v>384.75</v>
      </c>
      <c r="J504" t="s">
        <v>774</v>
      </c>
      <c r="K504" t="s">
        <v>807</v>
      </c>
      <c r="L504" t="s">
        <v>823</v>
      </c>
      <c r="M504" t="s">
        <v>828</v>
      </c>
      <c r="N504" t="str">
        <f t="shared" si="21"/>
        <v>T-4</v>
      </c>
      <c r="O504">
        <f t="shared" si="22"/>
        <v>2026</v>
      </c>
      <c r="P504" t="str">
        <f t="shared" si="23"/>
        <v>11. noviembre</v>
      </c>
    </row>
    <row r="505" spans="1:16" x14ac:dyDescent="0.35">
      <c r="A505">
        <v>607809</v>
      </c>
      <c r="B505" t="s">
        <v>13</v>
      </c>
      <c r="C505" t="s">
        <v>136</v>
      </c>
      <c r="D505" t="s">
        <v>167</v>
      </c>
      <c r="E505" t="s">
        <v>717</v>
      </c>
      <c r="F505" t="s">
        <v>773</v>
      </c>
      <c r="G505" s="1">
        <v>46267</v>
      </c>
      <c r="H505" s="1">
        <v>46267</v>
      </c>
      <c r="I505" s="2">
        <v>384.75</v>
      </c>
      <c r="J505" t="s">
        <v>774</v>
      </c>
      <c r="K505" t="s">
        <v>807</v>
      </c>
      <c r="L505" t="s">
        <v>824</v>
      </c>
      <c r="M505" t="s">
        <v>828</v>
      </c>
      <c r="N505" t="str">
        <f t="shared" si="21"/>
        <v>T-3</v>
      </c>
      <c r="O505">
        <f t="shared" si="22"/>
        <v>2026</v>
      </c>
      <c r="P505" t="str">
        <f t="shared" si="23"/>
        <v>9. septiembre</v>
      </c>
    </row>
    <row r="506" spans="1:16" x14ac:dyDescent="0.35">
      <c r="A506">
        <v>718577</v>
      </c>
      <c r="B506" t="s">
        <v>32</v>
      </c>
      <c r="C506" t="s">
        <v>138</v>
      </c>
      <c r="D506" t="s">
        <v>167</v>
      </c>
      <c r="E506" t="s">
        <v>717</v>
      </c>
      <c r="F506" t="s">
        <v>773</v>
      </c>
      <c r="G506" s="1">
        <v>46267</v>
      </c>
      <c r="H506" s="1">
        <v>46267</v>
      </c>
      <c r="I506" s="2">
        <v>384.75</v>
      </c>
      <c r="J506" t="s">
        <v>774</v>
      </c>
      <c r="K506" t="s">
        <v>796</v>
      </c>
      <c r="L506" t="s">
        <v>823</v>
      </c>
      <c r="M506" t="s">
        <v>830</v>
      </c>
      <c r="N506" t="str">
        <f t="shared" si="21"/>
        <v>T-3</v>
      </c>
      <c r="O506">
        <f t="shared" si="22"/>
        <v>2026</v>
      </c>
      <c r="P506" t="str">
        <f t="shared" si="23"/>
        <v>9. septiembre</v>
      </c>
    </row>
    <row r="507" spans="1:16" x14ac:dyDescent="0.35">
      <c r="A507">
        <v>402476</v>
      </c>
      <c r="B507" t="s">
        <v>5</v>
      </c>
      <c r="C507" t="s">
        <v>138</v>
      </c>
      <c r="D507" t="s">
        <v>167</v>
      </c>
      <c r="E507" t="s">
        <v>717</v>
      </c>
      <c r="F507" t="s">
        <v>773</v>
      </c>
      <c r="G507" s="1">
        <v>46267</v>
      </c>
      <c r="H507" s="1">
        <v>46267</v>
      </c>
      <c r="I507" s="2">
        <v>384.75</v>
      </c>
      <c r="J507" t="s">
        <v>774</v>
      </c>
      <c r="K507" t="s">
        <v>810</v>
      </c>
      <c r="L507" t="s">
        <v>823</v>
      </c>
      <c r="M507" t="s">
        <v>829</v>
      </c>
      <c r="N507" t="str">
        <f t="shared" si="21"/>
        <v>T-3</v>
      </c>
      <c r="O507">
        <f t="shared" si="22"/>
        <v>2026</v>
      </c>
      <c r="P507" t="str">
        <f t="shared" si="23"/>
        <v>9. septiembre</v>
      </c>
    </row>
    <row r="508" spans="1:16" x14ac:dyDescent="0.35">
      <c r="A508">
        <v>716553</v>
      </c>
      <c r="B508" t="s">
        <v>15</v>
      </c>
      <c r="C508" t="s">
        <v>136</v>
      </c>
      <c r="D508" t="s">
        <v>183</v>
      </c>
      <c r="E508" t="s">
        <v>703</v>
      </c>
      <c r="F508" t="s">
        <v>187</v>
      </c>
      <c r="G508" s="1">
        <v>45796</v>
      </c>
      <c r="H508" s="1">
        <v>45796</v>
      </c>
      <c r="I508" s="2">
        <v>812.73</v>
      </c>
      <c r="J508" t="s">
        <v>774</v>
      </c>
      <c r="K508" t="s">
        <v>807</v>
      </c>
      <c r="L508" t="s">
        <v>823</v>
      </c>
      <c r="M508" t="s">
        <v>830</v>
      </c>
      <c r="N508" t="str">
        <f t="shared" si="21"/>
        <v>T-2</v>
      </c>
      <c r="O508">
        <f t="shared" si="22"/>
        <v>2025</v>
      </c>
      <c r="P508" t="str">
        <f t="shared" si="23"/>
        <v>5. mayo</v>
      </c>
    </row>
    <row r="509" spans="1:16" x14ac:dyDescent="0.35">
      <c r="A509">
        <v>567510</v>
      </c>
      <c r="B509" t="s">
        <v>20</v>
      </c>
      <c r="C509" t="s">
        <v>136</v>
      </c>
      <c r="D509" t="s">
        <v>183</v>
      </c>
      <c r="E509" t="s">
        <v>703</v>
      </c>
      <c r="F509" t="s">
        <v>187</v>
      </c>
      <c r="G509" s="1">
        <v>45796</v>
      </c>
      <c r="H509" s="1">
        <v>45796</v>
      </c>
      <c r="I509" s="2">
        <v>677.27</v>
      </c>
      <c r="J509" t="s">
        <v>774</v>
      </c>
      <c r="K509" t="s">
        <v>807</v>
      </c>
      <c r="L509" t="s">
        <v>823</v>
      </c>
      <c r="M509" t="s">
        <v>830</v>
      </c>
      <c r="N509" t="str">
        <f t="shared" si="21"/>
        <v>T-2</v>
      </c>
      <c r="O509">
        <f t="shared" si="22"/>
        <v>2025</v>
      </c>
      <c r="P509" t="str">
        <f t="shared" si="23"/>
        <v>5. mayo</v>
      </c>
    </row>
    <row r="510" spans="1:16" x14ac:dyDescent="0.35">
      <c r="A510">
        <v>601333</v>
      </c>
      <c r="B510" t="s">
        <v>13</v>
      </c>
      <c r="C510" t="s">
        <v>136</v>
      </c>
      <c r="D510" t="s">
        <v>332</v>
      </c>
      <c r="E510" t="s">
        <v>703</v>
      </c>
      <c r="F510" t="s">
        <v>187</v>
      </c>
      <c r="G510" s="1">
        <v>45797</v>
      </c>
      <c r="H510" s="1">
        <v>45799</v>
      </c>
      <c r="I510" s="2">
        <v>2438.1799999999998</v>
      </c>
      <c r="J510" t="s">
        <v>774</v>
      </c>
      <c r="K510" t="s">
        <v>807</v>
      </c>
      <c r="L510" t="s">
        <v>823</v>
      </c>
      <c r="M510" t="s">
        <v>828</v>
      </c>
      <c r="N510" t="str">
        <f t="shared" si="21"/>
        <v>T-2</v>
      </c>
      <c r="O510">
        <f t="shared" si="22"/>
        <v>2025</v>
      </c>
      <c r="P510" t="str">
        <f t="shared" si="23"/>
        <v>5. mayo</v>
      </c>
    </row>
    <row r="511" spans="1:16" x14ac:dyDescent="0.35">
      <c r="A511">
        <v>565261</v>
      </c>
      <c r="B511" t="s">
        <v>5</v>
      </c>
      <c r="C511" t="s">
        <v>137</v>
      </c>
      <c r="D511" t="s">
        <v>332</v>
      </c>
      <c r="E511" t="s">
        <v>703</v>
      </c>
      <c r="F511" t="s">
        <v>187</v>
      </c>
      <c r="G511" s="1">
        <v>45797</v>
      </c>
      <c r="H511" s="1">
        <v>45799</v>
      </c>
      <c r="I511" s="2">
        <v>2031.82</v>
      </c>
      <c r="J511" t="s">
        <v>774</v>
      </c>
      <c r="K511" t="s">
        <v>796</v>
      </c>
      <c r="L511" t="s">
        <v>824</v>
      </c>
      <c r="M511" t="s">
        <v>828</v>
      </c>
      <c r="N511" t="str">
        <f t="shared" si="21"/>
        <v>T-2</v>
      </c>
      <c r="O511">
        <f t="shared" si="22"/>
        <v>2025</v>
      </c>
      <c r="P511" t="str">
        <f t="shared" si="23"/>
        <v>5. mayo</v>
      </c>
    </row>
    <row r="512" spans="1:16" x14ac:dyDescent="0.35">
      <c r="A512">
        <v>722550</v>
      </c>
      <c r="B512" t="s">
        <v>30</v>
      </c>
      <c r="C512" t="s">
        <v>137</v>
      </c>
      <c r="D512" t="s">
        <v>331</v>
      </c>
      <c r="E512" t="s">
        <v>703</v>
      </c>
      <c r="F512" t="s">
        <v>187</v>
      </c>
      <c r="G512" s="1">
        <v>45800</v>
      </c>
      <c r="H512" s="1">
        <v>45800</v>
      </c>
      <c r="I512" s="2">
        <v>812.73</v>
      </c>
      <c r="J512" t="s">
        <v>774</v>
      </c>
      <c r="K512" t="s">
        <v>785</v>
      </c>
      <c r="L512" t="s">
        <v>823</v>
      </c>
      <c r="M512" t="s">
        <v>829</v>
      </c>
      <c r="N512" t="str">
        <f t="shared" si="21"/>
        <v>T-2</v>
      </c>
      <c r="O512">
        <f t="shared" si="22"/>
        <v>2025</v>
      </c>
      <c r="P512" t="str">
        <f t="shared" si="23"/>
        <v>5. mayo</v>
      </c>
    </row>
    <row r="513" spans="1:16" x14ac:dyDescent="0.35">
      <c r="A513">
        <v>706648</v>
      </c>
      <c r="B513" t="s">
        <v>71</v>
      </c>
      <c r="C513" t="s">
        <v>138</v>
      </c>
      <c r="D513" t="s">
        <v>331</v>
      </c>
      <c r="E513" t="s">
        <v>703</v>
      </c>
      <c r="F513" t="s">
        <v>187</v>
      </c>
      <c r="G513" s="1">
        <v>45800</v>
      </c>
      <c r="H513" s="1">
        <v>45800</v>
      </c>
      <c r="I513" s="2">
        <v>677.27</v>
      </c>
      <c r="J513" t="s">
        <v>774</v>
      </c>
      <c r="K513" t="s">
        <v>783</v>
      </c>
      <c r="L513" t="s">
        <v>823</v>
      </c>
      <c r="M513" t="s">
        <v>830</v>
      </c>
      <c r="N513" t="str">
        <f t="shared" si="21"/>
        <v>T-2</v>
      </c>
      <c r="O513">
        <f t="shared" si="22"/>
        <v>2025</v>
      </c>
      <c r="P513" t="str">
        <f t="shared" si="23"/>
        <v>5. mayo</v>
      </c>
    </row>
    <row r="514" spans="1:16" x14ac:dyDescent="0.35">
      <c r="A514">
        <v>716395</v>
      </c>
      <c r="B514" t="s">
        <v>2</v>
      </c>
      <c r="C514" t="s">
        <v>137</v>
      </c>
      <c r="D514" t="s">
        <v>373</v>
      </c>
      <c r="E514" t="s">
        <v>703</v>
      </c>
      <c r="F514" t="s">
        <v>187</v>
      </c>
      <c r="G514" s="1">
        <v>45803</v>
      </c>
      <c r="H514" s="1">
        <v>45803</v>
      </c>
      <c r="I514" s="2">
        <v>812.73</v>
      </c>
      <c r="J514" t="s">
        <v>774</v>
      </c>
      <c r="K514" t="s">
        <v>804</v>
      </c>
      <c r="L514" t="s">
        <v>823</v>
      </c>
      <c r="M514" t="s">
        <v>830</v>
      </c>
      <c r="N514" t="str">
        <f t="shared" si="21"/>
        <v>T-2</v>
      </c>
      <c r="O514">
        <f t="shared" si="22"/>
        <v>2025</v>
      </c>
      <c r="P514" t="str">
        <f t="shared" si="23"/>
        <v>5. mayo</v>
      </c>
    </row>
    <row r="515" spans="1:16" x14ac:dyDescent="0.35">
      <c r="A515">
        <v>420565</v>
      </c>
      <c r="B515" t="s">
        <v>33</v>
      </c>
      <c r="C515" t="s">
        <v>136</v>
      </c>
      <c r="D515" t="s">
        <v>373</v>
      </c>
      <c r="E515" t="s">
        <v>703</v>
      </c>
      <c r="F515" t="s">
        <v>187</v>
      </c>
      <c r="G515" s="1">
        <v>45803</v>
      </c>
      <c r="H515" s="1">
        <v>45803</v>
      </c>
      <c r="I515" s="2">
        <v>677.27</v>
      </c>
      <c r="J515" t="s">
        <v>774</v>
      </c>
      <c r="K515" t="s">
        <v>783</v>
      </c>
      <c r="L515" t="s">
        <v>823</v>
      </c>
      <c r="M515" t="s">
        <v>828</v>
      </c>
      <c r="N515" t="str">
        <f t="shared" ref="N515:N578" si="24">"T-" &amp; ROUNDUP((MONTH(G515)/3), 0)</f>
        <v>T-2</v>
      </c>
      <c r="O515">
        <f t="shared" ref="O515:O578" si="25">YEAR(G515)</f>
        <v>2025</v>
      </c>
      <c r="P515" t="str">
        <f t="shared" ref="P515:P578" si="26">MONTH(G515) &amp; ". " &amp; TEXT(G515, "MMMM")</f>
        <v>5. mayo</v>
      </c>
    </row>
    <row r="516" spans="1:16" x14ac:dyDescent="0.35">
      <c r="A516">
        <v>597322</v>
      </c>
      <c r="B516" t="s">
        <v>86</v>
      </c>
      <c r="C516" t="s">
        <v>138</v>
      </c>
      <c r="D516" t="s">
        <v>374</v>
      </c>
      <c r="E516" t="s">
        <v>674</v>
      </c>
      <c r="F516" t="s">
        <v>187</v>
      </c>
      <c r="G516" s="1">
        <v>45806</v>
      </c>
      <c r="H516" s="1">
        <v>45806</v>
      </c>
      <c r="I516" s="2">
        <v>1450</v>
      </c>
      <c r="J516" t="s">
        <v>777</v>
      </c>
      <c r="K516" t="s">
        <v>785</v>
      </c>
      <c r="L516" t="s">
        <v>823</v>
      </c>
      <c r="M516" t="s">
        <v>830</v>
      </c>
      <c r="N516" t="str">
        <f t="shared" si="24"/>
        <v>T-2</v>
      </c>
      <c r="O516">
        <f t="shared" si="25"/>
        <v>2025</v>
      </c>
      <c r="P516" t="str">
        <f t="shared" si="26"/>
        <v>5. mayo</v>
      </c>
    </row>
    <row r="517" spans="1:16" x14ac:dyDescent="0.35">
      <c r="A517">
        <v>410956</v>
      </c>
      <c r="B517" t="s">
        <v>87</v>
      </c>
      <c r="C517" t="s">
        <v>138</v>
      </c>
      <c r="D517" t="s">
        <v>167</v>
      </c>
      <c r="E517" t="s">
        <v>717</v>
      </c>
      <c r="F517" t="s">
        <v>773</v>
      </c>
      <c r="G517" s="1">
        <v>45988</v>
      </c>
      <c r="H517" s="1">
        <v>45988</v>
      </c>
      <c r="I517" s="2">
        <v>384.75</v>
      </c>
      <c r="J517" t="s">
        <v>774</v>
      </c>
      <c r="K517" t="s">
        <v>783</v>
      </c>
      <c r="L517" t="s">
        <v>823</v>
      </c>
      <c r="M517" t="s">
        <v>829</v>
      </c>
      <c r="N517" t="str">
        <f t="shared" si="24"/>
        <v>T-4</v>
      </c>
      <c r="O517">
        <f t="shared" si="25"/>
        <v>2025</v>
      </c>
      <c r="P517" t="str">
        <f t="shared" si="26"/>
        <v>11. noviembre</v>
      </c>
    </row>
    <row r="518" spans="1:16" x14ac:dyDescent="0.35">
      <c r="A518">
        <v>405273</v>
      </c>
      <c r="B518" t="s">
        <v>75</v>
      </c>
      <c r="C518" t="s">
        <v>139</v>
      </c>
      <c r="D518" t="s">
        <v>167</v>
      </c>
      <c r="E518" t="s">
        <v>717</v>
      </c>
      <c r="F518" t="s">
        <v>773</v>
      </c>
      <c r="G518" s="1">
        <v>45988</v>
      </c>
      <c r="H518" s="1">
        <v>45988</v>
      </c>
      <c r="I518" s="2">
        <v>384.75</v>
      </c>
      <c r="J518" t="s">
        <v>774</v>
      </c>
      <c r="K518" t="s">
        <v>783</v>
      </c>
      <c r="L518" t="s">
        <v>824</v>
      </c>
      <c r="M518" t="s">
        <v>830</v>
      </c>
      <c r="N518" t="str">
        <f t="shared" si="24"/>
        <v>T-4</v>
      </c>
      <c r="O518">
        <f t="shared" si="25"/>
        <v>2025</v>
      </c>
      <c r="P518" t="str">
        <f t="shared" si="26"/>
        <v>11. noviembre</v>
      </c>
    </row>
    <row r="519" spans="1:16" x14ac:dyDescent="0.35">
      <c r="A519">
        <v>413408</v>
      </c>
      <c r="B519" t="s">
        <v>4</v>
      </c>
      <c r="C519" t="s">
        <v>138</v>
      </c>
      <c r="D519" t="s">
        <v>167</v>
      </c>
      <c r="E519" t="s">
        <v>717</v>
      </c>
      <c r="F519" t="s">
        <v>773</v>
      </c>
      <c r="G519" s="1">
        <v>45988</v>
      </c>
      <c r="H519" s="1">
        <v>45988</v>
      </c>
      <c r="I519" s="2">
        <v>384.75</v>
      </c>
      <c r="J519" t="s">
        <v>774</v>
      </c>
      <c r="K519" t="s">
        <v>783</v>
      </c>
      <c r="L519" t="s">
        <v>823</v>
      </c>
      <c r="M519" t="s">
        <v>830</v>
      </c>
      <c r="N519" t="str">
        <f t="shared" si="24"/>
        <v>T-4</v>
      </c>
      <c r="O519">
        <f t="shared" si="25"/>
        <v>2025</v>
      </c>
      <c r="P519" t="str">
        <f t="shared" si="26"/>
        <v>11. noviembre</v>
      </c>
    </row>
    <row r="520" spans="1:16" x14ac:dyDescent="0.35">
      <c r="A520">
        <v>470310</v>
      </c>
      <c r="B520" t="s">
        <v>4</v>
      </c>
      <c r="C520" t="s">
        <v>138</v>
      </c>
      <c r="D520" t="s">
        <v>167</v>
      </c>
      <c r="E520" t="s">
        <v>717</v>
      </c>
      <c r="F520" t="s">
        <v>773</v>
      </c>
      <c r="G520" s="1">
        <v>45988</v>
      </c>
      <c r="H520" s="1">
        <v>45988</v>
      </c>
      <c r="I520" s="2">
        <v>384.75</v>
      </c>
      <c r="J520" t="s">
        <v>774</v>
      </c>
      <c r="K520" t="s">
        <v>783</v>
      </c>
      <c r="L520" t="s">
        <v>823</v>
      </c>
      <c r="M520" t="s">
        <v>828</v>
      </c>
      <c r="N520" t="str">
        <f t="shared" si="24"/>
        <v>T-4</v>
      </c>
      <c r="O520">
        <f t="shared" si="25"/>
        <v>2025</v>
      </c>
      <c r="P520" t="str">
        <f t="shared" si="26"/>
        <v>11. noviembre</v>
      </c>
    </row>
    <row r="521" spans="1:16" x14ac:dyDescent="0.35">
      <c r="A521">
        <v>719966</v>
      </c>
      <c r="B521" t="s">
        <v>88</v>
      </c>
      <c r="C521" t="s">
        <v>140</v>
      </c>
      <c r="D521" t="s">
        <v>167</v>
      </c>
      <c r="E521" t="s">
        <v>717</v>
      </c>
      <c r="F521" t="s">
        <v>773</v>
      </c>
      <c r="G521" s="1">
        <v>45988</v>
      </c>
      <c r="H521" s="1">
        <v>45988</v>
      </c>
      <c r="I521" s="2">
        <v>384.75</v>
      </c>
      <c r="J521" t="s">
        <v>774</v>
      </c>
      <c r="K521" t="s">
        <v>783</v>
      </c>
      <c r="L521" t="s">
        <v>823</v>
      </c>
      <c r="M521" t="s">
        <v>828</v>
      </c>
      <c r="N521" t="str">
        <f t="shared" si="24"/>
        <v>T-4</v>
      </c>
      <c r="O521">
        <f t="shared" si="25"/>
        <v>2025</v>
      </c>
      <c r="P521" t="str">
        <f t="shared" si="26"/>
        <v>11. noviembre</v>
      </c>
    </row>
    <row r="522" spans="1:16" x14ac:dyDescent="0.35">
      <c r="A522">
        <v>713564</v>
      </c>
      <c r="B522" t="s">
        <v>23</v>
      </c>
      <c r="C522" t="s">
        <v>138</v>
      </c>
      <c r="D522" t="s">
        <v>167</v>
      </c>
      <c r="E522" t="s">
        <v>717</v>
      </c>
      <c r="F522" t="s">
        <v>773</v>
      </c>
      <c r="G522" s="1">
        <v>45988</v>
      </c>
      <c r="H522" s="1">
        <v>45988</v>
      </c>
      <c r="I522" s="2">
        <v>384.75</v>
      </c>
      <c r="J522" t="s">
        <v>774</v>
      </c>
      <c r="K522" t="s">
        <v>783</v>
      </c>
      <c r="L522" t="s">
        <v>823</v>
      </c>
      <c r="M522" t="s">
        <v>830</v>
      </c>
      <c r="N522" t="str">
        <f t="shared" si="24"/>
        <v>T-4</v>
      </c>
      <c r="O522">
        <f t="shared" si="25"/>
        <v>2025</v>
      </c>
      <c r="P522" t="str">
        <f t="shared" si="26"/>
        <v>11. noviembre</v>
      </c>
    </row>
    <row r="523" spans="1:16" x14ac:dyDescent="0.35">
      <c r="A523">
        <v>604092</v>
      </c>
      <c r="B523" t="s">
        <v>13</v>
      </c>
      <c r="C523" t="s">
        <v>138</v>
      </c>
      <c r="D523" t="s">
        <v>167</v>
      </c>
      <c r="E523" t="s">
        <v>717</v>
      </c>
      <c r="F523" t="s">
        <v>773</v>
      </c>
      <c r="G523" s="1">
        <v>45988</v>
      </c>
      <c r="H523" s="1">
        <v>45988</v>
      </c>
      <c r="I523" s="2">
        <v>384.75</v>
      </c>
      <c r="J523" t="s">
        <v>774</v>
      </c>
      <c r="K523" t="s">
        <v>783</v>
      </c>
      <c r="L523" t="s">
        <v>823</v>
      </c>
      <c r="M523" t="s">
        <v>829</v>
      </c>
      <c r="N523" t="str">
        <f t="shared" si="24"/>
        <v>T-4</v>
      </c>
      <c r="O523">
        <f t="shared" si="25"/>
        <v>2025</v>
      </c>
      <c r="P523" t="str">
        <f t="shared" si="26"/>
        <v>11. noviembre</v>
      </c>
    </row>
    <row r="524" spans="1:16" x14ac:dyDescent="0.35">
      <c r="A524">
        <v>419724</v>
      </c>
      <c r="B524" t="s">
        <v>4</v>
      </c>
      <c r="C524" t="s">
        <v>138</v>
      </c>
      <c r="D524" t="s">
        <v>167</v>
      </c>
      <c r="E524" t="s">
        <v>717</v>
      </c>
      <c r="F524" t="s">
        <v>773</v>
      </c>
      <c r="G524" s="1">
        <v>45988</v>
      </c>
      <c r="H524" s="1">
        <v>45988</v>
      </c>
      <c r="I524" s="2">
        <v>384.75</v>
      </c>
      <c r="J524" t="s">
        <v>774</v>
      </c>
      <c r="K524" t="s">
        <v>783</v>
      </c>
      <c r="L524" t="s">
        <v>823</v>
      </c>
      <c r="M524" t="s">
        <v>830</v>
      </c>
      <c r="N524" t="str">
        <f t="shared" si="24"/>
        <v>T-4</v>
      </c>
      <c r="O524">
        <f t="shared" si="25"/>
        <v>2025</v>
      </c>
      <c r="P524" t="str">
        <f t="shared" si="26"/>
        <v>11. noviembre</v>
      </c>
    </row>
    <row r="525" spans="1:16" x14ac:dyDescent="0.35">
      <c r="A525">
        <v>448135</v>
      </c>
      <c r="B525" t="s">
        <v>30</v>
      </c>
      <c r="C525" t="s">
        <v>138</v>
      </c>
      <c r="D525" t="s">
        <v>167</v>
      </c>
      <c r="E525" t="s">
        <v>717</v>
      </c>
      <c r="F525" t="s">
        <v>773</v>
      </c>
      <c r="G525" s="1">
        <v>45988</v>
      </c>
      <c r="H525" s="1">
        <v>45988</v>
      </c>
      <c r="I525" s="2">
        <v>384.75</v>
      </c>
      <c r="J525" t="s">
        <v>774</v>
      </c>
      <c r="K525" t="s">
        <v>783</v>
      </c>
      <c r="L525" t="s">
        <v>823</v>
      </c>
      <c r="M525" t="s">
        <v>830</v>
      </c>
      <c r="N525" t="str">
        <f t="shared" si="24"/>
        <v>T-4</v>
      </c>
      <c r="O525">
        <f t="shared" si="25"/>
        <v>2025</v>
      </c>
      <c r="P525" t="str">
        <f t="shared" si="26"/>
        <v>11. noviembre</v>
      </c>
    </row>
    <row r="526" spans="1:16" x14ac:dyDescent="0.35">
      <c r="A526">
        <v>721028</v>
      </c>
      <c r="B526" t="s">
        <v>25</v>
      </c>
      <c r="C526" t="s">
        <v>137</v>
      </c>
      <c r="D526" t="s">
        <v>167</v>
      </c>
      <c r="E526" t="s">
        <v>717</v>
      </c>
      <c r="F526" t="s">
        <v>773</v>
      </c>
      <c r="G526" s="1">
        <v>45988</v>
      </c>
      <c r="H526" s="1">
        <v>45988</v>
      </c>
      <c r="I526" s="2">
        <v>384.75</v>
      </c>
      <c r="J526" t="s">
        <v>774</v>
      </c>
      <c r="K526" t="s">
        <v>783</v>
      </c>
      <c r="L526" t="s">
        <v>824</v>
      </c>
      <c r="M526" t="s">
        <v>828</v>
      </c>
      <c r="N526" t="str">
        <f t="shared" si="24"/>
        <v>T-4</v>
      </c>
      <c r="O526">
        <f t="shared" si="25"/>
        <v>2025</v>
      </c>
      <c r="P526" t="str">
        <f t="shared" si="26"/>
        <v>11. noviembre</v>
      </c>
    </row>
    <row r="527" spans="1:16" x14ac:dyDescent="0.35">
      <c r="A527">
        <v>476731</v>
      </c>
      <c r="B527" t="s">
        <v>5</v>
      </c>
      <c r="C527" t="s">
        <v>139</v>
      </c>
      <c r="D527" t="s">
        <v>375</v>
      </c>
      <c r="E527" t="s">
        <v>669</v>
      </c>
      <c r="F527" t="s">
        <v>187</v>
      </c>
      <c r="G527" s="1">
        <v>45818</v>
      </c>
      <c r="H527" s="1">
        <v>45819</v>
      </c>
      <c r="I527" s="2">
        <v>2975</v>
      </c>
      <c r="J527" t="s">
        <v>779</v>
      </c>
      <c r="K527" t="s">
        <v>783</v>
      </c>
      <c r="L527" t="s">
        <v>823</v>
      </c>
      <c r="M527" t="s">
        <v>828</v>
      </c>
      <c r="N527" t="str">
        <f t="shared" si="24"/>
        <v>T-2</v>
      </c>
      <c r="O527">
        <f t="shared" si="25"/>
        <v>2025</v>
      </c>
      <c r="P527" t="str">
        <f t="shared" si="26"/>
        <v>6. junio</v>
      </c>
    </row>
    <row r="528" spans="1:16" x14ac:dyDescent="0.35">
      <c r="A528">
        <v>507193</v>
      </c>
      <c r="B528" t="s">
        <v>5</v>
      </c>
      <c r="C528" t="s">
        <v>138</v>
      </c>
      <c r="D528" t="s">
        <v>376</v>
      </c>
      <c r="E528" t="s">
        <v>721</v>
      </c>
      <c r="F528" t="s">
        <v>187</v>
      </c>
      <c r="G528" s="1">
        <v>45929</v>
      </c>
      <c r="H528" s="1">
        <v>45933</v>
      </c>
      <c r="I528" s="2">
        <v>2945</v>
      </c>
      <c r="J528" t="s">
        <v>774</v>
      </c>
      <c r="K528" t="s">
        <v>783</v>
      </c>
      <c r="L528" t="s">
        <v>823</v>
      </c>
      <c r="M528" t="s">
        <v>829</v>
      </c>
      <c r="N528" t="str">
        <f t="shared" si="24"/>
        <v>T-3</v>
      </c>
      <c r="O528">
        <f t="shared" si="25"/>
        <v>2025</v>
      </c>
      <c r="P528" t="str">
        <f t="shared" si="26"/>
        <v>9. septiembre</v>
      </c>
    </row>
    <row r="529" spans="1:16" x14ac:dyDescent="0.35">
      <c r="A529">
        <v>111095</v>
      </c>
      <c r="B529" t="s">
        <v>11</v>
      </c>
      <c r="C529" t="s">
        <v>140</v>
      </c>
      <c r="D529" t="s">
        <v>377</v>
      </c>
      <c r="E529" t="s">
        <v>722</v>
      </c>
      <c r="F529" t="s">
        <v>187</v>
      </c>
      <c r="G529" s="1">
        <v>45758</v>
      </c>
      <c r="H529" s="1">
        <v>45807</v>
      </c>
      <c r="I529" s="2">
        <v>949</v>
      </c>
      <c r="J529" t="s">
        <v>778</v>
      </c>
      <c r="K529" t="s">
        <v>785</v>
      </c>
      <c r="L529" t="s">
        <v>823</v>
      </c>
      <c r="M529" t="s">
        <v>830</v>
      </c>
      <c r="N529" t="str">
        <f t="shared" si="24"/>
        <v>T-2</v>
      </c>
      <c r="O529">
        <f t="shared" si="25"/>
        <v>2025</v>
      </c>
      <c r="P529" t="str">
        <f t="shared" si="26"/>
        <v>4. abril</v>
      </c>
    </row>
    <row r="530" spans="1:16" x14ac:dyDescent="0.35">
      <c r="A530">
        <v>713822</v>
      </c>
      <c r="B530" t="s">
        <v>4</v>
      </c>
      <c r="C530" t="s">
        <v>136</v>
      </c>
      <c r="D530" t="s">
        <v>197</v>
      </c>
      <c r="E530" t="s">
        <v>647</v>
      </c>
      <c r="F530" t="s">
        <v>187</v>
      </c>
      <c r="G530" s="1">
        <v>45805</v>
      </c>
      <c r="H530" s="1">
        <v>45806</v>
      </c>
      <c r="I530" s="2">
        <v>2450</v>
      </c>
      <c r="J530" t="s">
        <v>774</v>
      </c>
      <c r="K530" t="s">
        <v>783</v>
      </c>
      <c r="L530" t="s">
        <v>823</v>
      </c>
      <c r="M530" t="s">
        <v>830</v>
      </c>
      <c r="N530" t="str">
        <f t="shared" si="24"/>
        <v>T-2</v>
      </c>
      <c r="O530">
        <f t="shared" si="25"/>
        <v>2025</v>
      </c>
      <c r="P530" t="str">
        <f t="shared" si="26"/>
        <v>5. mayo</v>
      </c>
    </row>
    <row r="531" spans="1:16" x14ac:dyDescent="0.35">
      <c r="A531">
        <v>589291</v>
      </c>
      <c r="B531" t="s">
        <v>27</v>
      </c>
      <c r="C531" t="s">
        <v>138</v>
      </c>
      <c r="D531" t="s">
        <v>197</v>
      </c>
      <c r="E531" t="s">
        <v>647</v>
      </c>
      <c r="F531" t="s">
        <v>187</v>
      </c>
      <c r="G531" s="1">
        <v>45805</v>
      </c>
      <c r="H531" s="1">
        <v>45806</v>
      </c>
      <c r="I531" s="2">
        <v>350</v>
      </c>
      <c r="J531" t="s">
        <v>774</v>
      </c>
      <c r="K531" t="s">
        <v>790</v>
      </c>
      <c r="L531" t="s">
        <v>823</v>
      </c>
      <c r="M531" t="s">
        <v>828</v>
      </c>
      <c r="N531" t="str">
        <f t="shared" si="24"/>
        <v>T-2</v>
      </c>
      <c r="O531">
        <f t="shared" si="25"/>
        <v>2025</v>
      </c>
      <c r="P531" t="str">
        <f t="shared" si="26"/>
        <v>5. mayo</v>
      </c>
    </row>
    <row r="532" spans="1:16" x14ac:dyDescent="0.35">
      <c r="A532">
        <v>560105</v>
      </c>
      <c r="B532" t="s">
        <v>5</v>
      </c>
      <c r="C532" t="s">
        <v>138</v>
      </c>
      <c r="D532" t="s">
        <v>373</v>
      </c>
      <c r="E532" t="s">
        <v>703</v>
      </c>
      <c r="F532" t="s">
        <v>187</v>
      </c>
      <c r="G532" s="1">
        <v>45807</v>
      </c>
      <c r="H532" s="1">
        <v>45807</v>
      </c>
      <c r="I532" s="2">
        <v>1333.16</v>
      </c>
      <c r="J532" t="s">
        <v>774</v>
      </c>
      <c r="K532" t="s">
        <v>786</v>
      </c>
      <c r="L532" t="s">
        <v>824</v>
      </c>
      <c r="M532" t="s">
        <v>830</v>
      </c>
      <c r="N532" t="str">
        <f t="shared" si="24"/>
        <v>T-2</v>
      </c>
      <c r="O532">
        <f t="shared" si="25"/>
        <v>2025</v>
      </c>
      <c r="P532" t="str">
        <f t="shared" si="26"/>
        <v>5. mayo</v>
      </c>
    </row>
    <row r="533" spans="1:16" x14ac:dyDescent="0.35">
      <c r="A533">
        <v>751995</v>
      </c>
      <c r="B533" t="s">
        <v>31</v>
      </c>
      <c r="C533" t="s">
        <v>137</v>
      </c>
      <c r="D533" t="s">
        <v>330</v>
      </c>
      <c r="E533" t="s">
        <v>703</v>
      </c>
      <c r="F533" t="s">
        <v>187</v>
      </c>
      <c r="G533" s="1">
        <v>45804</v>
      </c>
      <c r="H533" s="1">
        <v>45807</v>
      </c>
      <c r="I533" s="2">
        <v>4682.8599999999997</v>
      </c>
      <c r="J533" t="s">
        <v>774</v>
      </c>
      <c r="K533" t="s">
        <v>790</v>
      </c>
      <c r="L533" t="s">
        <v>823</v>
      </c>
      <c r="M533" t="s">
        <v>829</v>
      </c>
      <c r="N533" t="str">
        <f t="shared" si="24"/>
        <v>T-2</v>
      </c>
      <c r="O533">
        <f t="shared" si="25"/>
        <v>2025</v>
      </c>
      <c r="P533" t="str">
        <f t="shared" si="26"/>
        <v>5. mayo</v>
      </c>
    </row>
    <row r="534" spans="1:16" x14ac:dyDescent="0.35">
      <c r="A534">
        <v>723379</v>
      </c>
      <c r="B534" t="s">
        <v>89</v>
      </c>
      <c r="C534" t="s">
        <v>137</v>
      </c>
      <c r="D534" t="s">
        <v>330</v>
      </c>
      <c r="E534" t="s">
        <v>703</v>
      </c>
      <c r="F534" t="s">
        <v>187</v>
      </c>
      <c r="G534" s="1">
        <v>45804</v>
      </c>
      <c r="H534" s="1">
        <v>45807</v>
      </c>
      <c r="I534" s="2">
        <v>1277.1400000000001</v>
      </c>
      <c r="J534" t="s">
        <v>774</v>
      </c>
      <c r="K534" t="s">
        <v>783</v>
      </c>
      <c r="L534" t="s">
        <v>823</v>
      </c>
      <c r="M534" t="s">
        <v>830</v>
      </c>
      <c r="N534" t="str">
        <f t="shared" si="24"/>
        <v>T-2</v>
      </c>
      <c r="O534">
        <f t="shared" si="25"/>
        <v>2025</v>
      </c>
      <c r="P534" t="str">
        <f t="shared" si="26"/>
        <v>5. mayo</v>
      </c>
    </row>
    <row r="535" spans="1:16" x14ac:dyDescent="0.35">
      <c r="A535">
        <v>406592</v>
      </c>
      <c r="B535" t="s">
        <v>5</v>
      </c>
      <c r="C535" t="s">
        <v>138</v>
      </c>
      <c r="D535" t="s">
        <v>378</v>
      </c>
      <c r="E535" t="s">
        <v>694</v>
      </c>
      <c r="F535" t="s">
        <v>187</v>
      </c>
      <c r="G535" s="1">
        <v>45761</v>
      </c>
      <c r="H535" s="1">
        <v>45807</v>
      </c>
      <c r="I535" s="2">
        <v>900</v>
      </c>
      <c r="J535" t="s">
        <v>778</v>
      </c>
      <c r="K535" t="s">
        <v>783</v>
      </c>
      <c r="L535" t="s">
        <v>823</v>
      </c>
      <c r="M535" t="s">
        <v>830</v>
      </c>
      <c r="N535" t="str">
        <f t="shared" si="24"/>
        <v>T-2</v>
      </c>
      <c r="O535">
        <f t="shared" si="25"/>
        <v>2025</v>
      </c>
      <c r="P535" t="str">
        <f t="shared" si="26"/>
        <v>4. abril</v>
      </c>
    </row>
    <row r="536" spans="1:16" x14ac:dyDescent="0.35">
      <c r="A536">
        <v>361422</v>
      </c>
      <c r="B536" t="s">
        <v>19</v>
      </c>
      <c r="C536" t="s">
        <v>140</v>
      </c>
      <c r="D536" t="s">
        <v>379</v>
      </c>
      <c r="E536" t="s">
        <v>694</v>
      </c>
      <c r="F536" t="s">
        <v>187</v>
      </c>
      <c r="G536" s="1">
        <v>45761</v>
      </c>
      <c r="H536" s="1">
        <v>45807</v>
      </c>
      <c r="I536" s="2">
        <v>540</v>
      </c>
      <c r="J536" t="s">
        <v>778</v>
      </c>
      <c r="K536" t="s">
        <v>803</v>
      </c>
      <c r="L536" t="s">
        <v>823</v>
      </c>
      <c r="M536" t="s">
        <v>828</v>
      </c>
      <c r="N536" t="str">
        <f t="shared" si="24"/>
        <v>T-2</v>
      </c>
      <c r="O536">
        <f t="shared" si="25"/>
        <v>2025</v>
      </c>
      <c r="P536" t="str">
        <f t="shared" si="26"/>
        <v>4. abril</v>
      </c>
    </row>
    <row r="537" spans="1:16" x14ac:dyDescent="0.35">
      <c r="A537">
        <v>446242</v>
      </c>
      <c r="B537" t="s">
        <v>20</v>
      </c>
      <c r="C537" t="s">
        <v>136</v>
      </c>
      <c r="D537" t="s">
        <v>184</v>
      </c>
      <c r="E537" t="s">
        <v>652</v>
      </c>
      <c r="F537" t="s">
        <v>187</v>
      </c>
      <c r="G537" s="1">
        <v>45804</v>
      </c>
      <c r="H537" s="1">
        <v>45807</v>
      </c>
      <c r="I537" s="2">
        <v>936</v>
      </c>
      <c r="J537" t="s">
        <v>774</v>
      </c>
      <c r="K537" t="s">
        <v>803</v>
      </c>
      <c r="L537" t="s">
        <v>823</v>
      </c>
      <c r="M537" t="s">
        <v>828</v>
      </c>
      <c r="N537" t="str">
        <f t="shared" si="24"/>
        <v>T-2</v>
      </c>
      <c r="O537">
        <f t="shared" si="25"/>
        <v>2025</v>
      </c>
      <c r="P537" t="str">
        <f t="shared" si="26"/>
        <v>5. mayo</v>
      </c>
    </row>
    <row r="538" spans="1:16" x14ac:dyDescent="0.35">
      <c r="A538">
        <v>603423</v>
      </c>
      <c r="B538" t="s">
        <v>13</v>
      </c>
      <c r="C538" t="s">
        <v>138</v>
      </c>
      <c r="D538" t="s">
        <v>184</v>
      </c>
      <c r="E538" t="s">
        <v>652</v>
      </c>
      <c r="F538" t="s">
        <v>187</v>
      </c>
      <c r="G538" s="1">
        <v>45804</v>
      </c>
      <c r="H538" s="1">
        <v>45807</v>
      </c>
      <c r="I538" s="2">
        <v>4368</v>
      </c>
      <c r="J538" t="s">
        <v>774</v>
      </c>
      <c r="K538" t="s">
        <v>803</v>
      </c>
      <c r="L538" t="s">
        <v>823</v>
      </c>
      <c r="M538" t="s">
        <v>830</v>
      </c>
      <c r="N538" t="str">
        <f t="shared" si="24"/>
        <v>T-2</v>
      </c>
      <c r="O538">
        <f t="shared" si="25"/>
        <v>2025</v>
      </c>
      <c r="P538" t="str">
        <f t="shared" si="26"/>
        <v>5. mayo</v>
      </c>
    </row>
    <row r="539" spans="1:16" x14ac:dyDescent="0.35">
      <c r="A539">
        <v>717391</v>
      </c>
      <c r="B539" t="s">
        <v>32</v>
      </c>
      <c r="C539" t="s">
        <v>137</v>
      </c>
      <c r="D539" t="s">
        <v>287</v>
      </c>
      <c r="E539" t="s">
        <v>652</v>
      </c>
      <c r="F539" t="s">
        <v>187</v>
      </c>
      <c r="G539" s="1">
        <v>45804</v>
      </c>
      <c r="H539" s="1">
        <v>45804</v>
      </c>
      <c r="I539" s="2">
        <v>546</v>
      </c>
      <c r="J539" t="s">
        <v>774</v>
      </c>
      <c r="K539" t="s">
        <v>783</v>
      </c>
      <c r="L539" t="s">
        <v>824</v>
      </c>
      <c r="M539" t="s">
        <v>829</v>
      </c>
      <c r="N539" t="str">
        <f t="shared" si="24"/>
        <v>T-2</v>
      </c>
      <c r="O539">
        <f t="shared" si="25"/>
        <v>2025</v>
      </c>
      <c r="P539" t="str">
        <f t="shared" si="26"/>
        <v>5. mayo</v>
      </c>
    </row>
    <row r="540" spans="1:16" x14ac:dyDescent="0.35">
      <c r="A540">
        <v>408726</v>
      </c>
      <c r="B540" t="s">
        <v>79</v>
      </c>
      <c r="C540" t="s">
        <v>139</v>
      </c>
      <c r="D540" t="s">
        <v>287</v>
      </c>
      <c r="E540" t="s">
        <v>652</v>
      </c>
      <c r="F540" t="s">
        <v>187</v>
      </c>
      <c r="G540" s="1">
        <v>45804</v>
      </c>
      <c r="H540" s="1">
        <v>45804</v>
      </c>
      <c r="I540" s="2">
        <v>858</v>
      </c>
      <c r="J540" t="s">
        <v>774</v>
      </c>
      <c r="K540" t="s">
        <v>783</v>
      </c>
      <c r="L540" t="s">
        <v>823</v>
      </c>
      <c r="M540" t="s">
        <v>830</v>
      </c>
      <c r="N540" t="str">
        <f t="shared" si="24"/>
        <v>T-2</v>
      </c>
      <c r="O540">
        <f t="shared" si="25"/>
        <v>2025</v>
      </c>
      <c r="P540" t="str">
        <f t="shared" si="26"/>
        <v>5. mayo</v>
      </c>
    </row>
    <row r="541" spans="1:16" x14ac:dyDescent="0.35">
      <c r="A541">
        <v>406922</v>
      </c>
      <c r="B541" t="s">
        <v>5</v>
      </c>
      <c r="C541" t="s">
        <v>138</v>
      </c>
      <c r="D541" t="s">
        <v>287</v>
      </c>
      <c r="E541" t="s">
        <v>652</v>
      </c>
      <c r="F541" t="s">
        <v>187</v>
      </c>
      <c r="G541" s="1">
        <v>45805</v>
      </c>
      <c r="H541" s="1">
        <v>45805</v>
      </c>
      <c r="I541" s="2">
        <v>1014</v>
      </c>
      <c r="J541" t="s">
        <v>774</v>
      </c>
      <c r="K541" t="s">
        <v>783</v>
      </c>
      <c r="L541" t="s">
        <v>823</v>
      </c>
      <c r="M541" t="s">
        <v>830</v>
      </c>
      <c r="N541" t="str">
        <f t="shared" si="24"/>
        <v>T-2</v>
      </c>
      <c r="O541">
        <f t="shared" si="25"/>
        <v>2025</v>
      </c>
      <c r="P541" t="str">
        <f t="shared" si="26"/>
        <v>5. mayo</v>
      </c>
    </row>
    <row r="542" spans="1:16" x14ac:dyDescent="0.35">
      <c r="A542">
        <v>406238</v>
      </c>
      <c r="B542" t="s">
        <v>90</v>
      </c>
      <c r="C542" t="s">
        <v>139</v>
      </c>
      <c r="D542" t="s">
        <v>316</v>
      </c>
      <c r="E542" t="s">
        <v>652</v>
      </c>
      <c r="F542" t="s">
        <v>187</v>
      </c>
      <c r="G542" s="1">
        <v>45803</v>
      </c>
      <c r="H542" s="1">
        <v>45805</v>
      </c>
      <c r="I542" s="2">
        <v>702</v>
      </c>
      <c r="J542" t="s">
        <v>774</v>
      </c>
      <c r="K542" t="s">
        <v>783</v>
      </c>
      <c r="L542" t="s">
        <v>823</v>
      </c>
      <c r="M542" t="s">
        <v>828</v>
      </c>
      <c r="N542" t="str">
        <f t="shared" si="24"/>
        <v>T-2</v>
      </c>
      <c r="O542">
        <f t="shared" si="25"/>
        <v>2025</v>
      </c>
      <c r="P542" t="str">
        <f t="shared" si="26"/>
        <v>5. mayo</v>
      </c>
    </row>
    <row r="543" spans="1:16" x14ac:dyDescent="0.35">
      <c r="A543">
        <v>405788</v>
      </c>
      <c r="B543" t="s">
        <v>66</v>
      </c>
      <c r="C543" t="s">
        <v>141</v>
      </c>
      <c r="D543" t="s">
        <v>316</v>
      </c>
      <c r="E543" t="s">
        <v>652</v>
      </c>
      <c r="F543" t="s">
        <v>187</v>
      </c>
      <c r="G543" s="1">
        <v>45803</v>
      </c>
      <c r="H543" s="1">
        <v>45805</v>
      </c>
      <c r="I543" s="2">
        <v>1170</v>
      </c>
      <c r="J543" t="s">
        <v>774</v>
      </c>
      <c r="K543" t="s">
        <v>788</v>
      </c>
      <c r="L543" t="s">
        <v>823</v>
      </c>
      <c r="M543" t="s">
        <v>828</v>
      </c>
      <c r="N543" t="str">
        <f t="shared" si="24"/>
        <v>T-2</v>
      </c>
      <c r="O543">
        <f t="shared" si="25"/>
        <v>2025</v>
      </c>
      <c r="P543" t="str">
        <f t="shared" si="26"/>
        <v>5. mayo</v>
      </c>
    </row>
    <row r="544" spans="1:16" x14ac:dyDescent="0.35">
      <c r="A544">
        <v>460692</v>
      </c>
      <c r="B544" t="s">
        <v>5</v>
      </c>
      <c r="C544" t="s">
        <v>138</v>
      </c>
      <c r="D544" t="s">
        <v>364</v>
      </c>
      <c r="E544" t="s">
        <v>652</v>
      </c>
      <c r="F544" t="s">
        <v>187</v>
      </c>
      <c r="G544" s="1">
        <v>45806</v>
      </c>
      <c r="H544" s="1">
        <v>45806</v>
      </c>
      <c r="I544" s="2">
        <v>390</v>
      </c>
      <c r="J544" t="s">
        <v>774</v>
      </c>
      <c r="K544" t="s">
        <v>811</v>
      </c>
      <c r="L544" t="s">
        <v>823</v>
      </c>
      <c r="M544" t="s">
        <v>829</v>
      </c>
      <c r="N544" t="str">
        <f t="shared" si="24"/>
        <v>T-2</v>
      </c>
      <c r="O544">
        <f t="shared" si="25"/>
        <v>2025</v>
      </c>
      <c r="P544" t="str">
        <f t="shared" si="26"/>
        <v>5. mayo</v>
      </c>
    </row>
    <row r="545" spans="1:16" x14ac:dyDescent="0.35">
      <c r="A545">
        <v>491775</v>
      </c>
      <c r="B545" t="s">
        <v>4</v>
      </c>
      <c r="C545" t="s">
        <v>136</v>
      </c>
      <c r="D545" t="s">
        <v>364</v>
      </c>
      <c r="E545" t="s">
        <v>652</v>
      </c>
      <c r="F545" t="s">
        <v>187</v>
      </c>
      <c r="G545" s="1">
        <v>45806</v>
      </c>
      <c r="H545" s="1">
        <v>45806</v>
      </c>
      <c r="I545" s="2">
        <v>1092</v>
      </c>
      <c r="J545" t="s">
        <v>774</v>
      </c>
      <c r="K545" t="s">
        <v>783</v>
      </c>
      <c r="L545" t="s">
        <v>823</v>
      </c>
      <c r="M545" t="s">
        <v>830</v>
      </c>
      <c r="N545" t="str">
        <f t="shared" si="24"/>
        <v>T-2</v>
      </c>
      <c r="O545">
        <f t="shared" si="25"/>
        <v>2025</v>
      </c>
      <c r="P545" t="str">
        <f t="shared" si="26"/>
        <v>5. mayo</v>
      </c>
    </row>
    <row r="546" spans="1:16" x14ac:dyDescent="0.35">
      <c r="A546">
        <v>702487</v>
      </c>
      <c r="B546" t="s">
        <v>30</v>
      </c>
      <c r="C546" t="s">
        <v>138</v>
      </c>
      <c r="D546" t="s">
        <v>246</v>
      </c>
      <c r="E546" t="s">
        <v>652</v>
      </c>
      <c r="F546" t="s">
        <v>187</v>
      </c>
      <c r="G546" s="1">
        <v>45807</v>
      </c>
      <c r="H546" s="1">
        <v>45807</v>
      </c>
      <c r="I546" s="2">
        <v>234</v>
      </c>
      <c r="J546" t="s">
        <v>774</v>
      </c>
      <c r="K546" t="s">
        <v>785</v>
      </c>
      <c r="L546" t="s">
        <v>823</v>
      </c>
      <c r="M546" t="s">
        <v>830</v>
      </c>
      <c r="N546" t="str">
        <f t="shared" si="24"/>
        <v>T-2</v>
      </c>
      <c r="O546">
        <f t="shared" si="25"/>
        <v>2025</v>
      </c>
      <c r="P546" t="str">
        <f t="shared" si="26"/>
        <v>5. mayo</v>
      </c>
    </row>
    <row r="547" spans="1:16" x14ac:dyDescent="0.35">
      <c r="A547">
        <v>560000</v>
      </c>
      <c r="B547" t="s">
        <v>71</v>
      </c>
      <c r="C547" t="s">
        <v>138</v>
      </c>
      <c r="D547" t="s">
        <v>246</v>
      </c>
      <c r="E547" t="s">
        <v>652</v>
      </c>
      <c r="F547" t="s">
        <v>187</v>
      </c>
      <c r="G547" s="1">
        <v>45807</v>
      </c>
      <c r="H547" s="1">
        <v>45807</v>
      </c>
      <c r="I547" s="2">
        <v>1014</v>
      </c>
      <c r="J547" t="s">
        <v>774</v>
      </c>
      <c r="K547" t="s">
        <v>785</v>
      </c>
      <c r="L547" t="s">
        <v>824</v>
      </c>
      <c r="M547" t="s">
        <v>828</v>
      </c>
      <c r="N547" t="str">
        <f t="shared" si="24"/>
        <v>T-2</v>
      </c>
      <c r="O547">
        <f t="shared" si="25"/>
        <v>2025</v>
      </c>
      <c r="P547" t="str">
        <f t="shared" si="26"/>
        <v>5. mayo</v>
      </c>
    </row>
    <row r="548" spans="1:16" x14ac:dyDescent="0.35">
      <c r="A548">
        <v>589269</v>
      </c>
      <c r="B548" t="s">
        <v>27</v>
      </c>
      <c r="C548" t="s">
        <v>139</v>
      </c>
      <c r="D548" t="s">
        <v>286</v>
      </c>
      <c r="E548" t="s">
        <v>652</v>
      </c>
      <c r="F548" t="s">
        <v>187</v>
      </c>
      <c r="G548" s="1">
        <v>45803</v>
      </c>
      <c r="H548" s="1">
        <v>45803</v>
      </c>
      <c r="I548" s="2">
        <v>225</v>
      </c>
      <c r="J548" t="s">
        <v>774</v>
      </c>
      <c r="K548" t="s">
        <v>783</v>
      </c>
      <c r="L548" t="s">
        <v>823</v>
      </c>
      <c r="M548" t="s">
        <v>830</v>
      </c>
      <c r="N548" t="str">
        <f t="shared" si="24"/>
        <v>T-2</v>
      </c>
      <c r="O548">
        <f t="shared" si="25"/>
        <v>2025</v>
      </c>
      <c r="P548" t="str">
        <f t="shared" si="26"/>
        <v>5. mayo</v>
      </c>
    </row>
    <row r="549" spans="1:16" x14ac:dyDescent="0.35">
      <c r="A549">
        <v>251145</v>
      </c>
      <c r="B549" t="s">
        <v>5</v>
      </c>
      <c r="C549" t="s">
        <v>138</v>
      </c>
      <c r="D549" t="s">
        <v>286</v>
      </c>
      <c r="E549" t="s">
        <v>652</v>
      </c>
      <c r="F549" t="s">
        <v>187</v>
      </c>
      <c r="G549" s="1">
        <v>45803</v>
      </c>
      <c r="H549" s="1">
        <v>45803</v>
      </c>
      <c r="I549" s="2">
        <v>675</v>
      </c>
      <c r="J549" t="s">
        <v>774</v>
      </c>
      <c r="K549" t="s">
        <v>785</v>
      </c>
      <c r="L549" t="s">
        <v>823</v>
      </c>
      <c r="M549" t="s">
        <v>829</v>
      </c>
      <c r="N549" t="str">
        <f t="shared" si="24"/>
        <v>T-2</v>
      </c>
      <c r="O549">
        <f t="shared" si="25"/>
        <v>2025</v>
      </c>
      <c r="P549" t="str">
        <f t="shared" si="26"/>
        <v>5. mayo</v>
      </c>
    </row>
    <row r="550" spans="1:16" x14ac:dyDescent="0.35">
      <c r="A550">
        <v>713791</v>
      </c>
      <c r="B550" t="s">
        <v>24</v>
      </c>
      <c r="C550" t="s">
        <v>137</v>
      </c>
      <c r="D550" t="s">
        <v>380</v>
      </c>
      <c r="E550" t="s">
        <v>647</v>
      </c>
      <c r="F550" t="s">
        <v>773</v>
      </c>
      <c r="G550" s="1">
        <v>45961</v>
      </c>
      <c r="H550" s="1">
        <v>45961</v>
      </c>
      <c r="I550" s="2">
        <v>240</v>
      </c>
      <c r="J550" t="s">
        <v>774</v>
      </c>
      <c r="K550" t="s">
        <v>783</v>
      </c>
      <c r="L550" t="s">
        <v>823</v>
      </c>
      <c r="M550" t="s">
        <v>830</v>
      </c>
      <c r="N550" t="str">
        <f t="shared" si="24"/>
        <v>T-4</v>
      </c>
      <c r="O550">
        <f t="shared" si="25"/>
        <v>2025</v>
      </c>
      <c r="P550" t="str">
        <f t="shared" si="26"/>
        <v>10. octubre</v>
      </c>
    </row>
    <row r="551" spans="1:16" x14ac:dyDescent="0.35">
      <c r="A551">
        <v>708469</v>
      </c>
      <c r="B551" t="s">
        <v>91</v>
      </c>
      <c r="C551" t="s">
        <v>138</v>
      </c>
      <c r="D551" t="s">
        <v>380</v>
      </c>
      <c r="E551" t="s">
        <v>647</v>
      </c>
      <c r="F551" t="s">
        <v>773</v>
      </c>
      <c r="G551" s="1">
        <v>45961</v>
      </c>
      <c r="H551" s="1">
        <v>45961</v>
      </c>
      <c r="I551" s="2">
        <v>240</v>
      </c>
      <c r="J551" t="s">
        <v>774</v>
      </c>
      <c r="K551" t="s">
        <v>783</v>
      </c>
      <c r="L551" t="s">
        <v>823</v>
      </c>
      <c r="M551" t="s">
        <v>830</v>
      </c>
      <c r="N551" t="str">
        <f t="shared" si="24"/>
        <v>T-4</v>
      </c>
      <c r="O551">
        <f t="shared" si="25"/>
        <v>2025</v>
      </c>
      <c r="P551" t="str">
        <f t="shared" si="26"/>
        <v>10. octubre</v>
      </c>
    </row>
    <row r="552" spans="1:16" x14ac:dyDescent="0.35">
      <c r="A552">
        <v>564762</v>
      </c>
      <c r="B552" t="s">
        <v>22</v>
      </c>
      <c r="C552" t="s">
        <v>139</v>
      </c>
      <c r="D552" t="s">
        <v>351</v>
      </c>
      <c r="E552" t="s">
        <v>647</v>
      </c>
      <c r="F552" t="s">
        <v>773</v>
      </c>
      <c r="G552" s="1">
        <v>45961</v>
      </c>
      <c r="H552" s="1">
        <v>45961</v>
      </c>
      <c r="I552" s="2">
        <v>240</v>
      </c>
      <c r="J552" t="s">
        <v>774</v>
      </c>
      <c r="K552" t="s">
        <v>800</v>
      </c>
      <c r="L552" t="s">
        <v>823</v>
      </c>
      <c r="M552" t="s">
        <v>828</v>
      </c>
      <c r="N552" t="str">
        <f t="shared" si="24"/>
        <v>T-4</v>
      </c>
      <c r="O552">
        <f t="shared" si="25"/>
        <v>2025</v>
      </c>
      <c r="P552" t="str">
        <f t="shared" si="26"/>
        <v>10. octubre</v>
      </c>
    </row>
    <row r="553" spans="1:16" x14ac:dyDescent="0.35">
      <c r="A553">
        <v>718597</v>
      </c>
      <c r="B553" t="s">
        <v>56</v>
      </c>
      <c r="C553" t="s">
        <v>138</v>
      </c>
      <c r="D553" t="s">
        <v>351</v>
      </c>
      <c r="E553" t="s">
        <v>647</v>
      </c>
      <c r="F553" t="s">
        <v>773</v>
      </c>
      <c r="G553" s="1">
        <v>45961</v>
      </c>
      <c r="H553" s="1">
        <v>45961</v>
      </c>
      <c r="I553" s="2">
        <v>240</v>
      </c>
      <c r="J553" t="s">
        <v>774</v>
      </c>
      <c r="K553" t="s">
        <v>789</v>
      </c>
      <c r="L553" t="s">
        <v>824</v>
      </c>
      <c r="M553" t="s">
        <v>828</v>
      </c>
      <c r="N553" t="str">
        <f t="shared" si="24"/>
        <v>T-4</v>
      </c>
      <c r="O553">
        <f t="shared" si="25"/>
        <v>2025</v>
      </c>
      <c r="P553" t="str">
        <f t="shared" si="26"/>
        <v>10. octubre</v>
      </c>
    </row>
    <row r="554" spans="1:16" x14ac:dyDescent="0.35">
      <c r="A554">
        <v>710944</v>
      </c>
      <c r="B554" t="s">
        <v>37</v>
      </c>
      <c r="C554" t="s">
        <v>138</v>
      </c>
      <c r="D554" t="s">
        <v>351</v>
      </c>
      <c r="E554" t="s">
        <v>647</v>
      </c>
      <c r="F554" t="s">
        <v>773</v>
      </c>
      <c r="G554" s="1">
        <v>45961</v>
      </c>
      <c r="H554" s="1">
        <v>45961</v>
      </c>
      <c r="I554" s="2">
        <v>240</v>
      </c>
      <c r="J554" t="s">
        <v>774</v>
      </c>
      <c r="K554" t="s">
        <v>783</v>
      </c>
      <c r="L554" t="s">
        <v>823</v>
      </c>
      <c r="M554" t="s">
        <v>830</v>
      </c>
      <c r="N554" t="str">
        <f t="shared" si="24"/>
        <v>T-4</v>
      </c>
      <c r="O554">
        <f t="shared" si="25"/>
        <v>2025</v>
      </c>
      <c r="P554" t="str">
        <f t="shared" si="26"/>
        <v>10. octubre</v>
      </c>
    </row>
    <row r="555" spans="1:16" x14ac:dyDescent="0.35">
      <c r="A555">
        <v>712307</v>
      </c>
      <c r="B555" t="s">
        <v>30</v>
      </c>
      <c r="C555" t="s">
        <v>137</v>
      </c>
      <c r="D555" t="s">
        <v>162</v>
      </c>
      <c r="E555" t="s">
        <v>723</v>
      </c>
      <c r="F555" t="s">
        <v>773</v>
      </c>
      <c r="G555" s="1">
        <v>46325</v>
      </c>
      <c r="H555" s="1">
        <v>46325</v>
      </c>
      <c r="I555" s="2">
        <v>450</v>
      </c>
      <c r="J555" t="s">
        <v>774</v>
      </c>
      <c r="K555" t="s">
        <v>783</v>
      </c>
      <c r="L555" t="s">
        <v>823</v>
      </c>
      <c r="M555" t="s">
        <v>829</v>
      </c>
      <c r="N555" t="str">
        <f t="shared" si="24"/>
        <v>T-4</v>
      </c>
      <c r="O555">
        <f t="shared" si="25"/>
        <v>2026</v>
      </c>
      <c r="P555" t="str">
        <f t="shared" si="26"/>
        <v>10. octubre</v>
      </c>
    </row>
    <row r="556" spans="1:16" x14ac:dyDescent="0.35">
      <c r="A556">
        <v>362447</v>
      </c>
      <c r="B556" t="s">
        <v>30</v>
      </c>
      <c r="C556" t="s">
        <v>138</v>
      </c>
      <c r="D556" t="s">
        <v>162</v>
      </c>
      <c r="E556" t="s">
        <v>723</v>
      </c>
      <c r="F556" t="s">
        <v>773</v>
      </c>
      <c r="G556" s="1">
        <v>46325</v>
      </c>
      <c r="H556" s="1">
        <v>46325</v>
      </c>
      <c r="I556" s="2">
        <v>450</v>
      </c>
      <c r="J556" t="s">
        <v>774</v>
      </c>
      <c r="K556" t="s">
        <v>787</v>
      </c>
      <c r="L556" t="s">
        <v>823</v>
      </c>
      <c r="M556" t="s">
        <v>830</v>
      </c>
      <c r="N556" t="str">
        <f t="shared" si="24"/>
        <v>T-4</v>
      </c>
      <c r="O556">
        <f t="shared" si="25"/>
        <v>2026</v>
      </c>
      <c r="P556" t="str">
        <f t="shared" si="26"/>
        <v>10. octubre</v>
      </c>
    </row>
    <row r="557" spans="1:16" x14ac:dyDescent="0.35">
      <c r="A557">
        <v>716481</v>
      </c>
      <c r="B557" t="s">
        <v>20</v>
      </c>
      <c r="C557" t="s">
        <v>136</v>
      </c>
      <c r="D557" t="s">
        <v>162</v>
      </c>
      <c r="E557" t="s">
        <v>723</v>
      </c>
      <c r="F557" t="s">
        <v>773</v>
      </c>
      <c r="G557" s="1">
        <v>46325</v>
      </c>
      <c r="H557" s="1">
        <v>46325</v>
      </c>
      <c r="I557" s="2">
        <v>450</v>
      </c>
      <c r="J557" t="s">
        <v>774</v>
      </c>
      <c r="K557" t="s">
        <v>790</v>
      </c>
      <c r="L557" t="s">
        <v>823</v>
      </c>
      <c r="M557" t="s">
        <v>830</v>
      </c>
      <c r="N557" t="str">
        <f t="shared" si="24"/>
        <v>T-4</v>
      </c>
      <c r="O557">
        <f t="shared" si="25"/>
        <v>2026</v>
      </c>
      <c r="P557" t="str">
        <f t="shared" si="26"/>
        <v>10. octubre</v>
      </c>
    </row>
    <row r="558" spans="1:16" x14ac:dyDescent="0.35">
      <c r="A558">
        <v>608901</v>
      </c>
      <c r="B558" t="s">
        <v>13</v>
      </c>
      <c r="C558" t="s">
        <v>136</v>
      </c>
      <c r="D558" t="s">
        <v>206</v>
      </c>
      <c r="E558" t="s">
        <v>660</v>
      </c>
      <c r="F558" t="s">
        <v>187</v>
      </c>
      <c r="G558" s="1">
        <v>45790</v>
      </c>
      <c r="H558" s="1">
        <v>45803</v>
      </c>
      <c r="I558" s="2">
        <v>4160</v>
      </c>
      <c r="J558" t="s">
        <v>776</v>
      </c>
      <c r="K558" t="s">
        <v>783</v>
      </c>
      <c r="L558" t="s">
        <v>823</v>
      </c>
      <c r="M558" t="s">
        <v>828</v>
      </c>
      <c r="N558" t="str">
        <f t="shared" si="24"/>
        <v>T-2</v>
      </c>
      <c r="O558">
        <f t="shared" si="25"/>
        <v>2025</v>
      </c>
      <c r="P558" t="str">
        <f t="shared" si="26"/>
        <v>5. mayo</v>
      </c>
    </row>
    <row r="559" spans="1:16" x14ac:dyDescent="0.35">
      <c r="A559">
        <v>751945</v>
      </c>
      <c r="B559" t="s">
        <v>31</v>
      </c>
      <c r="C559" t="s">
        <v>139</v>
      </c>
      <c r="D559" t="s">
        <v>381</v>
      </c>
      <c r="E559" t="s">
        <v>660</v>
      </c>
      <c r="F559" t="s">
        <v>187</v>
      </c>
      <c r="G559" s="1">
        <v>45790</v>
      </c>
      <c r="H559" s="1">
        <v>45797</v>
      </c>
      <c r="I559" s="2">
        <v>1664</v>
      </c>
      <c r="J559" t="s">
        <v>776</v>
      </c>
      <c r="K559" t="s">
        <v>783</v>
      </c>
      <c r="L559" t="s">
        <v>823</v>
      </c>
      <c r="M559" t="s">
        <v>828</v>
      </c>
      <c r="N559" t="str">
        <f t="shared" si="24"/>
        <v>T-2</v>
      </c>
      <c r="O559">
        <f t="shared" si="25"/>
        <v>2025</v>
      </c>
      <c r="P559" t="str">
        <f t="shared" si="26"/>
        <v>5. mayo</v>
      </c>
    </row>
    <row r="560" spans="1:16" x14ac:dyDescent="0.35">
      <c r="A560">
        <v>713903</v>
      </c>
      <c r="B560" t="s">
        <v>25</v>
      </c>
      <c r="C560" t="s">
        <v>138</v>
      </c>
      <c r="D560" t="s">
        <v>174</v>
      </c>
      <c r="E560" t="s">
        <v>699</v>
      </c>
      <c r="F560" t="s">
        <v>773</v>
      </c>
      <c r="G560" s="1">
        <v>45959</v>
      </c>
      <c r="H560" s="1">
        <v>45961</v>
      </c>
      <c r="I560" s="2">
        <v>987.7</v>
      </c>
      <c r="J560" t="s">
        <v>774</v>
      </c>
      <c r="K560" t="s">
        <v>783</v>
      </c>
      <c r="L560" t="s">
        <v>824</v>
      </c>
      <c r="M560" t="s">
        <v>829</v>
      </c>
      <c r="N560" t="str">
        <f t="shared" si="24"/>
        <v>T-4</v>
      </c>
      <c r="O560">
        <f t="shared" si="25"/>
        <v>2025</v>
      </c>
      <c r="P560" t="str">
        <f t="shared" si="26"/>
        <v>10. octubre</v>
      </c>
    </row>
    <row r="561" spans="1:16" x14ac:dyDescent="0.35">
      <c r="A561">
        <v>750037</v>
      </c>
      <c r="B561" t="s">
        <v>31</v>
      </c>
      <c r="C561" t="s">
        <v>138</v>
      </c>
      <c r="D561" t="s">
        <v>174</v>
      </c>
      <c r="E561" t="s">
        <v>699</v>
      </c>
      <c r="F561" t="s">
        <v>773</v>
      </c>
      <c r="G561" s="1">
        <v>45959</v>
      </c>
      <c r="H561" s="1">
        <v>45961</v>
      </c>
      <c r="I561" s="2">
        <v>987.7</v>
      </c>
      <c r="J561" t="s">
        <v>774</v>
      </c>
      <c r="K561" t="s">
        <v>783</v>
      </c>
      <c r="L561" t="s">
        <v>823</v>
      </c>
      <c r="M561" t="s">
        <v>830</v>
      </c>
      <c r="N561" t="str">
        <f t="shared" si="24"/>
        <v>T-4</v>
      </c>
      <c r="O561">
        <f t="shared" si="25"/>
        <v>2025</v>
      </c>
      <c r="P561" t="str">
        <f t="shared" si="26"/>
        <v>10. octubre</v>
      </c>
    </row>
    <row r="562" spans="1:16" x14ac:dyDescent="0.35">
      <c r="A562">
        <v>401020</v>
      </c>
      <c r="B562" t="s">
        <v>4</v>
      </c>
      <c r="C562" t="s">
        <v>138</v>
      </c>
      <c r="D562" t="s">
        <v>174</v>
      </c>
      <c r="E562" t="s">
        <v>699</v>
      </c>
      <c r="F562" t="s">
        <v>187</v>
      </c>
      <c r="G562" s="1">
        <v>45845</v>
      </c>
      <c r="H562" s="1">
        <v>45847</v>
      </c>
      <c r="I562" s="2">
        <v>987.7</v>
      </c>
      <c r="J562" t="s">
        <v>774</v>
      </c>
      <c r="K562" t="s">
        <v>783</v>
      </c>
      <c r="L562" t="s">
        <v>823</v>
      </c>
      <c r="M562" t="s">
        <v>830</v>
      </c>
      <c r="N562" t="str">
        <f t="shared" si="24"/>
        <v>T-3</v>
      </c>
      <c r="O562">
        <f t="shared" si="25"/>
        <v>2025</v>
      </c>
      <c r="P562" t="str">
        <f t="shared" si="26"/>
        <v>7. julio</v>
      </c>
    </row>
    <row r="563" spans="1:16" x14ac:dyDescent="0.35">
      <c r="A563">
        <v>705162</v>
      </c>
      <c r="B563" t="s">
        <v>4</v>
      </c>
      <c r="C563" t="s">
        <v>138</v>
      </c>
      <c r="D563" t="s">
        <v>174</v>
      </c>
      <c r="E563" t="s">
        <v>699</v>
      </c>
      <c r="F563" t="s">
        <v>773</v>
      </c>
      <c r="G563" s="1">
        <v>45959</v>
      </c>
      <c r="H563" s="1">
        <v>45961</v>
      </c>
      <c r="I563" s="2">
        <v>987.7</v>
      </c>
      <c r="J563" t="s">
        <v>774</v>
      </c>
      <c r="K563" t="s">
        <v>783</v>
      </c>
      <c r="L563" t="s">
        <v>823</v>
      </c>
      <c r="M563" t="s">
        <v>828</v>
      </c>
      <c r="N563" t="str">
        <f t="shared" si="24"/>
        <v>T-4</v>
      </c>
      <c r="O563">
        <f t="shared" si="25"/>
        <v>2025</v>
      </c>
      <c r="P563" t="str">
        <f t="shared" si="26"/>
        <v>10. octubre</v>
      </c>
    </row>
    <row r="564" spans="1:16" x14ac:dyDescent="0.35">
      <c r="A564">
        <v>487845</v>
      </c>
      <c r="B564" t="s">
        <v>5</v>
      </c>
      <c r="C564" t="s">
        <v>138</v>
      </c>
      <c r="D564" t="s">
        <v>174</v>
      </c>
      <c r="E564" t="s">
        <v>699</v>
      </c>
      <c r="F564" t="s">
        <v>773</v>
      </c>
      <c r="G564" s="1">
        <v>45959</v>
      </c>
      <c r="H564" s="1">
        <v>45961</v>
      </c>
      <c r="I564" s="2">
        <v>987.7</v>
      </c>
      <c r="J564" t="s">
        <v>774</v>
      </c>
      <c r="K564" t="s">
        <v>783</v>
      </c>
      <c r="L564" t="s">
        <v>823</v>
      </c>
      <c r="M564" t="s">
        <v>830</v>
      </c>
      <c r="N564" t="str">
        <f t="shared" si="24"/>
        <v>T-4</v>
      </c>
      <c r="O564">
        <f t="shared" si="25"/>
        <v>2025</v>
      </c>
      <c r="P564" t="str">
        <f t="shared" si="26"/>
        <v>10. octubre</v>
      </c>
    </row>
    <row r="565" spans="1:16" x14ac:dyDescent="0.35">
      <c r="A565">
        <v>564791</v>
      </c>
      <c r="B565" t="s">
        <v>4</v>
      </c>
      <c r="C565" t="s">
        <v>138</v>
      </c>
      <c r="D565" t="s">
        <v>174</v>
      </c>
      <c r="E565" t="s">
        <v>699</v>
      </c>
      <c r="F565" t="s">
        <v>773</v>
      </c>
      <c r="G565" s="1">
        <v>45959</v>
      </c>
      <c r="H565" s="1">
        <v>45961</v>
      </c>
      <c r="I565" s="2">
        <v>987.7</v>
      </c>
      <c r="J565" t="s">
        <v>774</v>
      </c>
      <c r="K565" t="s">
        <v>783</v>
      </c>
      <c r="L565" t="s">
        <v>823</v>
      </c>
      <c r="M565" t="s">
        <v>829</v>
      </c>
      <c r="N565" t="str">
        <f t="shared" si="24"/>
        <v>T-4</v>
      </c>
      <c r="O565">
        <f t="shared" si="25"/>
        <v>2025</v>
      </c>
      <c r="P565" t="str">
        <f t="shared" si="26"/>
        <v>10. octubre</v>
      </c>
    </row>
    <row r="566" spans="1:16" x14ac:dyDescent="0.35">
      <c r="A566">
        <v>712068</v>
      </c>
      <c r="B566" t="s">
        <v>4</v>
      </c>
      <c r="C566" t="s">
        <v>138</v>
      </c>
      <c r="D566" t="s">
        <v>174</v>
      </c>
      <c r="E566" t="s">
        <v>699</v>
      </c>
      <c r="F566" t="s">
        <v>187</v>
      </c>
      <c r="G566" s="1">
        <v>45924</v>
      </c>
      <c r="H566" s="1">
        <v>45926</v>
      </c>
      <c r="I566" s="2">
        <v>987.7</v>
      </c>
      <c r="J566" t="s">
        <v>774</v>
      </c>
      <c r="K566" t="s">
        <v>783</v>
      </c>
      <c r="L566" t="s">
        <v>823</v>
      </c>
      <c r="M566" t="s">
        <v>830</v>
      </c>
      <c r="N566" t="str">
        <f t="shared" si="24"/>
        <v>T-3</v>
      </c>
      <c r="O566">
        <f t="shared" si="25"/>
        <v>2025</v>
      </c>
      <c r="P566" t="str">
        <f t="shared" si="26"/>
        <v>9. septiembre</v>
      </c>
    </row>
    <row r="567" spans="1:16" x14ac:dyDescent="0.35">
      <c r="A567">
        <v>752019</v>
      </c>
      <c r="B567" t="s">
        <v>31</v>
      </c>
      <c r="C567" t="s">
        <v>138</v>
      </c>
      <c r="D567" t="s">
        <v>174</v>
      </c>
      <c r="E567" t="s">
        <v>699</v>
      </c>
      <c r="F567" t="s">
        <v>773</v>
      </c>
      <c r="G567" s="1">
        <v>45959</v>
      </c>
      <c r="H567" s="1">
        <v>45961</v>
      </c>
      <c r="I567" s="2">
        <v>987.7</v>
      </c>
      <c r="J567" t="s">
        <v>774</v>
      </c>
      <c r="K567" t="s">
        <v>783</v>
      </c>
      <c r="L567" t="s">
        <v>823</v>
      </c>
      <c r="M567" t="s">
        <v>830</v>
      </c>
      <c r="N567" t="str">
        <f t="shared" si="24"/>
        <v>T-4</v>
      </c>
      <c r="O567">
        <f t="shared" si="25"/>
        <v>2025</v>
      </c>
      <c r="P567" t="str">
        <f t="shared" si="26"/>
        <v>10. octubre</v>
      </c>
    </row>
    <row r="568" spans="1:16" x14ac:dyDescent="0.35">
      <c r="A568">
        <v>561905</v>
      </c>
      <c r="B568" t="s">
        <v>25</v>
      </c>
      <c r="C568" t="s">
        <v>138</v>
      </c>
      <c r="D568" t="s">
        <v>174</v>
      </c>
      <c r="E568" t="s">
        <v>699</v>
      </c>
      <c r="F568" t="s">
        <v>187</v>
      </c>
      <c r="G568" s="1">
        <v>45924</v>
      </c>
      <c r="H568" s="1">
        <v>45926</v>
      </c>
      <c r="I568" s="2">
        <v>987.7</v>
      </c>
      <c r="J568" t="s">
        <v>774</v>
      </c>
      <c r="K568" t="s">
        <v>783</v>
      </c>
      <c r="L568" t="s">
        <v>824</v>
      </c>
      <c r="M568" t="s">
        <v>828</v>
      </c>
      <c r="N568" t="str">
        <f t="shared" si="24"/>
        <v>T-3</v>
      </c>
      <c r="O568">
        <f t="shared" si="25"/>
        <v>2025</v>
      </c>
      <c r="P568" t="str">
        <f t="shared" si="26"/>
        <v>9. septiembre</v>
      </c>
    </row>
    <row r="569" spans="1:16" x14ac:dyDescent="0.35">
      <c r="A569">
        <v>721586</v>
      </c>
      <c r="B569" t="s">
        <v>32</v>
      </c>
      <c r="C569" t="s">
        <v>137</v>
      </c>
      <c r="D569" t="s">
        <v>174</v>
      </c>
      <c r="E569" t="s">
        <v>699</v>
      </c>
      <c r="F569" t="s">
        <v>773</v>
      </c>
      <c r="G569" s="1">
        <v>45959</v>
      </c>
      <c r="H569" s="1">
        <v>45961</v>
      </c>
      <c r="I569" s="2">
        <v>987.7</v>
      </c>
      <c r="J569" t="s">
        <v>774</v>
      </c>
      <c r="K569" t="s">
        <v>783</v>
      </c>
      <c r="L569" t="s">
        <v>823</v>
      </c>
      <c r="M569" t="s">
        <v>828</v>
      </c>
      <c r="N569" t="str">
        <f t="shared" si="24"/>
        <v>T-4</v>
      </c>
      <c r="O569">
        <f t="shared" si="25"/>
        <v>2025</v>
      </c>
      <c r="P569" t="str">
        <f t="shared" si="26"/>
        <v>10. octubre</v>
      </c>
    </row>
    <row r="570" spans="1:16" x14ac:dyDescent="0.35">
      <c r="A570">
        <v>709613</v>
      </c>
      <c r="B570" t="s">
        <v>30</v>
      </c>
      <c r="C570" t="s">
        <v>138</v>
      </c>
      <c r="D570" t="s">
        <v>174</v>
      </c>
      <c r="E570" t="s">
        <v>699</v>
      </c>
      <c r="F570" t="s">
        <v>773</v>
      </c>
      <c r="G570" s="1">
        <v>45959</v>
      </c>
      <c r="H570" s="1">
        <v>45961</v>
      </c>
      <c r="I570" s="2">
        <v>987.7</v>
      </c>
      <c r="J570" t="s">
        <v>774</v>
      </c>
      <c r="K570" t="s">
        <v>783</v>
      </c>
      <c r="L570" t="s">
        <v>823</v>
      </c>
      <c r="M570" t="s">
        <v>830</v>
      </c>
      <c r="N570" t="str">
        <f t="shared" si="24"/>
        <v>T-4</v>
      </c>
      <c r="O570">
        <f t="shared" si="25"/>
        <v>2025</v>
      </c>
      <c r="P570" t="str">
        <f t="shared" si="26"/>
        <v>10. octubre</v>
      </c>
    </row>
    <row r="571" spans="1:16" x14ac:dyDescent="0.35">
      <c r="A571">
        <v>702281</v>
      </c>
      <c r="B571" t="s">
        <v>4</v>
      </c>
      <c r="C571" t="s">
        <v>138</v>
      </c>
      <c r="D571" t="s">
        <v>174</v>
      </c>
      <c r="E571" t="s">
        <v>699</v>
      </c>
      <c r="F571" t="s">
        <v>773</v>
      </c>
      <c r="G571" s="1">
        <v>45959</v>
      </c>
      <c r="H571" s="1">
        <v>45961</v>
      </c>
      <c r="I571" s="2">
        <v>987.7</v>
      </c>
      <c r="J571" t="s">
        <v>774</v>
      </c>
      <c r="K571" t="s">
        <v>783</v>
      </c>
      <c r="L571" t="s">
        <v>823</v>
      </c>
      <c r="M571" t="s">
        <v>829</v>
      </c>
      <c r="N571" t="str">
        <f t="shared" si="24"/>
        <v>T-4</v>
      </c>
      <c r="O571">
        <f t="shared" si="25"/>
        <v>2025</v>
      </c>
      <c r="P571" t="str">
        <f t="shared" si="26"/>
        <v>10. octubre</v>
      </c>
    </row>
    <row r="572" spans="1:16" x14ac:dyDescent="0.35">
      <c r="A572">
        <v>499542</v>
      </c>
      <c r="B572" t="s">
        <v>30</v>
      </c>
      <c r="C572" t="s">
        <v>138</v>
      </c>
      <c r="D572" t="s">
        <v>174</v>
      </c>
      <c r="E572" t="s">
        <v>699</v>
      </c>
      <c r="F572" t="s">
        <v>187</v>
      </c>
      <c r="G572" s="1">
        <v>45924</v>
      </c>
      <c r="H572" s="1">
        <v>45926</v>
      </c>
      <c r="I572" s="2">
        <v>987.7</v>
      </c>
      <c r="J572" t="s">
        <v>774</v>
      </c>
      <c r="K572" t="s">
        <v>783</v>
      </c>
      <c r="L572" t="s">
        <v>823</v>
      </c>
      <c r="M572" t="s">
        <v>830</v>
      </c>
      <c r="N572" t="str">
        <f t="shared" si="24"/>
        <v>T-3</v>
      </c>
      <c r="O572">
        <f t="shared" si="25"/>
        <v>2025</v>
      </c>
      <c r="P572" t="str">
        <f t="shared" si="26"/>
        <v>9. septiembre</v>
      </c>
    </row>
    <row r="573" spans="1:16" x14ac:dyDescent="0.35">
      <c r="A573">
        <v>608123</v>
      </c>
      <c r="B573" t="s">
        <v>13</v>
      </c>
      <c r="C573" t="s">
        <v>136</v>
      </c>
      <c r="D573" t="s">
        <v>174</v>
      </c>
      <c r="E573" t="s">
        <v>699</v>
      </c>
      <c r="F573" t="s">
        <v>773</v>
      </c>
      <c r="G573" s="1">
        <v>45959</v>
      </c>
      <c r="H573" s="1">
        <v>45961</v>
      </c>
      <c r="I573" s="2">
        <v>987.7</v>
      </c>
      <c r="J573" t="s">
        <v>774</v>
      </c>
      <c r="K573" t="s">
        <v>783</v>
      </c>
      <c r="L573" t="s">
        <v>823</v>
      </c>
      <c r="M573" t="s">
        <v>830</v>
      </c>
      <c r="N573" t="str">
        <f t="shared" si="24"/>
        <v>T-4</v>
      </c>
      <c r="O573">
        <f t="shared" si="25"/>
        <v>2025</v>
      </c>
      <c r="P573" t="str">
        <f t="shared" si="26"/>
        <v>10. octubre</v>
      </c>
    </row>
    <row r="574" spans="1:16" x14ac:dyDescent="0.35">
      <c r="A574">
        <v>411993</v>
      </c>
      <c r="B574" t="s">
        <v>25</v>
      </c>
      <c r="C574" t="s">
        <v>138</v>
      </c>
      <c r="D574" t="s">
        <v>174</v>
      </c>
      <c r="E574" t="s">
        <v>699</v>
      </c>
      <c r="F574" t="s">
        <v>773</v>
      </c>
      <c r="G574" s="1">
        <v>45959</v>
      </c>
      <c r="H574" s="1">
        <v>45961</v>
      </c>
      <c r="I574" s="2">
        <v>987.7</v>
      </c>
      <c r="J574" t="s">
        <v>774</v>
      </c>
      <c r="K574" t="s">
        <v>783</v>
      </c>
      <c r="L574" t="s">
        <v>824</v>
      </c>
      <c r="M574" t="s">
        <v>828</v>
      </c>
      <c r="N574" t="str">
        <f t="shared" si="24"/>
        <v>T-4</v>
      </c>
      <c r="O574">
        <f t="shared" si="25"/>
        <v>2025</v>
      </c>
      <c r="P574" t="str">
        <f t="shared" si="26"/>
        <v>10. octubre</v>
      </c>
    </row>
    <row r="575" spans="1:16" x14ac:dyDescent="0.35">
      <c r="A575">
        <v>452035</v>
      </c>
      <c r="B575" t="s">
        <v>77</v>
      </c>
      <c r="C575" t="s">
        <v>141</v>
      </c>
      <c r="D575" t="s">
        <v>174</v>
      </c>
      <c r="E575" t="s">
        <v>699</v>
      </c>
      <c r="F575" t="s">
        <v>188</v>
      </c>
      <c r="G575" s="1">
        <v>45924</v>
      </c>
      <c r="H575" s="1">
        <v>45926</v>
      </c>
      <c r="I575" s="2">
        <v>987.7</v>
      </c>
      <c r="J575" t="s">
        <v>774</v>
      </c>
      <c r="K575" t="s">
        <v>798</v>
      </c>
      <c r="L575" t="s">
        <v>823</v>
      </c>
      <c r="M575" t="s">
        <v>828</v>
      </c>
      <c r="N575" t="str">
        <f t="shared" si="24"/>
        <v>T-3</v>
      </c>
      <c r="O575">
        <f t="shared" si="25"/>
        <v>2025</v>
      </c>
      <c r="P575" t="str">
        <f t="shared" si="26"/>
        <v>9. septiembre</v>
      </c>
    </row>
    <row r="576" spans="1:16" x14ac:dyDescent="0.35">
      <c r="A576">
        <v>360034</v>
      </c>
      <c r="B576" t="s">
        <v>5</v>
      </c>
      <c r="C576" t="s">
        <v>138</v>
      </c>
      <c r="D576" t="s">
        <v>174</v>
      </c>
      <c r="E576" t="s">
        <v>699</v>
      </c>
      <c r="F576" t="s">
        <v>773</v>
      </c>
      <c r="G576" s="1">
        <v>45959</v>
      </c>
      <c r="H576" s="1">
        <v>45961</v>
      </c>
      <c r="I576" s="2">
        <v>987.7</v>
      </c>
      <c r="J576" t="s">
        <v>774</v>
      </c>
      <c r="K576" t="s">
        <v>791</v>
      </c>
      <c r="L576" t="s">
        <v>823</v>
      </c>
      <c r="M576" t="s">
        <v>829</v>
      </c>
      <c r="N576" t="str">
        <f t="shared" si="24"/>
        <v>T-4</v>
      </c>
      <c r="O576">
        <f t="shared" si="25"/>
        <v>2025</v>
      </c>
      <c r="P576" t="str">
        <f t="shared" si="26"/>
        <v>10. octubre</v>
      </c>
    </row>
    <row r="577" spans="1:16" x14ac:dyDescent="0.35">
      <c r="A577">
        <v>130252</v>
      </c>
      <c r="B577" t="s">
        <v>48</v>
      </c>
      <c r="C577" t="s">
        <v>138</v>
      </c>
      <c r="D577" t="s">
        <v>174</v>
      </c>
      <c r="E577" t="s">
        <v>699</v>
      </c>
      <c r="F577" t="s">
        <v>773</v>
      </c>
      <c r="G577" s="1">
        <v>45959</v>
      </c>
      <c r="H577" s="1">
        <v>45961</v>
      </c>
      <c r="I577" s="2">
        <v>987.7</v>
      </c>
      <c r="J577" t="s">
        <v>774</v>
      </c>
      <c r="K577" t="s">
        <v>783</v>
      </c>
      <c r="L577" t="s">
        <v>823</v>
      </c>
      <c r="M577" t="s">
        <v>830</v>
      </c>
      <c r="N577" t="str">
        <f t="shared" si="24"/>
        <v>T-4</v>
      </c>
      <c r="O577">
        <f t="shared" si="25"/>
        <v>2025</v>
      </c>
      <c r="P577" t="str">
        <f t="shared" si="26"/>
        <v>10. octubre</v>
      </c>
    </row>
    <row r="578" spans="1:16" x14ac:dyDescent="0.35">
      <c r="A578">
        <v>530905</v>
      </c>
      <c r="B578" t="s">
        <v>5</v>
      </c>
      <c r="C578" t="s">
        <v>138</v>
      </c>
      <c r="D578" t="s">
        <v>174</v>
      </c>
      <c r="E578" t="s">
        <v>699</v>
      </c>
      <c r="F578" t="s">
        <v>773</v>
      </c>
      <c r="G578" s="1">
        <v>45959</v>
      </c>
      <c r="H578" s="1">
        <v>45961</v>
      </c>
      <c r="I578" s="2">
        <v>987.7</v>
      </c>
      <c r="J578" t="s">
        <v>774</v>
      </c>
      <c r="K578" t="s">
        <v>786</v>
      </c>
      <c r="L578" t="s">
        <v>823</v>
      </c>
      <c r="M578" t="s">
        <v>830</v>
      </c>
      <c r="N578" t="str">
        <f t="shared" si="24"/>
        <v>T-4</v>
      </c>
      <c r="O578">
        <f t="shared" si="25"/>
        <v>2025</v>
      </c>
      <c r="P578" t="str">
        <f t="shared" si="26"/>
        <v>10. octubre</v>
      </c>
    </row>
    <row r="579" spans="1:16" x14ac:dyDescent="0.35">
      <c r="A579">
        <v>702594</v>
      </c>
      <c r="B579" t="s">
        <v>16</v>
      </c>
      <c r="C579" t="s">
        <v>136</v>
      </c>
      <c r="D579" t="s">
        <v>174</v>
      </c>
      <c r="E579" t="s">
        <v>699</v>
      </c>
      <c r="F579" t="s">
        <v>773</v>
      </c>
      <c r="G579" s="1">
        <v>45959</v>
      </c>
      <c r="H579" s="1">
        <v>45961</v>
      </c>
      <c r="I579" s="2">
        <v>987.7</v>
      </c>
      <c r="J579" t="s">
        <v>774</v>
      </c>
      <c r="K579" t="s">
        <v>786</v>
      </c>
      <c r="L579" t="s">
        <v>823</v>
      </c>
      <c r="M579" t="s">
        <v>828</v>
      </c>
      <c r="N579" t="str">
        <f t="shared" ref="N579:N642" si="27">"T-" &amp; ROUNDUP((MONTH(G579)/3), 0)</f>
        <v>T-4</v>
      </c>
      <c r="O579">
        <f t="shared" ref="O579:O642" si="28">YEAR(G579)</f>
        <v>2025</v>
      </c>
      <c r="P579" t="str">
        <f t="shared" ref="P579:P642" si="29">MONTH(G579) &amp; ". " &amp; TEXT(G579, "MMMM")</f>
        <v>10. octubre</v>
      </c>
    </row>
    <row r="580" spans="1:16" x14ac:dyDescent="0.35">
      <c r="A580">
        <v>718249</v>
      </c>
      <c r="B580" t="s">
        <v>54</v>
      </c>
      <c r="C580" t="s">
        <v>138</v>
      </c>
      <c r="D580" t="s">
        <v>174</v>
      </c>
      <c r="E580" t="s">
        <v>699</v>
      </c>
      <c r="F580" t="s">
        <v>773</v>
      </c>
      <c r="G580" s="1">
        <v>45959</v>
      </c>
      <c r="H580" s="1">
        <v>45961</v>
      </c>
      <c r="I580" s="2">
        <v>987.7</v>
      </c>
      <c r="J580" t="s">
        <v>774</v>
      </c>
      <c r="K580" t="s">
        <v>786</v>
      </c>
      <c r="L580" t="s">
        <v>823</v>
      </c>
      <c r="M580" t="s">
        <v>830</v>
      </c>
      <c r="N580" t="str">
        <f t="shared" si="27"/>
        <v>T-4</v>
      </c>
      <c r="O580">
        <f t="shared" si="28"/>
        <v>2025</v>
      </c>
      <c r="P580" t="str">
        <f t="shared" si="29"/>
        <v>10. octubre</v>
      </c>
    </row>
    <row r="581" spans="1:16" x14ac:dyDescent="0.35">
      <c r="A581">
        <v>487844</v>
      </c>
      <c r="B581" t="s">
        <v>33</v>
      </c>
      <c r="C581" t="s">
        <v>138</v>
      </c>
      <c r="D581" t="s">
        <v>382</v>
      </c>
      <c r="E581" t="s">
        <v>724</v>
      </c>
      <c r="F581" t="s">
        <v>187</v>
      </c>
      <c r="G581" s="1">
        <v>45796</v>
      </c>
      <c r="H581" s="1">
        <v>45813</v>
      </c>
      <c r="I581" s="2">
        <v>1920</v>
      </c>
      <c r="J581" t="s">
        <v>776</v>
      </c>
      <c r="K581" t="s">
        <v>786</v>
      </c>
      <c r="L581" t="s">
        <v>824</v>
      </c>
      <c r="M581" t="s">
        <v>829</v>
      </c>
      <c r="N581" t="str">
        <f t="shared" si="27"/>
        <v>T-2</v>
      </c>
      <c r="O581">
        <f t="shared" si="28"/>
        <v>2025</v>
      </c>
      <c r="P581" t="str">
        <f t="shared" si="29"/>
        <v>5. mayo</v>
      </c>
    </row>
    <row r="582" spans="1:16" x14ac:dyDescent="0.35">
      <c r="A582">
        <v>565054</v>
      </c>
      <c r="B582" t="s">
        <v>20</v>
      </c>
      <c r="C582" t="s">
        <v>136</v>
      </c>
      <c r="D582" t="s">
        <v>218</v>
      </c>
      <c r="E582" t="s">
        <v>669</v>
      </c>
      <c r="F582" t="s">
        <v>187</v>
      </c>
      <c r="G582" s="1">
        <v>45804</v>
      </c>
      <c r="H582" s="1">
        <v>45812</v>
      </c>
      <c r="I582" s="2">
        <v>3500</v>
      </c>
      <c r="J582" t="s">
        <v>776</v>
      </c>
      <c r="K582" t="s">
        <v>786</v>
      </c>
      <c r="L582" t="s">
        <v>823</v>
      </c>
      <c r="M582" t="s">
        <v>830</v>
      </c>
      <c r="N582" t="str">
        <f t="shared" si="27"/>
        <v>T-2</v>
      </c>
      <c r="O582">
        <f t="shared" si="28"/>
        <v>2025</v>
      </c>
      <c r="P582" t="str">
        <f t="shared" si="29"/>
        <v>5. mayo</v>
      </c>
    </row>
    <row r="583" spans="1:16" x14ac:dyDescent="0.35">
      <c r="A583">
        <v>713910</v>
      </c>
      <c r="B583" t="s">
        <v>50</v>
      </c>
      <c r="C583" t="s">
        <v>138</v>
      </c>
      <c r="D583" t="s">
        <v>311</v>
      </c>
      <c r="E583" t="s">
        <v>675</v>
      </c>
      <c r="F583" t="s">
        <v>187</v>
      </c>
      <c r="G583" s="1">
        <v>45783</v>
      </c>
      <c r="H583" s="1">
        <v>45789</v>
      </c>
      <c r="I583" s="2">
        <v>2145</v>
      </c>
      <c r="J583" t="s">
        <v>779</v>
      </c>
      <c r="K583" t="s">
        <v>786</v>
      </c>
      <c r="L583" t="s">
        <v>823</v>
      </c>
      <c r="M583" t="s">
        <v>830</v>
      </c>
      <c r="N583" t="str">
        <f t="shared" si="27"/>
        <v>T-2</v>
      </c>
      <c r="O583">
        <f t="shared" si="28"/>
        <v>2025</v>
      </c>
      <c r="P583" t="str">
        <f t="shared" si="29"/>
        <v>5. mayo</v>
      </c>
    </row>
    <row r="584" spans="1:16" x14ac:dyDescent="0.35">
      <c r="A584">
        <v>712811</v>
      </c>
      <c r="B584" t="s">
        <v>62</v>
      </c>
      <c r="C584" t="s">
        <v>138</v>
      </c>
      <c r="D584" t="s">
        <v>311</v>
      </c>
      <c r="E584" t="s">
        <v>675</v>
      </c>
      <c r="F584" t="s">
        <v>187</v>
      </c>
      <c r="G584" s="1">
        <v>45784</v>
      </c>
      <c r="H584" s="1">
        <v>45791</v>
      </c>
      <c r="I584" s="2">
        <v>212.72</v>
      </c>
      <c r="J584" t="s">
        <v>779</v>
      </c>
      <c r="K584" t="s">
        <v>786</v>
      </c>
      <c r="L584" t="s">
        <v>823</v>
      </c>
      <c r="M584" t="s">
        <v>828</v>
      </c>
      <c r="N584" t="str">
        <f t="shared" si="27"/>
        <v>T-2</v>
      </c>
      <c r="O584">
        <f t="shared" si="28"/>
        <v>2025</v>
      </c>
      <c r="P584" t="str">
        <f t="shared" si="29"/>
        <v>5. mayo</v>
      </c>
    </row>
    <row r="585" spans="1:16" x14ac:dyDescent="0.35">
      <c r="A585">
        <v>490603</v>
      </c>
      <c r="B585" t="s">
        <v>33</v>
      </c>
      <c r="C585" t="s">
        <v>136</v>
      </c>
      <c r="D585" t="s">
        <v>311</v>
      </c>
      <c r="E585" t="s">
        <v>675</v>
      </c>
      <c r="F585" t="s">
        <v>187</v>
      </c>
      <c r="G585" s="1">
        <v>45784</v>
      </c>
      <c r="H585" s="1">
        <v>45791</v>
      </c>
      <c r="I585" s="2">
        <v>850.88</v>
      </c>
      <c r="J585" t="s">
        <v>779</v>
      </c>
      <c r="K585" t="s">
        <v>786</v>
      </c>
      <c r="L585" t="s">
        <v>823</v>
      </c>
      <c r="M585" t="s">
        <v>828</v>
      </c>
      <c r="N585" t="str">
        <f t="shared" si="27"/>
        <v>T-2</v>
      </c>
      <c r="O585">
        <f t="shared" si="28"/>
        <v>2025</v>
      </c>
      <c r="P585" t="str">
        <f t="shared" si="29"/>
        <v>5. mayo</v>
      </c>
    </row>
    <row r="586" spans="1:16" x14ac:dyDescent="0.35">
      <c r="A586">
        <v>716946</v>
      </c>
      <c r="B586" t="s">
        <v>30</v>
      </c>
      <c r="C586" t="s">
        <v>138</v>
      </c>
      <c r="D586" t="s">
        <v>161</v>
      </c>
      <c r="E586" t="s">
        <v>679</v>
      </c>
      <c r="F586" t="s">
        <v>187</v>
      </c>
      <c r="G586" s="1">
        <v>45805</v>
      </c>
      <c r="H586" s="1">
        <v>45805</v>
      </c>
      <c r="I586" s="2">
        <v>2655</v>
      </c>
      <c r="J586" t="s">
        <v>779</v>
      </c>
      <c r="K586" t="s">
        <v>786</v>
      </c>
      <c r="L586" t="s">
        <v>823</v>
      </c>
      <c r="M586" t="s">
        <v>830</v>
      </c>
      <c r="N586" t="str">
        <f t="shared" si="27"/>
        <v>T-2</v>
      </c>
      <c r="O586">
        <f t="shared" si="28"/>
        <v>2025</v>
      </c>
      <c r="P586" t="str">
        <f t="shared" si="29"/>
        <v>5. mayo</v>
      </c>
    </row>
    <row r="587" spans="1:16" x14ac:dyDescent="0.35">
      <c r="A587">
        <v>717843</v>
      </c>
      <c r="B587" t="s">
        <v>34</v>
      </c>
      <c r="C587" t="s">
        <v>137</v>
      </c>
      <c r="D587" t="s">
        <v>294</v>
      </c>
      <c r="E587" t="s">
        <v>684</v>
      </c>
      <c r="F587" t="s">
        <v>187</v>
      </c>
      <c r="G587" s="1">
        <v>45666</v>
      </c>
      <c r="H587" s="1">
        <v>45666</v>
      </c>
      <c r="I587" s="2">
        <v>752.44</v>
      </c>
      <c r="J587" t="s">
        <v>776</v>
      </c>
      <c r="K587" t="s">
        <v>786</v>
      </c>
      <c r="L587" t="s">
        <v>823</v>
      </c>
      <c r="M587" t="s">
        <v>829</v>
      </c>
      <c r="N587" t="str">
        <f t="shared" si="27"/>
        <v>T-1</v>
      </c>
      <c r="O587">
        <f t="shared" si="28"/>
        <v>2025</v>
      </c>
      <c r="P587" t="str">
        <f t="shared" si="29"/>
        <v>1. enero</v>
      </c>
    </row>
    <row r="588" spans="1:16" x14ac:dyDescent="0.35">
      <c r="A588">
        <v>750038</v>
      </c>
      <c r="B588" t="s">
        <v>4</v>
      </c>
      <c r="C588" t="s">
        <v>138</v>
      </c>
      <c r="D588" t="s">
        <v>296</v>
      </c>
      <c r="E588" t="s">
        <v>684</v>
      </c>
      <c r="F588" t="s">
        <v>187</v>
      </c>
      <c r="G588" s="1">
        <v>45672</v>
      </c>
      <c r="H588" s="1">
        <v>45672</v>
      </c>
      <c r="I588" s="2">
        <v>752.44</v>
      </c>
      <c r="J588" t="s">
        <v>776</v>
      </c>
      <c r="K588" t="s">
        <v>786</v>
      </c>
      <c r="L588" t="s">
        <v>823</v>
      </c>
      <c r="M588" t="s">
        <v>830</v>
      </c>
      <c r="N588" t="str">
        <f t="shared" si="27"/>
        <v>T-1</v>
      </c>
      <c r="O588">
        <f t="shared" si="28"/>
        <v>2025</v>
      </c>
      <c r="P588" t="str">
        <f t="shared" si="29"/>
        <v>1. enero</v>
      </c>
    </row>
    <row r="589" spans="1:16" x14ac:dyDescent="0.35">
      <c r="A589">
        <v>719240</v>
      </c>
      <c r="B589" t="s">
        <v>34</v>
      </c>
      <c r="C589" t="s">
        <v>138</v>
      </c>
      <c r="D589" t="s">
        <v>161</v>
      </c>
      <c r="E589" t="s">
        <v>679</v>
      </c>
      <c r="F589" t="s">
        <v>187</v>
      </c>
      <c r="G589" s="1">
        <v>45805</v>
      </c>
      <c r="H589" s="1">
        <v>45805</v>
      </c>
      <c r="I589" s="2">
        <v>295</v>
      </c>
      <c r="J589" t="s">
        <v>779</v>
      </c>
      <c r="K589" t="s">
        <v>786</v>
      </c>
      <c r="L589" t="s">
        <v>824</v>
      </c>
      <c r="M589" t="s">
        <v>830</v>
      </c>
      <c r="N589" t="str">
        <f t="shared" si="27"/>
        <v>T-2</v>
      </c>
      <c r="O589">
        <f t="shared" si="28"/>
        <v>2025</v>
      </c>
      <c r="P589" t="str">
        <f t="shared" si="29"/>
        <v>5. mayo</v>
      </c>
    </row>
    <row r="590" spans="1:16" x14ac:dyDescent="0.35">
      <c r="A590">
        <v>430350</v>
      </c>
      <c r="B590" t="s">
        <v>30</v>
      </c>
      <c r="C590" t="s">
        <v>138</v>
      </c>
      <c r="D590" t="s">
        <v>224</v>
      </c>
      <c r="E590" t="s">
        <v>676</v>
      </c>
      <c r="F590" t="s">
        <v>187</v>
      </c>
      <c r="G590" s="1">
        <v>45754</v>
      </c>
      <c r="H590" s="1">
        <v>45754</v>
      </c>
      <c r="I590" s="2">
        <v>470</v>
      </c>
      <c r="J590" t="s">
        <v>779</v>
      </c>
      <c r="K590" t="s">
        <v>797</v>
      </c>
      <c r="L590" t="s">
        <v>823</v>
      </c>
      <c r="M590" t="s">
        <v>828</v>
      </c>
      <c r="N590" t="str">
        <f t="shared" si="27"/>
        <v>T-2</v>
      </c>
      <c r="O590">
        <f t="shared" si="28"/>
        <v>2025</v>
      </c>
      <c r="P590" t="str">
        <f t="shared" si="29"/>
        <v>4. abril</v>
      </c>
    </row>
    <row r="591" spans="1:16" x14ac:dyDescent="0.35">
      <c r="A591">
        <v>480674</v>
      </c>
      <c r="B591" t="s">
        <v>33</v>
      </c>
      <c r="C591" t="s">
        <v>138</v>
      </c>
      <c r="D591" t="s">
        <v>224</v>
      </c>
      <c r="E591" t="s">
        <v>676</v>
      </c>
      <c r="F591" t="s">
        <v>187</v>
      </c>
      <c r="G591" s="1">
        <v>45754</v>
      </c>
      <c r="H591" s="1">
        <v>45754</v>
      </c>
      <c r="I591" s="2">
        <v>1500</v>
      </c>
      <c r="J591" t="s">
        <v>779</v>
      </c>
      <c r="K591" t="s">
        <v>783</v>
      </c>
      <c r="L591" t="s">
        <v>823</v>
      </c>
      <c r="M591" t="s">
        <v>828</v>
      </c>
      <c r="N591" t="str">
        <f t="shared" si="27"/>
        <v>T-2</v>
      </c>
      <c r="O591">
        <f t="shared" si="28"/>
        <v>2025</v>
      </c>
      <c r="P591" t="str">
        <f t="shared" si="29"/>
        <v>4. abril</v>
      </c>
    </row>
    <row r="592" spans="1:16" x14ac:dyDescent="0.35">
      <c r="A592">
        <v>413406</v>
      </c>
      <c r="B592" t="s">
        <v>94</v>
      </c>
      <c r="C592" t="s">
        <v>139</v>
      </c>
      <c r="D592" t="s">
        <v>224</v>
      </c>
      <c r="E592" t="s">
        <v>676</v>
      </c>
      <c r="F592" t="s">
        <v>187</v>
      </c>
      <c r="G592" s="1">
        <v>45757</v>
      </c>
      <c r="H592" s="1">
        <v>45757</v>
      </c>
      <c r="I592" s="2">
        <v>1500</v>
      </c>
      <c r="J592" t="s">
        <v>779</v>
      </c>
      <c r="K592" t="s">
        <v>783</v>
      </c>
      <c r="L592" t="s">
        <v>823</v>
      </c>
      <c r="M592" t="s">
        <v>829</v>
      </c>
      <c r="N592" t="str">
        <f t="shared" si="27"/>
        <v>T-2</v>
      </c>
      <c r="O592">
        <f t="shared" si="28"/>
        <v>2025</v>
      </c>
      <c r="P592" t="str">
        <f t="shared" si="29"/>
        <v>4. abril</v>
      </c>
    </row>
    <row r="593" spans="1:16" x14ac:dyDescent="0.35">
      <c r="A593">
        <v>466017</v>
      </c>
      <c r="B593" t="s">
        <v>50</v>
      </c>
      <c r="C593" t="s">
        <v>138</v>
      </c>
      <c r="D593" t="s">
        <v>224</v>
      </c>
      <c r="E593" t="s">
        <v>676</v>
      </c>
      <c r="F593" t="s">
        <v>187</v>
      </c>
      <c r="G593" s="1">
        <v>45757</v>
      </c>
      <c r="H593" s="1">
        <v>45757</v>
      </c>
      <c r="I593" s="2">
        <v>1500</v>
      </c>
      <c r="J593" t="s">
        <v>779</v>
      </c>
      <c r="K593" t="s">
        <v>805</v>
      </c>
      <c r="L593" t="s">
        <v>823</v>
      </c>
      <c r="M593" t="s">
        <v>830</v>
      </c>
      <c r="N593" t="str">
        <f t="shared" si="27"/>
        <v>T-2</v>
      </c>
      <c r="O593">
        <f t="shared" si="28"/>
        <v>2025</v>
      </c>
      <c r="P593" t="str">
        <f t="shared" si="29"/>
        <v>4. abril</v>
      </c>
    </row>
    <row r="594" spans="1:16" x14ac:dyDescent="0.35">
      <c r="A594">
        <v>476589</v>
      </c>
      <c r="B594" t="s">
        <v>5</v>
      </c>
      <c r="C594" t="s">
        <v>139</v>
      </c>
      <c r="D594" t="s">
        <v>164</v>
      </c>
      <c r="E594" t="s">
        <v>675</v>
      </c>
      <c r="F594" t="s">
        <v>187</v>
      </c>
      <c r="G594" s="1">
        <v>45803</v>
      </c>
      <c r="H594" s="1">
        <v>45806</v>
      </c>
      <c r="I594" s="2">
        <v>582.4</v>
      </c>
      <c r="J594" t="s">
        <v>779</v>
      </c>
      <c r="K594" t="s">
        <v>783</v>
      </c>
      <c r="L594" t="s">
        <v>823</v>
      </c>
      <c r="M594" t="s">
        <v>830</v>
      </c>
      <c r="N594" t="str">
        <f t="shared" si="27"/>
        <v>T-2</v>
      </c>
      <c r="O594">
        <f t="shared" si="28"/>
        <v>2025</v>
      </c>
      <c r="P594" t="str">
        <f t="shared" si="29"/>
        <v>5. mayo</v>
      </c>
    </row>
    <row r="595" spans="1:16" x14ac:dyDescent="0.35">
      <c r="A595">
        <v>530732</v>
      </c>
      <c r="B595" t="s">
        <v>5</v>
      </c>
      <c r="C595" t="s">
        <v>138</v>
      </c>
      <c r="D595" t="s">
        <v>164</v>
      </c>
      <c r="E595" t="s">
        <v>675</v>
      </c>
      <c r="F595" t="s">
        <v>187</v>
      </c>
      <c r="G595" s="1">
        <v>45803</v>
      </c>
      <c r="H595" s="1">
        <v>45806</v>
      </c>
      <c r="I595" s="2">
        <v>1622.4</v>
      </c>
      <c r="J595" t="s">
        <v>779</v>
      </c>
      <c r="K595" t="s">
        <v>783</v>
      </c>
      <c r="L595" t="s">
        <v>824</v>
      </c>
      <c r="M595" t="s">
        <v>828</v>
      </c>
      <c r="N595" t="str">
        <f t="shared" si="27"/>
        <v>T-2</v>
      </c>
      <c r="O595">
        <f t="shared" si="28"/>
        <v>2025</v>
      </c>
      <c r="P595" t="str">
        <f t="shared" si="29"/>
        <v>5. mayo</v>
      </c>
    </row>
    <row r="596" spans="1:16" x14ac:dyDescent="0.35">
      <c r="A596">
        <v>310356</v>
      </c>
      <c r="B596" t="s">
        <v>15</v>
      </c>
      <c r="C596" t="s">
        <v>136</v>
      </c>
      <c r="D596" t="s">
        <v>164</v>
      </c>
      <c r="E596" t="s">
        <v>675</v>
      </c>
      <c r="F596" t="s">
        <v>187</v>
      </c>
      <c r="G596" s="1">
        <v>45803</v>
      </c>
      <c r="H596" s="1">
        <v>45806</v>
      </c>
      <c r="I596" s="2">
        <v>332.8</v>
      </c>
      <c r="J596" t="s">
        <v>779</v>
      </c>
      <c r="K596" t="s">
        <v>785</v>
      </c>
      <c r="L596" t="s">
        <v>823</v>
      </c>
      <c r="M596" t="s">
        <v>830</v>
      </c>
      <c r="N596" t="str">
        <f t="shared" si="27"/>
        <v>T-2</v>
      </c>
      <c r="O596">
        <f t="shared" si="28"/>
        <v>2025</v>
      </c>
      <c r="P596" t="str">
        <f t="shared" si="29"/>
        <v>5. mayo</v>
      </c>
    </row>
    <row r="597" spans="1:16" x14ac:dyDescent="0.35">
      <c r="A597">
        <v>718463</v>
      </c>
      <c r="B597" t="s">
        <v>30</v>
      </c>
      <c r="C597" t="s">
        <v>137</v>
      </c>
      <c r="D597" t="s">
        <v>383</v>
      </c>
      <c r="E597" t="s">
        <v>725</v>
      </c>
      <c r="F597" t="s">
        <v>187</v>
      </c>
      <c r="G597" s="1">
        <v>45810</v>
      </c>
      <c r="H597" s="1">
        <v>45812</v>
      </c>
      <c r="I597" s="2">
        <v>845</v>
      </c>
      <c r="J597" t="s">
        <v>778</v>
      </c>
      <c r="K597" t="s">
        <v>783</v>
      </c>
      <c r="L597" t="s">
        <v>823</v>
      </c>
      <c r="M597" t="s">
        <v>829</v>
      </c>
      <c r="N597" t="str">
        <f t="shared" si="27"/>
        <v>T-2</v>
      </c>
      <c r="O597">
        <f t="shared" si="28"/>
        <v>2025</v>
      </c>
      <c r="P597" t="str">
        <f t="shared" si="29"/>
        <v>6. junio</v>
      </c>
    </row>
    <row r="598" spans="1:16" x14ac:dyDescent="0.35">
      <c r="A598">
        <v>713178</v>
      </c>
      <c r="B598" t="s">
        <v>39</v>
      </c>
      <c r="C598" t="s">
        <v>138</v>
      </c>
      <c r="D598" t="s">
        <v>167</v>
      </c>
      <c r="E598" t="s">
        <v>717</v>
      </c>
      <c r="F598" t="s">
        <v>187</v>
      </c>
      <c r="G598" s="1">
        <v>45842</v>
      </c>
      <c r="H598" s="1">
        <v>45842</v>
      </c>
      <c r="I598" s="2">
        <v>384.75</v>
      </c>
      <c r="J598" t="s">
        <v>774</v>
      </c>
      <c r="K598" t="s">
        <v>783</v>
      </c>
      <c r="L598" t="s">
        <v>823</v>
      </c>
      <c r="M598" t="s">
        <v>830</v>
      </c>
      <c r="N598" t="str">
        <f t="shared" si="27"/>
        <v>T-3</v>
      </c>
      <c r="O598">
        <f t="shared" si="28"/>
        <v>2025</v>
      </c>
      <c r="P598" t="str">
        <f t="shared" si="29"/>
        <v>7. julio</v>
      </c>
    </row>
    <row r="599" spans="1:16" x14ac:dyDescent="0.35">
      <c r="A599">
        <v>711793</v>
      </c>
      <c r="B599" t="s">
        <v>45</v>
      </c>
      <c r="C599" t="s">
        <v>138</v>
      </c>
      <c r="D599" t="s">
        <v>167</v>
      </c>
      <c r="E599" t="s">
        <v>717</v>
      </c>
      <c r="F599" t="s">
        <v>773</v>
      </c>
      <c r="G599" s="1">
        <v>46341</v>
      </c>
      <c r="H599" s="1">
        <v>46341</v>
      </c>
      <c r="I599" s="2">
        <v>384.75</v>
      </c>
      <c r="J599" t="s">
        <v>774</v>
      </c>
      <c r="K599" t="s">
        <v>783</v>
      </c>
      <c r="L599" t="s">
        <v>823</v>
      </c>
      <c r="M599" t="s">
        <v>830</v>
      </c>
      <c r="N599" t="str">
        <f t="shared" si="27"/>
        <v>T-4</v>
      </c>
      <c r="O599">
        <f t="shared" si="28"/>
        <v>2026</v>
      </c>
      <c r="P599" t="str">
        <f t="shared" si="29"/>
        <v>11. noviembre</v>
      </c>
    </row>
    <row r="600" spans="1:16" x14ac:dyDescent="0.35">
      <c r="A600">
        <v>718079</v>
      </c>
      <c r="B600" t="s">
        <v>24</v>
      </c>
      <c r="C600" t="s">
        <v>138</v>
      </c>
      <c r="D600" t="s">
        <v>167</v>
      </c>
      <c r="E600" t="s">
        <v>717</v>
      </c>
      <c r="F600" t="s">
        <v>188</v>
      </c>
      <c r="G600" s="1">
        <v>45976</v>
      </c>
      <c r="H600" s="1">
        <v>45976</v>
      </c>
      <c r="I600" s="2">
        <v>384.75</v>
      </c>
      <c r="J600" t="s">
        <v>774</v>
      </c>
      <c r="K600" t="s">
        <v>785</v>
      </c>
      <c r="L600" t="s">
        <v>823</v>
      </c>
      <c r="M600" t="s">
        <v>828</v>
      </c>
      <c r="N600" t="str">
        <f t="shared" si="27"/>
        <v>T-4</v>
      </c>
      <c r="O600">
        <f t="shared" si="28"/>
        <v>2025</v>
      </c>
      <c r="P600" t="str">
        <f t="shared" si="29"/>
        <v>11. noviembre</v>
      </c>
    </row>
    <row r="601" spans="1:16" x14ac:dyDescent="0.35">
      <c r="A601">
        <v>710304</v>
      </c>
      <c r="B601" t="s">
        <v>6</v>
      </c>
      <c r="C601" t="s">
        <v>138</v>
      </c>
      <c r="D601" t="s">
        <v>167</v>
      </c>
      <c r="E601" t="s">
        <v>717</v>
      </c>
      <c r="F601" t="s">
        <v>773</v>
      </c>
      <c r="G601" s="1">
        <v>46341</v>
      </c>
      <c r="H601" s="1">
        <v>46341</v>
      </c>
      <c r="I601" s="2">
        <v>384.75</v>
      </c>
      <c r="J601" t="s">
        <v>774</v>
      </c>
      <c r="K601" t="s">
        <v>785</v>
      </c>
      <c r="L601" t="s">
        <v>823</v>
      </c>
      <c r="M601" t="s">
        <v>828</v>
      </c>
      <c r="N601" t="str">
        <f t="shared" si="27"/>
        <v>T-4</v>
      </c>
      <c r="O601">
        <f t="shared" si="28"/>
        <v>2026</v>
      </c>
      <c r="P601" t="str">
        <f t="shared" si="29"/>
        <v>11. noviembre</v>
      </c>
    </row>
    <row r="602" spans="1:16" x14ac:dyDescent="0.35">
      <c r="A602">
        <v>497671</v>
      </c>
      <c r="B602" t="s">
        <v>39</v>
      </c>
      <c r="C602" t="s">
        <v>138</v>
      </c>
      <c r="D602" t="s">
        <v>167</v>
      </c>
      <c r="E602" t="s">
        <v>717</v>
      </c>
      <c r="F602" t="s">
        <v>773</v>
      </c>
      <c r="G602" s="1">
        <v>46341</v>
      </c>
      <c r="H602" s="1">
        <v>46341</v>
      </c>
      <c r="I602" s="2">
        <v>384.75</v>
      </c>
      <c r="J602" t="s">
        <v>774</v>
      </c>
      <c r="K602" t="s">
        <v>783</v>
      </c>
      <c r="L602" t="s">
        <v>824</v>
      </c>
      <c r="M602" t="s">
        <v>830</v>
      </c>
      <c r="N602" t="str">
        <f t="shared" si="27"/>
        <v>T-4</v>
      </c>
      <c r="O602">
        <f t="shared" si="28"/>
        <v>2026</v>
      </c>
      <c r="P602" t="str">
        <f t="shared" si="29"/>
        <v>11. noviembre</v>
      </c>
    </row>
    <row r="603" spans="1:16" x14ac:dyDescent="0.35">
      <c r="A603">
        <v>752306</v>
      </c>
      <c r="B603" t="s">
        <v>31</v>
      </c>
      <c r="C603" t="s">
        <v>139</v>
      </c>
      <c r="D603" t="s">
        <v>161</v>
      </c>
      <c r="E603" t="s">
        <v>679</v>
      </c>
      <c r="F603" t="s">
        <v>187</v>
      </c>
      <c r="G603" s="1">
        <v>45814</v>
      </c>
      <c r="H603" s="1">
        <v>45814</v>
      </c>
      <c r="I603" s="2">
        <v>4025</v>
      </c>
      <c r="J603" t="s">
        <v>779</v>
      </c>
      <c r="K603" t="s">
        <v>783</v>
      </c>
      <c r="L603" t="s">
        <v>823</v>
      </c>
      <c r="M603" t="s">
        <v>829</v>
      </c>
      <c r="N603" t="str">
        <f t="shared" si="27"/>
        <v>T-2</v>
      </c>
      <c r="O603">
        <f t="shared" si="28"/>
        <v>2025</v>
      </c>
      <c r="P603" t="str">
        <f t="shared" si="29"/>
        <v>6. junio</v>
      </c>
    </row>
    <row r="604" spans="1:16" x14ac:dyDescent="0.35">
      <c r="A604">
        <v>133003</v>
      </c>
      <c r="B604" t="s">
        <v>20</v>
      </c>
      <c r="C604" t="s">
        <v>136</v>
      </c>
      <c r="D604" t="s">
        <v>311</v>
      </c>
      <c r="E604" t="s">
        <v>675</v>
      </c>
      <c r="F604" t="s">
        <v>187</v>
      </c>
      <c r="G604" s="1">
        <v>45783</v>
      </c>
      <c r="H604" s="1">
        <v>45791</v>
      </c>
      <c r="I604" s="2">
        <v>1755</v>
      </c>
      <c r="J604" t="s">
        <v>779</v>
      </c>
      <c r="K604" t="s">
        <v>783</v>
      </c>
      <c r="L604" t="s">
        <v>823</v>
      </c>
      <c r="M604" t="s">
        <v>830</v>
      </c>
      <c r="N604" t="str">
        <f t="shared" si="27"/>
        <v>T-2</v>
      </c>
      <c r="O604">
        <f t="shared" si="28"/>
        <v>2025</v>
      </c>
      <c r="P604" t="str">
        <f t="shared" si="29"/>
        <v>5. mayo</v>
      </c>
    </row>
    <row r="605" spans="1:16" x14ac:dyDescent="0.35">
      <c r="A605">
        <v>714507</v>
      </c>
      <c r="B605" t="s">
        <v>67</v>
      </c>
      <c r="C605" t="s">
        <v>141</v>
      </c>
      <c r="D605" t="s">
        <v>311</v>
      </c>
      <c r="E605" t="s">
        <v>675</v>
      </c>
      <c r="F605" t="s">
        <v>187</v>
      </c>
      <c r="G605" s="1">
        <v>45799</v>
      </c>
      <c r="H605" s="1">
        <v>45806</v>
      </c>
      <c r="I605" s="2">
        <v>975</v>
      </c>
      <c r="J605" t="s">
        <v>779</v>
      </c>
      <c r="K605" t="s">
        <v>788</v>
      </c>
      <c r="L605" t="s">
        <v>823</v>
      </c>
      <c r="M605" t="s">
        <v>830</v>
      </c>
      <c r="N605" t="str">
        <f t="shared" si="27"/>
        <v>T-2</v>
      </c>
      <c r="O605">
        <f t="shared" si="28"/>
        <v>2025</v>
      </c>
      <c r="P605" t="str">
        <f t="shared" si="29"/>
        <v>5. mayo</v>
      </c>
    </row>
    <row r="606" spans="1:16" x14ac:dyDescent="0.35">
      <c r="A606">
        <v>589276</v>
      </c>
      <c r="B606" t="s">
        <v>27</v>
      </c>
      <c r="C606" t="s">
        <v>139</v>
      </c>
      <c r="D606" t="s">
        <v>311</v>
      </c>
      <c r="E606" t="s">
        <v>675</v>
      </c>
      <c r="F606" t="s">
        <v>187</v>
      </c>
      <c r="G606" s="1">
        <v>45792</v>
      </c>
      <c r="H606" s="1">
        <v>45800</v>
      </c>
      <c r="I606" s="2">
        <v>1489.12</v>
      </c>
      <c r="J606" t="s">
        <v>779</v>
      </c>
      <c r="K606" t="s">
        <v>788</v>
      </c>
      <c r="L606" t="s">
        <v>823</v>
      </c>
      <c r="M606" t="s">
        <v>828</v>
      </c>
      <c r="N606" t="str">
        <f t="shared" si="27"/>
        <v>T-2</v>
      </c>
      <c r="O606">
        <f t="shared" si="28"/>
        <v>2025</v>
      </c>
      <c r="P606" t="str">
        <f t="shared" si="29"/>
        <v>5. mayo</v>
      </c>
    </row>
    <row r="607" spans="1:16" x14ac:dyDescent="0.35">
      <c r="A607">
        <v>702178</v>
      </c>
      <c r="B607" t="s">
        <v>32</v>
      </c>
      <c r="C607" t="s">
        <v>138</v>
      </c>
      <c r="D607" t="s">
        <v>147</v>
      </c>
      <c r="E607" t="s">
        <v>677</v>
      </c>
      <c r="F607" t="s">
        <v>187</v>
      </c>
      <c r="G607" s="1">
        <v>45785</v>
      </c>
      <c r="H607" s="1">
        <v>45785</v>
      </c>
      <c r="I607" s="2">
        <v>1326.67</v>
      </c>
      <c r="J607" t="s">
        <v>779</v>
      </c>
      <c r="K607" t="s">
        <v>783</v>
      </c>
      <c r="L607" t="s">
        <v>823</v>
      </c>
      <c r="M607" t="s">
        <v>828</v>
      </c>
      <c r="N607" t="str">
        <f t="shared" si="27"/>
        <v>T-2</v>
      </c>
      <c r="O607">
        <f t="shared" si="28"/>
        <v>2025</v>
      </c>
      <c r="P607" t="str">
        <f t="shared" si="29"/>
        <v>5. mayo</v>
      </c>
    </row>
    <row r="608" spans="1:16" x14ac:dyDescent="0.35">
      <c r="A608">
        <v>567296</v>
      </c>
      <c r="B608" t="s">
        <v>22</v>
      </c>
      <c r="C608" t="s">
        <v>138</v>
      </c>
      <c r="D608" t="s">
        <v>281</v>
      </c>
      <c r="E608" t="s">
        <v>677</v>
      </c>
      <c r="F608" t="s">
        <v>187</v>
      </c>
      <c r="G608" s="1">
        <v>45813</v>
      </c>
      <c r="H608" s="1">
        <v>45813</v>
      </c>
      <c r="I608" s="2">
        <v>1314.35</v>
      </c>
      <c r="J608" t="s">
        <v>779</v>
      </c>
      <c r="K608" t="s">
        <v>783</v>
      </c>
      <c r="L608" t="s">
        <v>823</v>
      </c>
      <c r="M608" t="s">
        <v>829</v>
      </c>
      <c r="N608" t="str">
        <f t="shared" si="27"/>
        <v>T-2</v>
      </c>
      <c r="O608">
        <f t="shared" si="28"/>
        <v>2025</v>
      </c>
      <c r="P608" t="str">
        <f t="shared" si="29"/>
        <v>6. junio</v>
      </c>
    </row>
    <row r="609" spans="1:16" x14ac:dyDescent="0.35">
      <c r="A609">
        <v>718081</v>
      </c>
      <c r="B609" t="s">
        <v>33</v>
      </c>
      <c r="C609" t="s">
        <v>138</v>
      </c>
      <c r="D609" t="s">
        <v>161</v>
      </c>
      <c r="E609" t="s">
        <v>679</v>
      </c>
      <c r="F609" t="s">
        <v>187</v>
      </c>
      <c r="G609" s="1">
        <v>45817</v>
      </c>
      <c r="H609" s="1">
        <v>45817</v>
      </c>
      <c r="I609" s="2">
        <v>245</v>
      </c>
      <c r="J609" t="s">
        <v>779</v>
      </c>
      <c r="K609" t="s">
        <v>786</v>
      </c>
      <c r="L609" t="s">
        <v>823</v>
      </c>
      <c r="M609" t="s">
        <v>830</v>
      </c>
      <c r="N609" t="str">
        <f t="shared" si="27"/>
        <v>T-2</v>
      </c>
      <c r="O609">
        <f t="shared" si="28"/>
        <v>2025</v>
      </c>
      <c r="P609" t="str">
        <f t="shared" si="29"/>
        <v>6. junio</v>
      </c>
    </row>
    <row r="610" spans="1:16" x14ac:dyDescent="0.35">
      <c r="A610">
        <v>561039</v>
      </c>
      <c r="B610" t="s">
        <v>5</v>
      </c>
      <c r="C610" t="s">
        <v>138</v>
      </c>
      <c r="D610" t="s">
        <v>161</v>
      </c>
      <c r="E610" t="s">
        <v>679</v>
      </c>
      <c r="F610" t="s">
        <v>187</v>
      </c>
      <c r="G610" s="1">
        <v>45817</v>
      </c>
      <c r="H610" s="1">
        <v>45817</v>
      </c>
      <c r="I610" s="2">
        <v>3799.56</v>
      </c>
      <c r="J610" t="s">
        <v>779</v>
      </c>
      <c r="K610" t="s">
        <v>786</v>
      </c>
      <c r="L610" t="s">
        <v>824</v>
      </c>
      <c r="M610" t="s">
        <v>830</v>
      </c>
      <c r="N610" t="str">
        <f t="shared" si="27"/>
        <v>T-2</v>
      </c>
      <c r="O610">
        <f t="shared" si="28"/>
        <v>2025</v>
      </c>
      <c r="P610" t="str">
        <f t="shared" si="29"/>
        <v>6. junio</v>
      </c>
    </row>
    <row r="611" spans="1:16" x14ac:dyDescent="0.35">
      <c r="A611">
        <v>717971</v>
      </c>
      <c r="B611" t="s">
        <v>27</v>
      </c>
      <c r="C611" t="s">
        <v>137</v>
      </c>
      <c r="D611" t="s">
        <v>384</v>
      </c>
      <c r="E611" t="s">
        <v>662</v>
      </c>
      <c r="F611" t="s">
        <v>187</v>
      </c>
      <c r="G611" s="1">
        <v>45825</v>
      </c>
      <c r="H611" s="1">
        <v>45827</v>
      </c>
      <c r="I611" s="2">
        <v>4500</v>
      </c>
      <c r="J611" t="s">
        <v>776</v>
      </c>
      <c r="K611" t="s">
        <v>783</v>
      </c>
      <c r="L611" t="s">
        <v>823</v>
      </c>
      <c r="M611" t="s">
        <v>828</v>
      </c>
      <c r="N611" t="str">
        <f t="shared" si="27"/>
        <v>T-2</v>
      </c>
      <c r="O611">
        <f t="shared" si="28"/>
        <v>2025</v>
      </c>
      <c r="P611" t="str">
        <f t="shared" si="29"/>
        <v>6. junio</v>
      </c>
    </row>
    <row r="612" spans="1:16" x14ac:dyDescent="0.35">
      <c r="A612">
        <v>160007</v>
      </c>
      <c r="B612" t="s">
        <v>14</v>
      </c>
      <c r="C612" t="s">
        <v>141</v>
      </c>
      <c r="D612" t="s">
        <v>156</v>
      </c>
      <c r="E612" t="s">
        <v>673</v>
      </c>
      <c r="F612" t="s">
        <v>187</v>
      </c>
      <c r="G612" s="1">
        <v>45814</v>
      </c>
      <c r="H612" s="1">
        <v>45814</v>
      </c>
      <c r="I612" s="2">
        <v>375</v>
      </c>
      <c r="J612" t="s">
        <v>779</v>
      </c>
      <c r="K612" t="s">
        <v>802</v>
      </c>
      <c r="L612" t="s">
        <v>823</v>
      </c>
      <c r="M612" t="s">
        <v>830</v>
      </c>
      <c r="N612" t="str">
        <f t="shared" si="27"/>
        <v>T-2</v>
      </c>
      <c r="O612">
        <f t="shared" si="28"/>
        <v>2025</v>
      </c>
      <c r="P612" t="str">
        <f t="shared" si="29"/>
        <v>6. junio</v>
      </c>
    </row>
    <row r="613" spans="1:16" x14ac:dyDescent="0.35">
      <c r="A613">
        <v>604881</v>
      </c>
      <c r="B613" t="s">
        <v>13</v>
      </c>
      <c r="C613" t="s">
        <v>139</v>
      </c>
      <c r="D613" t="s">
        <v>156</v>
      </c>
      <c r="E613" t="s">
        <v>673</v>
      </c>
      <c r="F613" t="s">
        <v>187</v>
      </c>
      <c r="G613" s="1">
        <v>45814</v>
      </c>
      <c r="H613" s="1">
        <v>45814</v>
      </c>
      <c r="I613" s="2">
        <v>2000</v>
      </c>
      <c r="J613" t="s">
        <v>779</v>
      </c>
      <c r="K613" t="s">
        <v>785</v>
      </c>
      <c r="L613" t="s">
        <v>823</v>
      </c>
      <c r="M613" t="s">
        <v>829</v>
      </c>
      <c r="N613" t="str">
        <f t="shared" si="27"/>
        <v>T-2</v>
      </c>
      <c r="O613">
        <f t="shared" si="28"/>
        <v>2025</v>
      </c>
      <c r="P613" t="str">
        <f t="shared" si="29"/>
        <v>6. junio</v>
      </c>
    </row>
    <row r="614" spans="1:16" x14ac:dyDescent="0.35">
      <c r="A614">
        <v>719768</v>
      </c>
      <c r="B614" t="s">
        <v>32</v>
      </c>
      <c r="C614" t="s">
        <v>137</v>
      </c>
      <c r="D614" t="s">
        <v>251</v>
      </c>
      <c r="E614" t="s">
        <v>726</v>
      </c>
      <c r="F614" t="s">
        <v>187</v>
      </c>
      <c r="G614" s="1">
        <v>45824</v>
      </c>
      <c r="H614" s="1">
        <v>45827</v>
      </c>
      <c r="I614" s="2">
        <v>2760</v>
      </c>
      <c r="J614" t="s">
        <v>774</v>
      </c>
      <c r="K614" t="s">
        <v>783</v>
      </c>
      <c r="L614" t="s">
        <v>823</v>
      </c>
      <c r="M614" t="s">
        <v>830</v>
      </c>
      <c r="N614" t="str">
        <f t="shared" si="27"/>
        <v>T-2</v>
      </c>
      <c r="O614">
        <f t="shared" si="28"/>
        <v>2025</v>
      </c>
      <c r="P614" t="str">
        <f t="shared" si="29"/>
        <v>6. junio</v>
      </c>
    </row>
    <row r="615" spans="1:16" x14ac:dyDescent="0.35">
      <c r="A615">
        <v>530844</v>
      </c>
      <c r="B615" t="s">
        <v>75</v>
      </c>
      <c r="C615" t="s">
        <v>139</v>
      </c>
      <c r="D615" t="s">
        <v>385</v>
      </c>
      <c r="E615" t="s">
        <v>652</v>
      </c>
      <c r="F615" t="s">
        <v>187</v>
      </c>
      <c r="G615" s="1">
        <v>45811</v>
      </c>
      <c r="H615" s="1">
        <v>45814</v>
      </c>
      <c r="I615" s="2">
        <v>1872</v>
      </c>
      <c r="J615" t="s">
        <v>774</v>
      </c>
      <c r="K615" t="s">
        <v>783</v>
      </c>
      <c r="L615" t="s">
        <v>823</v>
      </c>
      <c r="M615" t="s">
        <v>830</v>
      </c>
      <c r="N615" t="str">
        <f t="shared" si="27"/>
        <v>T-2</v>
      </c>
      <c r="O615">
        <f t="shared" si="28"/>
        <v>2025</v>
      </c>
      <c r="P615" t="str">
        <f t="shared" si="29"/>
        <v>6. junio</v>
      </c>
    </row>
    <row r="616" spans="1:16" x14ac:dyDescent="0.35">
      <c r="A616">
        <v>722832</v>
      </c>
      <c r="B616" t="s">
        <v>23</v>
      </c>
      <c r="C616" t="s">
        <v>136</v>
      </c>
      <c r="D616" t="s">
        <v>385</v>
      </c>
      <c r="E616" t="s">
        <v>652</v>
      </c>
      <c r="F616" t="s">
        <v>187</v>
      </c>
      <c r="G616" s="1">
        <v>45811</v>
      </c>
      <c r="H616" s="1">
        <v>45814</v>
      </c>
      <c r="I616" s="2">
        <v>3744</v>
      </c>
      <c r="J616" t="s">
        <v>774</v>
      </c>
      <c r="K616" t="s">
        <v>783</v>
      </c>
      <c r="L616" t="s">
        <v>824</v>
      </c>
      <c r="M616" t="s">
        <v>828</v>
      </c>
      <c r="N616" t="str">
        <f t="shared" si="27"/>
        <v>T-2</v>
      </c>
      <c r="O616">
        <f t="shared" si="28"/>
        <v>2025</v>
      </c>
      <c r="P616" t="str">
        <f t="shared" si="29"/>
        <v>6. junio</v>
      </c>
    </row>
    <row r="617" spans="1:16" x14ac:dyDescent="0.35">
      <c r="A617">
        <v>719053</v>
      </c>
      <c r="B617" t="s">
        <v>34</v>
      </c>
      <c r="C617" t="s">
        <v>138</v>
      </c>
      <c r="D617" t="s">
        <v>246</v>
      </c>
      <c r="E617" t="s">
        <v>652</v>
      </c>
      <c r="F617" t="s">
        <v>187</v>
      </c>
      <c r="G617" s="1">
        <v>45810</v>
      </c>
      <c r="H617" s="1">
        <v>45810</v>
      </c>
      <c r="I617" s="2">
        <v>234</v>
      </c>
      <c r="J617" t="s">
        <v>774</v>
      </c>
      <c r="K617" t="s">
        <v>783</v>
      </c>
      <c r="L617" t="s">
        <v>823</v>
      </c>
      <c r="M617" t="s">
        <v>828</v>
      </c>
      <c r="N617" t="str">
        <f t="shared" si="27"/>
        <v>T-2</v>
      </c>
      <c r="O617">
        <f t="shared" si="28"/>
        <v>2025</v>
      </c>
      <c r="P617" t="str">
        <f t="shared" si="29"/>
        <v>6. junio</v>
      </c>
    </row>
    <row r="618" spans="1:16" x14ac:dyDescent="0.35">
      <c r="A618">
        <v>610475</v>
      </c>
      <c r="B618" t="s">
        <v>13</v>
      </c>
      <c r="C618" t="s">
        <v>138</v>
      </c>
      <c r="D618" t="s">
        <v>246</v>
      </c>
      <c r="E618" t="s">
        <v>652</v>
      </c>
      <c r="F618" t="s">
        <v>187</v>
      </c>
      <c r="G618" s="1">
        <v>45810</v>
      </c>
      <c r="H618" s="1">
        <v>45810</v>
      </c>
      <c r="I618" s="2">
        <v>546</v>
      </c>
      <c r="J618" t="s">
        <v>774</v>
      </c>
      <c r="K618" t="s">
        <v>783</v>
      </c>
      <c r="L618" t="s">
        <v>823</v>
      </c>
      <c r="M618" t="s">
        <v>830</v>
      </c>
      <c r="N618" t="str">
        <f t="shared" si="27"/>
        <v>T-2</v>
      </c>
      <c r="O618">
        <f t="shared" si="28"/>
        <v>2025</v>
      </c>
      <c r="P618" t="str">
        <f t="shared" si="29"/>
        <v>6. junio</v>
      </c>
    </row>
    <row r="619" spans="1:16" x14ac:dyDescent="0.35">
      <c r="A619">
        <v>711032</v>
      </c>
      <c r="B619" t="s">
        <v>30</v>
      </c>
      <c r="C619" t="s">
        <v>138</v>
      </c>
      <c r="D619" t="s">
        <v>386</v>
      </c>
      <c r="E619" t="s">
        <v>652</v>
      </c>
      <c r="F619" t="s">
        <v>187</v>
      </c>
      <c r="G619" s="1">
        <v>45810</v>
      </c>
      <c r="H619" s="1">
        <v>45813</v>
      </c>
      <c r="I619" s="2">
        <v>2496</v>
      </c>
      <c r="J619" t="s">
        <v>774</v>
      </c>
      <c r="K619" t="s">
        <v>783</v>
      </c>
      <c r="L619" t="s">
        <v>823</v>
      </c>
      <c r="M619" t="s">
        <v>829</v>
      </c>
      <c r="N619" t="str">
        <f t="shared" si="27"/>
        <v>T-2</v>
      </c>
      <c r="O619">
        <f t="shared" si="28"/>
        <v>2025</v>
      </c>
      <c r="P619" t="str">
        <f t="shared" si="29"/>
        <v>6. junio</v>
      </c>
    </row>
    <row r="620" spans="1:16" x14ac:dyDescent="0.35">
      <c r="A620">
        <v>407582</v>
      </c>
      <c r="B620" t="s">
        <v>5</v>
      </c>
      <c r="C620" t="s">
        <v>138</v>
      </c>
      <c r="D620" t="s">
        <v>316</v>
      </c>
      <c r="E620" t="s">
        <v>652</v>
      </c>
      <c r="F620" t="s">
        <v>187</v>
      </c>
      <c r="G620" s="1">
        <v>45811</v>
      </c>
      <c r="H620" s="1">
        <v>45813</v>
      </c>
      <c r="I620" s="2">
        <v>468</v>
      </c>
      <c r="J620" t="s">
        <v>774</v>
      </c>
      <c r="K620" t="s">
        <v>783</v>
      </c>
      <c r="L620" t="s">
        <v>823</v>
      </c>
      <c r="M620" t="s">
        <v>830</v>
      </c>
      <c r="N620" t="str">
        <f t="shared" si="27"/>
        <v>T-2</v>
      </c>
      <c r="O620">
        <f t="shared" si="28"/>
        <v>2025</v>
      </c>
      <c r="P620" t="str">
        <f t="shared" si="29"/>
        <v>6. junio</v>
      </c>
    </row>
    <row r="621" spans="1:16" x14ac:dyDescent="0.35">
      <c r="A621">
        <v>712199</v>
      </c>
      <c r="B621" t="s">
        <v>28</v>
      </c>
      <c r="C621" t="s">
        <v>141</v>
      </c>
      <c r="D621" t="s">
        <v>316</v>
      </c>
      <c r="E621" t="s">
        <v>652</v>
      </c>
      <c r="F621" t="s">
        <v>187</v>
      </c>
      <c r="G621" s="1">
        <v>45811</v>
      </c>
      <c r="H621" s="1">
        <v>45813</v>
      </c>
      <c r="I621" s="2">
        <v>1170</v>
      </c>
      <c r="J621" t="s">
        <v>774</v>
      </c>
      <c r="K621" t="s">
        <v>783</v>
      </c>
      <c r="L621" t="s">
        <v>823</v>
      </c>
      <c r="M621" t="s">
        <v>830</v>
      </c>
      <c r="N621" t="str">
        <f t="shared" si="27"/>
        <v>T-2</v>
      </c>
      <c r="O621">
        <f t="shared" si="28"/>
        <v>2025</v>
      </c>
      <c r="P621" t="str">
        <f t="shared" si="29"/>
        <v>6. junio</v>
      </c>
    </row>
    <row r="622" spans="1:16" x14ac:dyDescent="0.35">
      <c r="A622">
        <v>499078</v>
      </c>
      <c r="B622" t="s">
        <v>71</v>
      </c>
      <c r="C622" t="s">
        <v>138</v>
      </c>
      <c r="D622" t="s">
        <v>286</v>
      </c>
      <c r="E622" t="s">
        <v>652</v>
      </c>
      <c r="F622" t="s">
        <v>187</v>
      </c>
      <c r="G622" s="1">
        <v>45814</v>
      </c>
      <c r="H622" s="1">
        <v>45814</v>
      </c>
      <c r="I622" s="2">
        <v>624</v>
      </c>
      <c r="J622" t="s">
        <v>774</v>
      </c>
      <c r="K622" t="s">
        <v>783</v>
      </c>
      <c r="L622" t="s">
        <v>823</v>
      </c>
      <c r="M622" t="s">
        <v>828</v>
      </c>
      <c r="N622" t="str">
        <f t="shared" si="27"/>
        <v>T-2</v>
      </c>
      <c r="O622">
        <f t="shared" si="28"/>
        <v>2025</v>
      </c>
      <c r="P622" t="str">
        <f t="shared" si="29"/>
        <v>6. junio</v>
      </c>
    </row>
    <row r="623" spans="1:16" x14ac:dyDescent="0.35">
      <c r="A623">
        <v>497344</v>
      </c>
      <c r="B623" t="s">
        <v>24</v>
      </c>
      <c r="C623" t="s">
        <v>138</v>
      </c>
      <c r="D623" t="s">
        <v>286</v>
      </c>
      <c r="E623" t="s">
        <v>652</v>
      </c>
      <c r="F623" t="s">
        <v>187</v>
      </c>
      <c r="G623" s="1">
        <v>45814</v>
      </c>
      <c r="H623" s="1">
        <v>45814</v>
      </c>
      <c r="I623" s="2">
        <v>702</v>
      </c>
      <c r="J623" t="s">
        <v>774</v>
      </c>
      <c r="K623" t="s">
        <v>783</v>
      </c>
      <c r="L623" t="s">
        <v>824</v>
      </c>
      <c r="M623" t="s">
        <v>828</v>
      </c>
      <c r="N623" t="str">
        <f t="shared" si="27"/>
        <v>T-2</v>
      </c>
      <c r="O623">
        <f t="shared" si="28"/>
        <v>2025</v>
      </c>
      <c r="P623" t="str">
        <f t="shared" si="29"/>
        <v>6. junio</v>
      </c>
    </row>
    <row r="624" spans="1:16" x14ac:dyDescent="0.35">
      <c r="A624">
        <v>610279</v>
      </c>
      <c r="B624" t="s">
        <v>13</v>
      </c>
      <c r="C624" t="s">
        <v>138</v>
      </c>
      <c r="D624" t="s">
        <v>387</v>
      </c>
      <c r="E624" t="s">
        <v>716</v>
      </c>
      <c r="F624" t="s">
        <v>187</v>
      </c>
      <c r="G624" s="1">
        <v>45807</v>
      </c>
      <c r="H624" s="1">
        <v>45807</v>
      </c>
      <c r="I624" s="2">
        <v>5400</v>
      </c>
      <c r="J624" t="s">
        <v>779</v>
      </c>
      <c r="K624" t="s">
        <v>783</v>
      </c>
      <c r="L624" t="s">
        <v>823</v>
      </c>
      <c r="M624" t="s">
        <v>829</v>
      </c>
      <c r="N624" t="str">
        <f t="shared" si="27"/>
        <v>T-2</v>
      </c>
      <c r="O624">
        <f t="shared" si="28"/>
        <v>2025</v>
      </c>
      <c r="P624" t="str">
        <f t="shared" si="29"/>
        <v>5. mayo</v>
      </c>
    </row>
    <row r="625" spans="1:16" x14ac:dyDescent="0.35">
      <c r="A625">
        <v>719777</v>
      </c>
      <c r="B625" t="s">
        <v>10</v>
      </c>
      <c r="C625" t="s">
        <v>138</v>
      </c>
      <c r="D625" t="s">
        <v>387</v>
      </c>
      <c r="E625" t="s">
        <v>716</v>
      </c>
      <c r="F625" t="s">
        <v>187</v>
      </c>
      <c r="G625" s="1">
        <v>45814</v>
      </c>
      <c r="H625" s="1">
        <v>45814</v>
      </c>
      <c r="I625" s="2">
        <v>5400</v>
      </c>
      <c r="J625" t="s">
        <v>779</v>
      </c>
      <c r="K625" t="s">
        <v>783</v>
      </c>
      <c r="L625" t="s">
        <v>823</v>
      </c>
      <c r="M625" t="s">
        <v>830</v>
      </c>
      <c r="N625" t="str">
        <f t="shared" si="27"/>
        <v>T-2</v>
      </c>
      <c r="O625">
        <f t="shared" si="28"/>
        <v>2025</v>
      </c>
      <c r="P625" t="str">
        <f t="shared" si="29"/>
        <v>6. junio</v>
      </c>
    </row>
    <row r="626" spans="1:16" x14ac:dyDescent="0.35">
      <c r="A626">
        <v>705479</v>
      </c>
      <c r="B626" t="s">
        <v>33</v>
      </c>
      <c r="C626" t="s">
        <v>138</v>
      </c>
      <c r="D626" t="s">
        <v>280</v>
      </c>
      <c r="E626" t="s">
        <v>664</v>
      </c>
      <c r="F626" t="s">
        <v>187</v>
      </c>
      <c r="G626" s="1">
        <v>45805</v>
      </c>
      <c r="H626" s="1">
        <v>45818</v>
      </c>
      <c r="I626" s="2">
        <v>1348.36</v>
      </c>
      <c r="J626" t="s">
        <v>779</v>
      </c>
      <c r="K626" t="s">
        <v>783</v>
      </c>
      <c r="L626" t="s">
        <v>823</v>
      </c>
      <c r="M626" t="s">
        <v>830</v>
      </c>
      <c r="N626" t="str">
        <f t="shared" si="27"/>
        <v>T-2</v>
      </c>
      <c r="O626">
        <f t="shared" si="28"/>
        <v>2025</v>
      </c>
      <c r="P626" t="str">
        <f t="shared" si="29"/>
        <v>5. mayo</v>
      </c>
    </row>
    <row r="627" spans="1:16" x14ac:dyDescent="0.35">
      <c r="A627">
        <v>711908</v>
      </c>
      <c r="B627" t="s">
        <v>37</v>
      </c>
      <c r="C627" t="s">
        <v>138</v>
      </c>
      <c r="D627" t="s">
        <v>388</v>
      </c>
      <c r="E627" t="s">
        <v>727</v>
      </c>
      <c r="F627" t="s">
        <v>187</v>
      </c>
      <c r="G627" s="1">
        <v>45828</v>
      </c>
      <c r="H627" s="1">
        <v>45828</v>
      </c>
      <c r="I627" s="2">
        <v>1880</v>
      </c>
      <c r="J627" t="s">
        <v>774</v>
      </c>
      <c r="K627" t="s">
        <v>783</v>
      </c>
      <c r="L627" t="s">
        <v>823</v>
      </c>
      <c r="M627" t="s">
        <v>828</v>
      </c>
      <c r="N627" t="str">
        <f t="shared" si="27"/>
        <v>T-2</v>
      </c>
      <c r="O627">
        <f t="shared" si="28"/>
        <v>2025</v>
      </c>
      <c r="P627" t="str">
        <f t="shared" si="29"/>
        <v>6. junio</v>
      </c>
    </row>
    <row r="628" spans="1:16" x14ac:dyDescent="0.35">
      <c r="A628">
        <v>712827</v>
      </c>
      <c r="B628" t="s">
        <v>56</v>
      </c>
      <c r="C628" t="s">
        <v>138</v>
      </c>
      <c r="D628" t="s">
        <v>313</v>
      </c>
      <c r="E628" t="s">
        <v>652</v>
      </c>
      <c r="F628" t="s">
        <v>187</v>
      </c>
      <c r="G628" s="1">
        <v>45810</v>
      </c>
      <c r="H628" s="1">
        <v>45813</v>
      </c>
      <c r="I628" s="2">
        <v>624</v>
      </c>
      <c r="J628" t="s">
        <v>776</v>
      </c>
      <c r="K628" t="s">
        <v>783</v>
      </c>
      <c r="L628" t="s">
        <v>823</v>
      </c>
      <c r="M628" t="s">
        <v>830</v>
      </c>
      <c r="N628" t="str">
        <f t="shared" si="27"/>
        <v>T-2</v>
      </c>
      <c r="O628">
        <f t="shared" si="28"/>
        <v>2025</v>
      </c>
      <c r="P628" t="str">
        <f t="shared" si="29"/>
        <v>6. junio</v>
      </c>
    </row>
    <row r="629" spans="1:16" x14ac:dyDescent="0.35">
      <c r="A629">
        <v>715581</v>
      </c>
      <c r="B629" t="s">
        <v>8</v>
      </c>
      <c r="C629" t="s">
        <v>138</v>
      </c>
      <c r="D629" t="s">
        <v>309</v>
      </c>
      <c r="E629" t="s">
        <v>682</v>
      </c>
      <c r="F629" t="s">
        <v>187</v>
      </c>
      <c r="G629" s="1">
        <v>45800</v>
      </c>
      <c r="H629" s="1">
        <v>45800</v>
      </c>
      <c r="I629" s="2">
        <v>720</v>
      </c>
      <c r="J629" t="s">
        <v>777</v>
      </c>
      <c r="K629" t="s">
        <v>783</v>
      </c>
      <c r="L629" t="s">
        <v>823</v>
      </c>
      <c r="M629" t="s">
        <v>829</v>
      </c>
      <c r="N629" t="str">
        <f t="shared" si="27"/>
        <v>T-2</v>
      </c>
      <c r="O629">
        <f t="shared" si="28"/>
        <v>2025</v>
      </c>
      <c r="P629" t="str">
        <f t="shared" si="29"/>
        <v>5. mayo</v>
      </c>
    </row>
    <row r="630" spans="1:16" x14ac:dyDescent="0.35">
      <c r="A630">
        <v>716742</v>
      </c>
      <c r="B630" t="s">
        <v>5</v>
      </c>
      <c r="C630" t="s">
        <v>139</v>
      </c>
      <c r="D630" t="s">
        <v>267</v>
      </c>
      <c r="E630" t="s">
        <v>682</v>
      </c>
      <c r="F630" t="s">
        <v>187</v>
      </c>
      <c r="G630" s="1">
        <v>45800</v>
      </c>
      <c r="H630" s="1">
        <v>45800</v>
      </c>
      <c r="I630" s="2">
        <v>900</v>
      </c>
      <c r="J630" t="s">
        <v>777</v>
      </c>
      <c r="K630" t="s">
        <v>783</v>
      </c>
      <c r="L630" t="s">
        <v>823</v>
      </c>
      <c r="M630" t="s">
        <v>830</v>
      </c>
      <c r="N630" t="str">
        <f t="shared" si="27"/>
        <v>T-2</v>
      </c>
      <c r="O630">
        <f t="shared" si="28"/>
        <v>2025</v>
      </c>
      <c r="P630" t="str">
        <f t="shared" si="29"/>
        <v>5. mayo</v>
      </c>
    </row>
    <row r="631" spans="1:16" x14ac:dyDescent="0.35">
      <c r="A631">
        <v>610229</v>
      </c>
      <c r="B631" t="s">
        <v>13</v>
      </c>
      <c r="C631" t="s">
        <v>138</v>
      </c>
      <c r="D631" t="s">
        <v>307</v>
      </c>
      <c r="E631" t="s">
        <v>669</v>
      </c>
      <c r="F631" t="s">
        <v>187</v>
      </c>
      <c r="G631" s="1">
        <v>45791</v>
      </c>
      <c r="H631" s="1">
        <v>45791</v>
      </c>
      <c r="I631" s="2">
        <v>641.25</v>
      </c>
      <c r="J631" t="s">
        <v>777</v>
      </c>
      <c r="K631" t="s">
        <v>783</v>
      </c>
      <c r="L631" t="s">
        <v>824</v>
      </c>
      <c r="M631" t="s">
        <v>830</v>
      </c>
      <c r="N631" t="str">
        <f t="shared" si="27"/>
        <v>T-2</v>
      </c>
      <c r="O631">
        <f t="shared" si="28"/>
        <v>2025</v>
      </c>
      <c r="P631" t="str">
        <f t="shared" si="29"/>
        <v>5. mayo</v>
      </c>
    </row>
    <row r="632" spans="1:16" x14ac:dyDescent="0.35">
      <c r="A632">
        <v>465650</v>
      </c>
      <c r="B632" t="s">
        <v>3</v>
      </c>
      <c r="C632" t="s">
        <v>138</v>
      </c>
      <c r="D632" t="s">
        <v>307</v>
      </c>
      <c r="E632" t="s">
        <v>669</v>
      </c>
      <c r="F632" t="s">
        <v>187</v>
      </c>
      <c r="G632" s="1">
        <v>45805</v>
      </c>
      <c r="H632" s="1">
        <v>45805</v>
      </c>
      <c r="I632" s="2">
        <v>626.79999999999995</v>
      </c>
      <c r="J632" t="s">
        <v>777</v>
      </c>
      <c r="K632" t="s">
        <v>783</v>
      </c>
      <c r="L632" t="s">
        <v>823</v>
      </c>
      <c r="M632" t="s">
        <v>828</v>
      </c>
      <c r="N632" t="str">
        <f t="shared" si="27"/>
        <v>T-2</v>
      </c>
      <c r="O632">
        <f t="shared" si="28"/>
        <v>2025</v>
      </c>
      <c r="P632" t="str">
        <f t="shared" si="29"/>
        <v>5. mayo</v>
      </c>
    </row>
    <row r="633" spans="1:16" x14ac:dyDescent="0.35">
      <c r="A633">
        <v>713355</v>
      </c>
      <c r="B633" t="s">
        <v>14</v>
      </c>
      <c r="C633" t="s">
        <v>138</v>
      </c>
      <c r="D633" t="s">
        <v>389</v>
      </c>
      <c r="E633" t="s">
        <v>718</v>
      </c>
      <c r="F633" t="s">
        <v>187</v>
      </c>
      <c r="G633" s="1">
        <v>45793</v>
      </c>
      <c r="H633" s="1">
        <v>45807</v>
      </c>
      <c r="I633" s="2">
        <v>300</v>
      </c>
      <c r="J633" t="s">
        <v>777</v>
      </c>
      <c r="K633" t="s">
        <v>787</v>
      </c>
      <c r="L633" t="s">
        <v>823</v>
      </c>
      <c r="M633" t="s">
        <v>828</v>
      </c>
      <c r="N633" t="str">
        <f t="shared" si="27"/>
        <v>T-2</v>
      </c>
      <c r="O633">
        <f t="shared" si="28"/>
        <v>2025</v>
      </c>
      <c r="P633" t="str">
        <f t="shared" si="29"/>
        <v>5. mayo</v>
      </c>
    </row>
    <row r="634" spans="1:16" x14ac:dyDescent="0.35">
      <c r="A634">
        <v>604447</v>
      </c>
      <c r="B634" t="s">
        <v>13</v>
      </c>
      <c r="C634" t="s">
        <v>136</v>
      </c>
      <c r="D634" t="s">
        <v>156</v>
      </c>
      <c r="E634" t="s">
        <v>673</v>
      </c>
      <c r="F634" t="s">
        <v>187</v>
      </c>
      <c r="G634" s="1">
        <v>45821</v>
      </c>
      <c r="H634" s="1">
        <v>45821</v>
      </c>
      <c r="I634" s="2">
        <v>2500</v>
      </c>
      <c r="J634" t="s">
        <v>779</v>
      </c>
      <c r="K634" t="s">
        <v>783</v>
      </c>
      <c r="L634" t="s">
        <v>823</v>
      </c>
      <c r="M634" t="s">
        <v>830</v>
      </c>
      <c r="N634" t="str">
        <f t="shared" si="27"/>
        <v>T-2</v>
      </c>
      <c r="O634">
        <f t="shared" si="28"/>
        <v>2025</v>
      </c>
      <c r="P634" t="str">
        <f t="shared" si="29"/>
        <v>6. junio</v>
      </c>
    </row>
    <row r="635" spans="1:16" x14ac:dyDescent="0.35">
      <c r="A635">
        <v>562008</v>
      </c>
      <c r="B635" t="s">
        <v>22</v>
      </c>
      <c r="C635" t="s">
        <v>138</v>
      </c>
      <c r="D635" t="s">
        <v>161</v>
      </c>
      <c r="E635" t="s">
        <v>679</v>
      </c>
      <c r="F635" t="s">
        <v>187</v>
      </c>
      <c r="G635" s="1">
        <v>45821</v>
      </c>
      <c r="H635" s="1">
        <v>45821</v>
      </c>
      <c r="I635" s="2">
        <v>434.61</v>
      </c>
      <c r="J635" t="s">
        <v>779</v>
      </c>
      <c r="K635" t="s">
        <v>783</v>
      </c>
      <c r="L635" t="s">
        <v>823</v>
      </c>
      <c r="M635" t="s">
        <v>829</v>
      </c>
      <c r="N635" t="str">
        <f t="shared" si="27"/>
        <v>T-2</v>
      </c>
      <c r="O635">
        <f t="shared" si="28"/>
        <v>2025</v>
      </c>
      <c r="P635" t="str">
        <f t="shared" si="29"/>
        <v>6. junio</v>
      </c>
    </row>
    <row r="636" spans="1:16" x14ac:dyDescent="0.35">
      <c r="A636">
        <v>720367</v>
      </c>
      <c r="B636" t="s">
        <v>30</v>
      </c>
      <c r="C636" t="s">
        <v>137</v>
      </c>
      <c r="D636" t="s">
        <v>161</v>
      </c>
      <c r="E636" t="s">
        <v>679</v>
      </c>
      <c r="F636" t="s">
        <v>187</v>
      </c>
      <c r="G636" s="1">
        <v>45821</v>
      </c>
      <c r="H636" s="1">
        <v>45821</v>
      </c>
      <c r="I636" s="2">
        <v>3625.75</v>
      </c>
      <c r="J636" t="s">
        <v>779</v>
      </c>
      <c r="K636" t="s">
        <v>783</v>
      </c>
      <c r="L636" t="s">
        <v>823</v>
      </c>
      <c r="M636" t="s">
        <v>830</v>
      </c>
      <c r="N636" t="str">
        <f t="shared" si="27"/>
        <v>T-2</v>
      </c>
      <c r="O636">
        <f t="shared" si="28"/>
        <v>2025</v>
      </c>
      <c r="P636" t="str">
        <f t="shared" si="29"/>
        <v>6. junio</v>
      </c>
    </row>
    <row r="637" spans="1:16" x14ac:dyDescent="0.35">
      <c r="A637">
        <v>722814</v>
      </c>
      <c r="B637" t="s">
        <v>32</v>
      </c>
      <c r="C637" t="s">
        <v>137</v>
      </c>
      <c r="D637" t="s">
        <v>390</v>
      </c>
      <c r="E637" t="s">
        <v>728</v>
      </c>
      <c r="F637" t="s">
        <v>773</v>
      </c>
      <c r="G637" s="1">
        <v>45992</v>
      </c>
      <c r="H637" s="1">
        <v>45996</v>
      </c>
      <c r="I637" s="2">
        <v>1480</v>
      </c>
      <c r="J637" t="s">
        <v>774</v>
      </c>
      <c r="K637" t="s">
        <v>783</v>
      </c>
      <c r="L637" t="s">
        <v>824</v>
      </c>
      <c r="M637" t="s">
        <v>830</v>
      </c>
      <c r="N637" t="str">
        <f t="shared" si="27"/>
        <v>T-4</v>
      </c>
      <c r="O637">
        <f t="shared" si="28"/>
        <v>2025</v>
      </c>
      <c r="P637" t="str">
        <f t="shared" si="29"/>
        <v>12. diciembre</v>
      </c>
    </row>
    <row r="638" spans="1:16" x14ac:dyDescent="0.35">
      <c r="A638">
        <v>459607</v>
      </c>
      <c r="B638" t="s">
        <v>25</v>
      </c>
      <c r="C638" t="s">
        <v>138</v>
      </c>
      <c r="D638" t="s">
        <v>391</v>
      </c>
      <c r="E638" t="s">
        <v>728</v>
      </c>
      <c r="F638" t="s">
        <v>773</v>
      </c>
      <c r="G638" s="1">
        <v>45915</v>
      </c>
      <c r="H638" s="1">
        <v>45996</v>
      </c>
      <c r="I638" s="2">
        <v>1560</v>
      </c>
      <c r="J638" t="s">
        <v>774</v>
      </c>
      <c r="K638" t="s">
        <v>783</v>
      </c>
      <c r="L638" t="s">
        <v>823</v>
      </c>
      <c r="M638" t="s">
        <v>828</v>
      </c>
      <c r="N638" t="str">
        <f t="shared" si="27"/>
        <v>T-3</v>
      </c>
      <c r="O638">
        <f t="shared" si="28"/>
        <v>2025</v>
      </c>
      <c r="P638" t="str">
        <f t="shared" si="29"/>
        <v>9. septiembre</v>
      </c>
    </row>
    <row r="639" spans="1:16" x14ac:dyDescent="0.35">
      <c r="A639">
        <v>597486</v>
      </c>
      <c r="B639" t="s">
        <v>31</v>
      </c>
      <c r="C639" t="s">
        <v>136</v>
      </c>
      <c r="D639" t="s">
        <v>392</v>
      </c>
      <c r="E639" t="s">
        <v>729</v>
      </c>
      <c r="F639" t="s">
        <v>187</v>
      </c>
      <c r="G639" s="1">
        <v>45782</v>
      </c>
      <c r="H639" s="1">
        <v>45786</v>
      </c>
      <c r="I639" s="2">
        <v>2250</v>
      </c>
      <c r="J639" t="s">
        <v>774</v>
      </c>
      <c r="K639" t="s">
        <v>783</v>
      </c>
      <c r="L639" t="s">
        <v>823</v>
      </c>
      <c r="M639" t="s">
        <v>828</v>
      </c>
      <c r="N639" t="str">
        <f t="shared" si="27"/>
        <v>T-2</v>
      </c>
      <c r="O639">
        <f t="shared" si="28"/>
        <v>2025</v>
      </c>
      <c r="P639" t="str">
        <f t="shared" si="29"/>
        <v>5. mayo</v>
      </c>
    </row>
    <row r="640" spans="1:16" x14ac:dyDescent="0.35">
      <c r="A640">
        <v>464828</v>
      </c>
      <c r="B640" t="s">
        <v>30</v>
      </c>
      <c r="C640" t="s">
        <v>138</v>
      </c>
      <c r="D640" t="s">
        <v>393</v>
      </c>
      <c r="E640" t="s">
        <v>660</v>
      </c>
      <c r="F640" t="s">
        <v>187</v>
      </c>
      <c r="G640" s="1">
        <v>45796</v>
      </c>
      <c r="H640" s="1">
        <v>45803</v>
      </c>
      <c r="I640" s="2">
        <v>390</v>
      </c>
      <c r="J640" t="s">
        <v>776</v>
      </c>
      <c r="K640" t="s">
        <v>783</v>
      </c>
      <c r="L640" t="s">
        <v>823</v>
      </c>
      <c r="M640" t="s">
        <v>829</v>
      </c>
      <c r="N640" t="str">
        <f t="shared" si="27"/>
        <v>T-2</v>
      </c>
      <c r="O640">
        <f t="shared" si="28"/>
        <v>2025</v>
      </c>
      <c r="P640" t="str">
        <f t="shared" si="29"/>
        <v>5. mayo</v>
      </c>
    </row>
    <row r="641" spans="1:16" x14ac:dyDescent="0.35">
      <c r="A641">
        <v>410126</v>
      </c>
      <c r="B641" t="s">
        <v>95</v>
      </c>
      <c r="C641" t="s">
        <v>139</v>
      </c>
      <c r="D641" t="s">
        <v>164</v>
      </c>
      <c r="E641" t="s">
        <v>675</v>
      </c>
      <c r="F641" t="s">
        <v>187</v>
      </c>
      <c r="G641" s="1">
        <v>45817</v>
      </c>
      <c r="H641" s="1">
        <v>45820</v>
      </c>
      <c r="I641" s="2">
        <v>1820</v>
      </c>
      <c r="J641" t="s">
        <v>779</v>
      </c>
      <c r="K641" t="s">
        <v>783</v>
      </c>
      <c r="L641" t="s">
        <v>823</v>
      </c>
      <c r="M641" t="s">
        <v>830</v>
      </c>
      <c r="N641" t="str">
        <f t="shared" si="27"/>
        <v>T-2</v>
      </c>
      <c r="O641">
        <f t="shared" si="28"/>
        <v>2025</v>
      </c>
      <c r="P641" t="str">
        <f t="shared" si="29"/>
        <v>6. junio</v>
      </c>
    </row>
    <row r="642" spans="1:16" x14ac:dyDescent="0.35">
      <c r="A642">
        <v>561447</v>
      </c>
      <c r="B642" t="s">
        <v>5</v>
      </c>
      <c r="C642" t="s">
        <v>138</v>
      </c>
      <c r="D642" t="s">
        <v>164</v>
      </c>
      <c r="E642" t="s">
        <v>675</v>
      </c>
      <c r="F642" t="s">
        <v>187</v>
      </c>
      <c r="G642" s="1">
        <v>45817</v>
      </c>
      <c r="H642" s="1">
        <v>45820</v>
      </c>
      <c r="I642" s="2">
        <v>520</v>
      </c>
      <c r="J642" t="s">
        <v>779</v>
      </c>
      <c r="K642" t="s">
        <v>783</v>
      </c>
      <c r="L642" t="s">
        <v>823</v>
      </c>
      <c r="M642" t="s">
        <v>830</v>
      </c>
      <c r="N642" t="str">
        <f t="shared" si="27"/>
        <v>T-2</v>
      </c>
      <c r="O642">
        <f t="shared" si="28"/>
        <v>2025</v>
      </c>
      <c r="P642" t="str">
        <f t="shared" si="29"/>
        <v>6. junio</v>
      </c>
    </row>
    <row r="643" spans="1:16" x14ac:dyDescent="0.35">
      <c r="A643">
        <v>130671</v>
      </c>
      <c r="B643" t="s">
        <v>62</v>
      </c>
      <c r="C643" t="s">
        <v>139</v>
      </c>
      <c r="D643" t="s">
        <v>210</v>
      </c>
      <c r="E643" t="s">
        <v>665</v>
      </c>
      <c r="F643" t="s">
        <v>187</v>
      </c>
      <c r="G643" s="1">
        <v>45769</v>
      </c>
      <c r="H643" s="1">
        <v>45806</v>
      </c>
      <c r="I643" s="2">
        <v>3250</v>
      </c>
      <c r="J643" t="s">
        <v>777</v>
      </c>
      <c r="K643" t="s">
        <v>783</v>
      </c>
      <c r="L643" t="s">
        <v>823</v>
      </c>
      <c r="M643" t="s">
        <v>828</v>
      </c>
      <c r="N643" t="str">
        <f t="shared" ref="N643:N706" si="30">"T-" &amp; ROUNDUP((MONTH(G643)/3), 0)</f>
        <v>T-2</v>
      </c>
      <c r="O643">
        <f t="shared" ref="O643:O706" si="31">YEAR(G643)</f>
        <v>2025</v>
      </c>
      <c r="P643" t="str">
        <f t="shared" ref="P643:P706" si="32">MONTH(G643) &amp; ". " &amp; TEXT(G643, "MMMM")</f>
        <v>4. abril</v>
      </c>
    </row>
    <row r="644" spans="1:16" x14ac:dyDescent="0.35">
      <c r="A644">
        <v>705719</v>
      </c>
      <c r="B644" t="s">
        <v>39</v>
      </c>
      <c r="C644" t="s">
        <v>138</v>
      </c>
      <c r="D644" t="s">
        <v>210</v>
      </c>
      <c r="E644" t="s">
        <v>665</v>
      </c>
      <c r="F644" t="s">
        <v>187</v>
      </c>
      <c r="G644" s="1">
        <v>45769</v>
      </c>
      <c r="H644" s="1">
        <v>45806</v>
      </c>
      <c r="I644" s="2">
        <v>750</v>
      </c>
      <c r="J644" t="s">
        <v>777</v>
      </c>
      <c r="K644" t="s">
        <v>783</v>
      </c>
      <c r="L644" t="s">
        <v>824</v>
      </c>
      <c r="M644" t="s">
        <v>830</v>
      </c>
      <c r="N644" t="str">
        <f t="shared" si="30"/>
        <v>T-2</v>
      </c>
      <c r="O644">
        <f t="shared" si="31"/>
        <v>2025</v>
      </c>
      <c r="P644" t="str">
        <f t="shared" si="32"/>
        <v>4. abril</v>
      </c>
    </row>
    <row r="645" spans="1:16" x14ac:dyDescent="0.35">
      <c r="A645">
        <v>722429</v>
      </c>
      <c r="B645" t="s">
        <v>7</v>
      </c>
      <c r="C645" t="s">
        <v>138</v>
      </c>
      <c r="D645" t="s">
        <v>394</v>
      </c>
      <c r="E645" t="s">
        <v>694</v>
      </c>
      <c r="F645" t="s">
        <v>187</v>
      </c>
      <c r="G645" s="1">
        <v>45761</v>
      </c>
      <c r="H645" s="1">
        <v>45821</v>
      </c>
      <c r="I645" s="2">
        <v>270</v>
      </c>
      <c r="J645" t="s">
        <v>778</v>
      </c>
      <c r="K645" t="s">
        <v>783</v>
      </c>
      <c r="L645" t="s">
        <v>823</v>
      </c>
      <c r="M645" t="s">
        <v>829</v>
      </c>
      <c r="N645" t="str">
        <f t="shared" si="30"/>
        <v>T-2</v>
      </c>
      <c r="O645">
        <f t="shared" si="31"/>
        <v>2025</v>
      </c>
      <c r="P645" t="str">
        <f t="shared" si="32"/>
        <v>4. abril</v>
      </c>
    </row>
    <row r="646" spans="1:16" x14ac:dyDescent="0.35">
      <c r="A646">
        <v>360036</v>
      </c>
      <c r="B646" t="s">
        <v>71</v>
      </c>
      <c r="C646" t="s">
        <v>138</v>
      </c>
      <c r="D646" t="s">
        <v>246</v>
      </c>
      <c r="E646" t="s">
        <v>652</v>
      </c>
      <c r="F646" t="s">
        <v>187</v>
      </c>
      <c r="G646" s="1">
        <v>45817</v>
      </c>
      <c r="H646" s="1">
        <v>45817</v>
      </c>
      <c r="I646" s="2">
        <v>234</v>
      </c>
      <c r="J646" t="s">
        <v>774</v>
      </c>
      <c r="K646" t="s">
        <v>785</v>
      </c>
      <c r="L646" t="s">
        <v>823</v>
      </c>
      <c r="M646" t="s">
        <v>830</v>
      </c>
      <c r="N646" t="str">
        <f t="shared" si="30"/>
        <v>T-2</v>
      </c>
      <c r="O646">
        <f t="shared" si="31"/>
        <v>2025</v>
      </c>
      <c r="P646" t="str">
        <f t="shared" si="32"/>
        <v>6. junio</v>
      </c>
    </row>
    <row r="647" spans="1:16" x14ac:dyDescent="0.35">
      <c r="A647">
        <v>423407</v>
      </c>
      <c r="B647" t="s">
        <v>83</v>
      </c>
      <c r="C647" t="s">
        <v>138</v>
      </c>
      <c r="D647" t="s">
        <v>322</v>
      </c>
      <c r="E647" t="s">
        <v>652</v>
      </c>
      <c r="F647" t="s">
        <v>187</v>
      </c>
      <c r="G647" s="1">
        <v>45817</v>
      </c>
      <c r="H647" s="1">
        <v>45821</v>
      </c>
      <c r="I647" s="2">
        <v>1300</v>
      </c>
      <c r="J647" t="s">
        <v>774</v>
      </c>
      <c r="K647" t="s">
        <v>783</v>
      </c>
      <c r="L647" t="s">
        <v>823</v>
      </c>
      <c r="M647" t="s">
        <v>830</v>
      </c>
      <c r="N647" t="str">
        <f t="shared" si="30"/>
        <v>T-2</v>
      </c>
      <c r="O647">
        <f t="shared" si="31"/>
        <v>2025</v>
      </c>
      <c r="P647" t="str">
        <f t="shared" si="32"/>
        <v>6. junio</v>
      </c>
    </row>
    <row r="648" spans="1:16" x14ac:dyDescent="0.35">
      <c r="A648">
        <v>530600</v>
      </c>
      <c r="B648" t="s">
        <v>17</v>
      </c>
      <c r="C648" t="s">
        <v>138</v>
      </c>
      <c r="D648" t="s">
        <v>395</v>
      </c>
      <c r="E648" t="s">
        <v>652</v>
      </c>
      <c r="F648" t="s">
        <v>187</v>
      </c>
      <c r="G648" s="1">
        <v>45817</v>
      </c>
      <c r="H648" s="1">
        <v>45821</v>
      </c>
      <c r="I648" s="2">
        <v>780</v>
      </c>
      <c r="J648" t="s">
        <v>774</v>
      </c>
      <c r="K648" t="s">
        <v>786</v>
      </c>
      <c r="L648" t="s">
        <v>823</v>
      </c>
      <c r="M648" t="s">
        <v>828</v>
      </c>
      <c r="N648" t="str">
        <f t="shared" si="30"/>
        <v>T-2</v>
      </c>
      <c r="O648">
        <f t="shared" si="31"/>
        <v>2025</v>
      </c>
      <c r="P648" t="str">
        <f t="shared" si="32"/>
        <v>6. junio</v>
      </c>
    </row>
    <row r="649" spans="1:16" x14ac:dyDescent="0.35">
      <c r="A649">
        <v>712542</v>
      </c>
      <c r="B649" t="s">
        <v>30</v>
      </c>
      <c r="C649" t="s">
        <v>137</v>
      </c>
      <c r="D649" t="s">
        <v>395</v>
      </c>
      <c r="E649" t="s">
        <v>652</v>
      </c>
      <c r="F649" t="s">
        <v>187</v>
      </c>
      <c r="G649" s="1">
        <v>45817</v>
      </c>
      <c r="H649" s="1">
        <v>45821</v>
      </c>
      <c r="I649" s="2">
        <v>780</v>
      </c>
      <c r="J649" t="s">
        <v>774</v>
      </c>
      <c r="K649" t="s">
        <v>783</v>
      </c>
      <c r="L649" t="s">
        <v>823</v>
      </c>
      <c r="M649" t="s">
        <v>828</v>
      </c>
      <c r="N649" t="str">
        <f t="shared" si="30"/>
        <v>T-2</v>
      </c>
      <c r="O649">
        <f t="shared" si="31"/>
        <v>2025</v>
      </c>
      <c r="P649" t="str">
        <f t="shared" si="32"/>
        <v>6. junio</v>
      </c>
    </row>
    <row r="650" spans="1:16" x14ac:dyDescent="0.35">
      <c r="A650">
        <v>717356</v>
      </c>
      <c r="B650" t="s">
        <v>33</v>
      </c>
      <c r="C650" t="s">
        <v>136</v>
      </c>
      <c r="D650" t="s">
        <v>183</v>
      </c>
      <c r="E650" t="s">
        <v>703</v>
      </c>
      <c r="F650" t="s">
        <v>187</v>
      </c>
      <c r="G650" s="1">
        <v>45817</v>
      </c>
      <c r="H650" s="1">
        <v>45817</v>
      </c>
      <c r="I650" s="2">
        <v>802.31</v>
      </c>
      <c r="J650" t="s">
        <v>774</v>
      </c>
      <c r="K650" t="s">
        <v>783</v>
      </c>
      <c r="L650" t="s">
        <v>823</v>
      </c>
      <c r="M650" t="s">
        <v>830</v>
      </c>
      <c r="N650" t="str">
        <f t="shared" si="30"/>
        <v>T-2</v>
      </c>
      <c r="O650">
        <f t="shared" si="31"/>
        <v>2025</v>
      </c>
      <c r="P650" t="str">
        <f t="shared" si="32"/>
        <v>6. junio</v>
      </c>
    </row>
    <row r="651" spans="1:16" x14ac:dyDescent="0.35">
      <c r="A651">
        <v>504405</v>
      </c>
      <c r="B651" t="s">
        <v>31</v>
      </c>
      <c r="C651" t="s">
        <v>138</v>
      </c>
      <c r="D651" t="s">
        <v>183</v>
      </c>
      <c r="E651" t="s">
        <v>703</v>
      </c>
      <c r="F651" t="s">
        <v>187</v>
      </c>
      <c r="G651" s="1">
        <v>45817</v>
      </c>
      <c r="H651" s="1">
        <v>45817</v>
      </c>
      <c r="I651" s="2">
        <v>687.69</v>
      </c>
      <c r="J651" t="s">
        <v>774</v>
      </c>
      <c r="K651" t="s">
        <v>789</v>
      </c>
      <c r="L651" t="s">
        <v>823</v>
      </c>
      <c r="M651" t="s">
        <v>829</v>
      </c>
      <c r="N651" t="str">
        <f t="shared" si="30"/>
        <v>T-2</v>
      </c>
      <c r="O651">
        <f t="shared" si="31"/>
        <v>2025</v>
      </c>
      <c r="P651" t="str">
        <f t="shared" si="32"/>
        <v>6. junio</v>
      </c>
    </row>
    <row r="652" spans="1:16" x14ac:dyDescent="0.35">
      <c r="A652">
        <v>240410</v>
      </c>
      <c r="B652" t="s">
        <v>5</v>
      </c>
      <c r="C652" t="s">
        <v>138</v>
      </c>
      <c r="D652" t="s">
        <v>396</v>
      </c>
      <c r="E652" t="s">
        <v>703</v>
      </c>
      <c r="F652" t="s">
        <v>187</v>
      </c>
      <c r="G652" s="1">
        <v>45818</v>
      </c>
      <c r="H652" s="1">
        <v>45820</v>
      </c>
      <c r="I652" s="2">
        <v>2554.29</v>
      </c>
      <c r="J652" t="s">
        <v>774</v>
      </c>
      <c r="K652" t="s">
        <v>789</v>
      </c>
      <c r="L652" t="s">
        <v>824</v>
      </c>
      <c r="M652" t="s">
        <v>830</v>
      </c>
      <c r="N652" t="str">
        <f t="shared" si="30"/>
        <v>T-2</v>
      </c>
      <c r="O652">
        <f t="shared" si="31"/>
        <v>2025</v>
      </c>
      <c r="P652" t="str">
        <f t="shared" si="32"/>
        <v>6. junio</v>
      </c>
    </row>
    <row r="653" spans="1:16" x14ac:dyDescent="0.35">
      <c r="A653">
        <v>722349</v>
      </c>
      <c r="B653" t="s">
        <v>7</v>
      </c>
      <c r="C653" t="s">
        <v>138</v>
      </c>
      <c r="D653" t="s">
        <v>396</v>
      </c>
      <c r="E653" t="s">
        <v>703</v>
      </c>
      <c r="F653" t="s">
        <v>187</v>
      </c>
      <c r="G653" s="1">
        <v>45818</v>
      </c>
      <c r="H653" s="1">
        <v>45820</v>
      </c>
      <c r="I653" s="2">
        <v>1915.71</v>
      </c>
      <c r="J653" t="s">
        <v>774</v>
      </c>
      <c r="K653" t="s">
        <v>783</v>
      </c>
      <c r="L653" t="s">
        <v>823</v>
      </c>
      <c r="M653" t="s">
        <v>830</v>
      </c>
      <c r="N653" t="str">
        <f t="shared" si="30"/>
        <v>T-2</v>
      </c>
      <c r="O653">
        <f t="shared" si="31"/>
        <v>2025</v>
      </c>
      <c r="P653" t="str">
        <f t="shared" si="32"/>
        <v>6. junio</v>
      </c>
    </row>
    <row r="654" spans="1:16" x14ac:dyDescent="0.35">
      <c r="A654">
        <v>427506</v>
      </c>
      <c r="B654" t="s">
        <v>25</v>
      </c>
      <c r="C654" t="s">
        <v>138</v>
      </c>
      <c r="D654" t="s">
        <v>331</v>
      </c>
      <c r="E654" t="s">
        <v>703</v>
      </c>
      <c r="F654" t="s">
        <v>187</v>
      </c>
      <c r="G654" s="1">
        <v>45821</v>
      </c>
      <c r="H654" s="1">
        <v>45821</v>
      </c>
      <c r="I654" s="2">
        <v>802.31</v>
      </c>
      <c r="J654" t="s">
        <v>774</v>
      </c>
      <c r="K654" t="s">
        <v>789</v>
      </c>
      <c r="L654" t="s">
        <v>823</v>
      </c>
      <c r="M654" t="s">
        <v>828</v>
      </c>
      <c r="N654" t="str">
        <f t="shared" si="30"/>
        <v>T-2</v>
      </c>
      <c r="O654">
        <f t="shared" si="31"/>
        <v>2025</v>
      </c>
      <c r="P654" t="str">
        <f t="shared" si="32"/>
        <v>6. junio</v>
      </c>
    </row>
    <row r="655" spans="1:16" x14ac:dyDescent="0.35">
      <c r="A655">
        <v>714616</v>
      </c>
      <c r="B655" t="s">
        <v>30</v>
      </c>
      <c r="C655" t="s">
        <v>137</v>
      </c>
      <c r="D655" t="s">
        <v>331</v>
      </c>
      <c r="E655" t="s">
        <v>703</v>
      </c>
      <c r="F655" t="s">
        <v>187</v>
      </c>
      <c r="G655" s="1">
        <v>45821</v>
      </c>
      <c r="H655" s="1">
        <v>45821</v>
      </c>
      <c r="I655" s="2">
        <v>687.69</v>
      </c>
      <c r="J655" t="s">
        <v>774</v>
      </c>
      <c r="K655" t="s">
        <v>783</v>
      </c>
      <c r="L655" t="s">
        <v>823</v>
      </c>
      <c r="M655" t="s">
        <v>828</v>
      </c>
      <c r="N655" t="str">
        <f t="shared" si="30"/>
        <v>T-2</v>
      </c>
      <c r="O655">
        <f t="shared" si="31"/>
        <v>2025</v>
      </c>
      <c r="P655" t="str">
        <f t="shared" si="32"/>
        <v>6. junio</v>
      </c>
    </row>
    <row r="656" spans="1:16" x14ac:dyDescent="0.35">
      <c r="A656">
        <v>708599</v>
      </c>
      <c r="B656" t="s">
        <v>25</v>
      </c>
      <c r="C656" t="s">
        <v>138</v>
      </c>
      <c r="D656" t="s">
        <v>397</v>
      </c>
      <c r="E656" t="s">
        <v>703</v>
      </c>
      <c r="F656" t="s">
        <v>187</v>
      </c>
      <c r="G656" s="1">
        <v>45810</v>
      </c>
      <c r="H656" s="1">
        <v>45810</v>
      </c>
      <c r="I656" s="2">
        <v>1490</v>
      </c>
      <c r="J656" t="s">
        <v>774</v>
      </c>
      <c r="K656" t="s">
        <v>783</v>
      </c>
      <c r="L656" t="s">
        <v>823</v>
      </c>
      <c r="M656" t="s">
        <v>829</v>
      </c>
      <c r="N656" t="str">
        <f t="shared" si="30"/>
        <v>T-2</v>
      </c>
      <c r="O656">
        <f t="shared" si="31"/>
        <v>2025</v>
      </c>
      <c r="P656" t="str">
        <f t="shared" si="32"/>
        <v>6. junio</v>
      </c>
    </row>
    <row r="657" spans="1:16" x14ac:dyDescent="0.35">
      <c r="A657">
        <v>500753</v>
      </c>
      <c r="B657" t="s">
        <v>5</v>
      </c>
      <c r="C657" t="s">
        <v>138</v>
      </c>
      <c r="D657" t="s">
        <v>349</v>
      </c>
      <c r="E657" t="s">
        <v>703</v>
      </c>
      <c r="F657" t="s">
        <v>187</v>
      </c>
      <c r="G657" s="1">
        <v>45812</v>
      </c>
      <c r="H657" s="1">
        <v>45813</v>
      </c>
      <c r="I657" s="2">
        <v>596</v>
      </c>
      <c r="J657" t="s">
        <v>774</v>
      </c>
      <c r="K657" t="s">
        <v>783</v>
      </c>
      <c r="L657" t="s">
        <v>823</v>
      </c>
      <c r="M657" t="s">
        <v>830</v>
      </c>
      <c r="N657" t="str">
        <f t="shared" si="30"/>
        <v>T-2</v>
      </c>
      <c r="O657">
        <f t="shared" si="31"/>
        <v>2025</v>
      </c>
      <c r="P657" t="str">
        <f t="shared" si="32"/>
        <v>6. junio</v>
      </c>
    </row>
    <row r="658" spans="1:16" x14ac:dyDescent="0.35">
      <c r="A658">
        <v>723988</v>
      </c>
      <c r="B658" t="s">
        <v>25</v>
      </c>
      <c r="C658" t="s">
        <v>138</v>
      </c>
      <c r="D658" t="s">
        <v>349</v>
      </c>
      <c r="E658" t="s">
        <v>703</v>
      </c>
      <c r="F658" t="s">
        <v>187</v>
      </c>
      <c r="G658" s="1">
        <v>45812</v>
      </c>
      <c r="H658" s="1">
        <v>45813</v>
      </c>
      <c r="I658" s="2">
        <v>2384</v>
      </c>
      <c r="J658" t="s">
        <v>774</v>
      </c>
      <c r="K658" t="s">
        <v>783</v>
      </c>
      <c r="L658" t="s">
        <v>824</v>
      </c>
      <c r="M658" t="s">
        <v>830</v>
      </c>
      <c r="N658" t="str">
        <f t="shared" si="30"/>
        <v>T-2</v>
      </c>
      <c r="O658">
        <f t="shared" si="31"/>
        <v>2025</v>
      </c>
      <c r="P658" t="str">
        <f t="shared" si="32"/>
        <v>6. junio</v>
      </c>
    </row>
    <row r="659" spans="1:16" x14ac:dyDescent="0.35">
      <c r="A659">
        <v>457316</v>
      </c>
      <c r="B659" t="s">
        <v>22</v>
      </c>
      <c r="C659" t="s">
        <v>138</v>
      </c>
      <c r="D659" t="s">
        <v>398</v>
      </c>
      <c r="E659" t="s">
        <v>703</v>
      </c>
      <c r="F659" t="s">
        <v>187</v>
      </c>
      <c r="G659" s="1">
        <v>45811</v>
      </c>
      <c r="H659" s="1">
        <v>45811</v>
      </c>
      <c r="I659" s="2">
        <v>283.81</v>
      </c>
      <c r="J659" t="s">
        <v>774</v>
      </c>
      <c r="K659" t="s">
        <v>785</v>
      </c>
      <c r="L659" t="s">
        <v>823</v>
      </c>
      <c r="M659" t="s">
        <v>828</v>
      </c>
      <c r="N659" t="str">
        <f t="shared" si="30"/>
        <v>T-2</v>
      </c>
      <c r="O659">
        <f t="shared" si="31"/>
        <v>2025</v>
      </c>
      <c r="P659" t="str">
        <f t="shared" si="32"/>
        <v>6. junio</v>
      </c>
    </row>
    <row r="660" spans="1:16" x14ac:dyDescent="0.35">
      <c r="A660">
        <v>708241</v>
      </c>
      <c r="B660" t="s">
        <v>20</v>
      </c>
      <c r="C660" t="s">
        <v>136</v>
      </c>
      <c r="D660" t="s">
        <v>398</v>
      </c>
      <c r="E660" t="s">
        <v>703</v>
      </c>
      <c r="F660" t="s">
        <v>187</v>
      </c>
      <c r="G660" s="1">
        <v>45811</v>
      </c>
      <c r="H660" s="1">
        <v>45811</v>
      </c>
      <c r="I660" s="2">
        <v>1206.19</v>
      </c>
      <c r="J660" t="s">
        <v>774</v>
      </c>
      <c r="K660" t="s">
        <v>783</v>
      </c>
      <c r="L660" t="s">
        <v>823</v>
      </c>
      <c r="M660" t="s">
        <v>830</v>
      </c>
      <c r="N660" t="str">
        <f t="shared" si="30"/>
        <v>T-2</v>
      </c>
      <c r="O660">
        <f t="shared" si="31"/>
        <v>2025</v>
      </c>
      <c r="P660" t="str">
        <f t="shared" si="32"/>
        <v>6. junio</v>
      </c>
    </row>
    <row r="661" spans="1:16" x14ac:dyDescent="0.35">
      <c r="A661">
        <v>400476</v>
      </c>
      <c r="B661" t="s">
        <v>30</v>
      </c>
      <c r="C661" t="s">
        <v>138</v>
      </c>
      <c r="D661" t="s">
        <v>399</v>
      </c>
      <c r="E661" t="s">
        <v>730</v>
      </c>
      <c r="F661" t="s">
        <v>187</v>
      </c>
      <c r="G661" s="1">
        <v>45810</v>
      </c>
      <c r="H661" s="1">
        <v>45820</v>
      </c>
      <c r="I661" s="2">
        <v>2500</v>
      </c>
      <c r="J661" t="s">
        <v>776</v>
      </c>
      <c r="K661" t="s">
        <v>785</v>
      </c>
      <c r="L661" t="s">
        <v>823</v>
      </c>
      <c r="M661" t="s">
        <v>829</v>
      </c>
      <c r="N661" t="str">
        <f t="shared" si="30"/>
        <v>T-2</v>
      </c>
      <c r="O661">
        <f t="shared" si="31"/>
        <v>2025</v>
      </c>
      <c r="P661" t="str">
        <f t="shared" si="32"/>
        <v>6. junio</v>
      </c>
    </row>
    <row r="662" spans="1:16" x14ac:dyDescent="0.35">
      <c r="A662">
        <v>363903</v>
      </c>
      <c r="B662" t="s">
        <v>39</v>
      </c>
      <c r="C662" t="s">
        <v>139</v>
      </c>
      <c r="D662" t="s">
        <v>156</v>
      </c>
      <c r="E662" t="s">
        <v>673</v>
      </c>
      <c r="F662" t="s">
        <v>187</v>
      </c>
      <c r="G662" s="1">
        <v>45827</v>
      </c>
      <c r="H662" s="1">
        <v>45827</v>
      </c>
      <c r="I662" s="2">
        <v>2500</v>
      </c>
      <c r="J662" t="s">
        <v>779</v>
      </c>
      <c r="K662" t="s">
        <v>789</v>
      </c>
      <c r="L662" t="s">
        <v>823</v>
      </c>
      <c r="M662" t="s">
        <v>830</v>
      </c>
      <c r="N662" t="str">
        <f t="shared" si="30"/>
        <v>T-2</v>
      </c>
      <c r="O662">
        <f t="shared" si="31"/>
        <v>2025</v>
      </c>
      <c r="P662" t="str">
        <f t="shared" si="32"/>
        <v>6. junio</v>
      </c>
    </row>
    <row r="663" spans="1:16" x14ac:dyDescent="0.35">
      <c r="A663">
        <v>718295</v>
      </c>
      <c r="B663" t="s">
        <v>33</v>
      </c>
      <c r="C663" t="s">
        <v>137</v>
      </c>
      <c r="D663" t="s">
        <v>156</v>
      </c>
      <c r="E663" t="s">
        <v>673</v>
      </c>
      <c r="F663" t="s">
        <v>187</v>
      </c>
      <c r="G663" s="1">
        <v>45828</v>
      </c>
      <c r="H663" s="1">
        <v>45828</v>
      </c>
      <c r="I663" s="2">
        <v>375</v>
      </c>
      <c r="J663" t="s">
        <v>779</v>
      </c>
      <c r="K663" t="s">
        <v>783</v>
      </c>
      <c r="L663" t="s">
        <v>823</v>
      </c>
      <c r="M663" t="s">
        <v>830</v>
      </c>
      <c r="N663" t="str">
        <f t="shared" si="30"/>
        <v>T-2</v>
      </c>
      <c r="O663">
        <f t="shared" si="31"/>
        <v>2025</v>
      </c>
      <c r="P663" t="str">
        <f t="shared" si="32"/>
        <v>6. junio</v>
      </c>
    </row>
    <row r="664" spans="1:16" x14ac:dyDescent="0.35">
      <c r="A664">
        <v>712464</v>
      </c>
      <c r="B664" t="s">
        <v>33</v>
      </c>
      <c r="C664" t="s">
        <v>138</v>
      </c>
      <c r="D664" t="s">
        <v>156</v>
      </c>
      <c r="E664" t="s">
        <v>673</v>
      </c>
      <c r="F664" t="s">
        <v>187</v>
      </c>
      <c r="G664" s="1">
        <v>45828</v>
      </c>
      <c r="H664" s="1">
        <v>45828</v>
      </c>
      <c r="I664" s="2">
        <v>1583.33</v>
      </c>
      <c r="J664" t="s">
        <v>779</v>
      </c>
      <c r="K664" t="s">
        <v>783</v>
      </c>
      <c r="L664" t="s">
        <v>823</v>
      </c>
      <c r="M664" t="s">
        <v>828</v>
      </c>
      <c r="N664" t="str">
        <f t="shared" si="30"/>
        <v>T-2</v>
      </c>
      <c r="O664">
        <f t="shared" si="31"/>
        <v>2025</v>
      </c>
      <c r="P664" t="str">
        <f t="shared" si="32"/>
        <v>6. junio</v>
      </c>
    </row>
    <row r="665" spans="1:16" x14ac:dyDescent="0.35">
      <c r="A665">
        <v>561184</v>
      </c>
      <c r="B665" t="s">
        <v>20</v>
      </c>
      <c r="C665" t="s">
        <v>136</v>
      </c>
      <c r="D665" t="s">
        <v>156</v>
      </c>
      <c r="E665" t="s">
        <v>673</v>
      </c>
      <c r="F665" t="s">
        <v>187</v>
      </c>
      <c r="G665" s="1">
        <v>45828</v>
      </c>
      <c r="H665" s="1">
        <v>45828</v>
      </c>
      <c r="I665" s="2">
        <v>416.67</v>
      </c>
      <c r="J665" t="s">
        <v>779</v>
      </c>
      <c r="K665" t="s">
        <v>789</v>
      </c>
      <c r="L665" t="s">
        <v>824</v>
      </c>
      <c r="M665" t="s">
        <v>828</v>
      </c>
      <c r="N665" t="str">
        <f t="shared" si="30"/>
        <v>T-2</v>
      </c>
      <c r="O665">
        <f t="shared" si="31"/>
        <v>2025</v>
      </c>
      <c r="P665" t="str">
        <f t="shared" si="32"/>
        <v>6. junio</v>
      </c>
    </row>
    <row r="666" spans="1:16" x14ac:dyDescent="0.35">
      <c r="A666">
        <v>486143</v>
      </c>
      <c r="B666" t="s">
        <v>36</v>
      </c>
      <c r="C666" t="s">
        <v>138</v>
      </c>
      <c r="D666" t="s">
        <v>210</v>
      </c>
      <c r="E666" t="s">
        <v>665</v>
      </c>
      <c r="F666" t="s">
        <v>187</v>
      </c>
      <c r="G666" s="1">
        <v>45735</v>
      </c>
      <c r="H666" s="1">
        <v>45756</v>
      </c>
      <c r="I666" s="2">
        <v>250</v>
      </c>
      <c r="J666" t="s">
        <v>777</v>
      </c>
      <c r="K666" t="s">
        <v>783</v>
      </c>
      <c r="L666" t="s">
        <v>823</v>
      </c>
      <c r="M666" t="s">
        <v>830</v>
      </c>
      <c r="N666" t="str">
        <f t="shared" si="30"/>
        <v>T-1</v>
      </c>
      <c r="O666">
        <f t="shared" si="31"/>
        <v>2025</v>
      </c>
      <c r="P666" t="str">
        <f t="shared" si="32"/>
        <v>3. marzo</v>
      </c>
    </row>
    <row r="667" spans="1:16" x14ac:dyDescent="0.35">
      <c r="A667">
        <v>711004</v>
      </c>
      <c r="B667" t="s">
        <v>25</v>
      </c>
      <c r="C667" t="s">
        <v>139</v>
      </c>
      <c r="D667" t="s">
        <v>209</v>
      </c>
      <c r="E667" t="s">
        <v>647</v>
      </c>
      <c r="F667" t="s">
        <v>187</v>
      </c>
      <c r="G667" s="1">
        <v>45803</v>
      </c>
      <c r="H667" s="1">
        <v>45805</v>
      </c>
      <c r="I667" s="2">
        <v>3002.86</v>
      </c>
      <c r="J667" t="s">
        <v>776</v>
      </c>
      <c r="K667" t="s">
        <v>787</v>
      </c>
      <c r="L667" t="s">
        <v>823</v>
      </c>
      <c r="M667" t="s">
        <v>829</v>
      </c>
      <c r="N667" t="str">
        <f t="shared" si="30"/>
        <v>T-2</v>
      </c>
      <c r="O667">
        <f t="shared" si="31"/>
        <v>2025</v>
      </c>
      <c r="P667" t="str">
        <f t="shared" si="32"/>
        <v>5. mayo</v>
      </c>
    </row>
    <row r="668" spans="1:16" x14ac:dyDescent="0.35">
      <c r="A668">
        <v>565779</v>
      </c>
      <c r="B668" t="s">
        <v>24</v>
      </c>
      <c r="C668" t="s">
        <v>138</v>
      </c>
      <c r="D668" t="s">
        <v>161</v>
      </c>
      <c r="E668" t="s">
        <v>679</v>
      </c>
      <c r="F668" t="s">
        <v>187</v>
      </c>
      <c r="G668" s="1">
        <v>45824</v>
      </c>
      <c r="H668" s="1">
        <v>45824</v>
      </c>
      <c r="I668" s="2">
        <v>311.10000000000002</v>
      </c>
      <c r="J668" t="s">
        <v>779</v>
      </c>
      <c r="K668" t="s">
        <v>783</v>
      </c>
      <c r="L668" t="s">
        <v>823</v>
      </c>
      <c r="M668" t="s">
        <v>830</v>
      </c>
      <c r="N668" t="str">
        <f t="shared" si="30"/>
        <v>T-2</v>
      </c>
      <c r="O668">
        <f t="shared" si="31"/>
        <v>2025</v>
      </c>
      <c r="P668" t="str">
        <f t="shared" si="32"/>
        <v>6. junio</v>
      </c>
    </row>
    <row r="669" spans="1:16" x14ac:dyDescent="0.35">
      <c r="A669">
        <v>721902</v>
      </c>
      <c r="B669" t="s">
        <v>30</v>
      </c>
      <c r="C669" t="s">
        <v>138</v>
      </c>
      <c r="D669" t="s">
        <v>161</v>
      </c>
      <c r="E669" t="s">
        <v>679</v>
      </c>
      <c r="F669" t="s">
        <v>187</v>
      </c>
      <c r="G669" s="1">
        <v>45824</v>
      </c>
      <c r="H669" s="1">
        <v>45824</v>
      </c>
      <c r="I669" s="2">
        <v>3733.35</v>
      </c>
      <c r="J669" t="s">
        <v>779</v>
      </c>
      <c r="K669" t="s">
        <v>783</v>
      </c>
      <c r="L669" t="s">
        <v>823</v>
      </c>
      <c r="M669" t="s">
        <v>830</v>
      </c>
      <c r="N669" t="str">
        <f t="shared" si="30"/>
        <v>T-2</v>
      </c>
      <c r="O669">
        <f t="shared" si="31"/>
        <v>2025</v>
      </c>
      <c r="P669" t="str">
        <f t="shared" si="32"/>
        <v>6. junio</v>
      </c>
    </row>
    <row r="670" spans="1:16" x14ac:dyDescent="0.35">
      <c r="A670">
        <v>712273</v>
      </c>
      <c r="B670" t="s">
        <v>23</v>
      </c>
      <c r="C670" t="s">
        <v>138</v>
      </c>
      <c r="D670" t="s">
        <v>400</v>
      </c>
      <c r="E670" t="s">
        <v>673</v>
      </c>
      <c r="F670" t="s">
        <v>187</v>
      </c>
      <c r="G670" s="1">
        <v>45839</v>
      </c>
      <c r="H670" s="1">
        <v>45839</v>
      </c>
      <c r="I670" s="2">
        <v>2860</v>
      </c>
      <c r="J670" t="s">
        <v>778</v>
      </c>
      <c r="K670" t="s">
        <v>800</v>
      </c>
      <c r="L670" t="s">
        <v>823</v>
      </c>
      <c r="M670" t="s">
        <v>828</v>
      </c>
      <c r="N670" t="str">
        <f t="shared" si="30"/>
        <v>T-3</v>
      </c>
      <c r="O670">
        <f t="shared" si="31"/>
        <v>2025</v>
      </c>
      <c r="P670" t="str">
        <f t="shared" si="32"/>
        <v>7. julio</v>
      </c>
    </row>
    <row r="671" spans="1:16" x14ac:dyDescent="0.35">
      <c r="A671">
        <v>712650</v>
      </c>
      <c r="B671" t="s">
        <v>39</v>
      </c>
      <c r="C671" t="s">
        <v>138</v>
      </c>
      <c r="D671" t="s">
        <v>401</v>
      </c>
      <c r="E671" t="s">
        <v>669</v>
      </c>
      <c r="F671" t="s">
        <v>187</v>
      </c>
      <c r="G671" s="1">
        <v>45756</v>
      </c>
      <c r="H671" s="1">
        <v>45831</v>
      </c>
      <c r="I671" s="2">
        <v>420</v>
      </c>
      <c r="J671" t="s">
        <v>778</v>
      </c>
      <c r="K671" t="s">
        <v>783</v>
      </c>
      <c r="L671" t="s">
        <v>823</v>
      </c>
      <c r="M671" t="s">
        <v>828</v>
      </c>
      <c r="N671" t="str">
        <f t="shared" si="30"/>
        <v>T-2</v>
      </c>
      <c r="O671">
        <f t="shared" si="31"/>
        <v>2025</v>
      </c>
      <c r="P671" t="str">
        <f t="shared" si="32"/>
        <v>4. abril</v>
      </c>
    </row>
    <row r="672" spans="1:16" x14ac:dyDescent="0.35">
      <c r="A672">
        <v>709719</v>
      </c>
      <c r="B672" t="s">
        <v>30</v>
      </c>
      <c r="C672" t="s">
        <v>138</v>
      </c>
      <c r="D672" t="s">
        <v>402</v>
      </c>
      <c r="E672" t="s">
        <v>652</v>
      </c>
      <c r="F672" t="s">
        <v>187</v>
      </c>
      <c r="G672" s="1">
        <v>45824</v>
      </c>
      <c r="H672" s="1">
        <v>45827</v>
      </c>
      <c r="I672" s="2">
        <v>1770</v>
      </c>
      <c r="J672" t="s">
        <v>774</v>
      </c>
      <c r="K672" t="s">
        <v>783</v>
      </c>
      <c r="L672" t="s">
        <v>823</v>
      </c>
      <c r="M672" t="s">
        <v>829</v>
      </c>
      <c r="N672" t="str">
        <f t="shared" si="30"/>
        <v>T-2</v>
      </c>
      <c r="O672">
        <f t="shared" si="31"/>
        <v>2025</v>
      </c>
      <c r="P672" t="str">
        <f t="shared" si="32"/>
        <v>6. junio</v>
      </c>
    </row>
    <row r="673" spans="1:16" x14ac:dyDescent="0.35">
      <c r="A673">
        <v>608510</v>
      </c>
      <c r="B673" t="s">
        <v>13</v>
      </c>
      <c r="C673" t="s">
        <v>138</v>
      </c>
      <c r="D673" t="s">
        <v>403</v>
      </c>
      <c r="E673" t="s">
        <v>652</v>
      </c>
      <c r="F673" t="s">
        <v>187</v>
      </c>
      <c r="G673" s="1">
        <v>45828</v>
      </c>
      <c r="H673" s="1">
        <v>45828</v>
      </c>
      <c r="I673" s="2">
        <v>1092</v>
      </c>
      <c r="J673" t="s">
        <v>774</v>
      </c>
      <c r="K673" t="s">
        <v>783</v>
      </c>
      <c r="L673" t="s">
        <v>824</v>
      </c>
      <c r="M673" t="s">
        <v>830</v>
      </c>
      <c r="N673" t="str">
        <f t="shared" si="30"/>
        <v>T-2</v>
      </c>
      <c r="O673">
        <f t="shared" si="31"/>
        <v>2025</v>
      </c>
      <c r="P673" t="str">
        <f t="shared" si="32"/>
        <v>6. junio</v>
      </c>
    </row>
    <row r="674" spans="1:16" x14ac:dyDescent="0.35">
      <c r="A674">
        <v>720274</v>
      </c>
      <c r="B674" t="s">
        <v>8</v>
      </c>
      <c r="C674" t="s">
        <v>138</v>
      </c>
      <c r="D674" t="s">
        <v>404</v>
      </c>
      <c r="E674" t="s">
        <v>652</v>
      </c>
      <c r="F674" t="s">
        <v>187</v>
      </c>
      <c r="G674" s="1">
        <v>45824</v>
      </c>
      <c r="H674" s="1">
        <v>45828</v>
      </c>
      <c r="I674" s="2">
        <v>2600</v>
      </c>
      <c r="J674" t="s">
        <v>774</v>
      </c>
      <c r="K674" t="s">
        <v>783</v>
      </c>
      <c r="L674" t="s">
        <v>823</v>
      </c>
      <c r="M674" t="s">
        <v>830</v>
      </c>
      <c r="N674" t="str">
        <f t="shared" si="30"/>
        <v>T-2</v>
      </c>
      <c r="O674">
        <f t="shared" si="31"/>
        <v>2025</v>
      </c>
      <c r="P674" t="str">
        <f t="shared" si="32"/>
        <v>6. junio</v>
      </c>
    </row>
    <row r="675" spans="1:16" x14ac:dyDescent="0.35">
      <c r="A675">
        <v>703460</v>
      </c>
      <c r="B675" t="s">
        <v>30</v>
      </c>
      <c r="C675" t="s">
        <v>138</v>
      </c>
      <c r="D675" t="s">
        <v>405</v>
      </c>
      <c r="E675" t="s">
        <v>647</v>
      </c>
      <c r="F675" t="s">
        <v>187</v>
      </c>
      <c r="G675" s="1">
        <v>45824</v>
      </c>
      <c r="H675" s="1">
        <v>45827</v>
      </c>
      <c r="I675" s="2">
        <v>1485</v>
      </c>
      <c r="J675" t="s">
        <v>774</v>
      </c>
      <c r="K675" t="s">
        <v>783</v>
      </c>
      <c r="L675" t="s">
        <v>823</v>
      </c>
      <c r="M675" t="s">
        <v>828</v>
      </c>
      <c r="N675" t="str">
        <f t="shared" si="30"/>
        <v>T-2</v>
      </c>
      <c r="O675">
        <f t="shared" si="31"/>
        <v>2025</v>
      </c>
      <c r="P675" t="str">
        <f t="shared" si="32"/>
        <v>6. junio</v>
      </c>
    </row>
    <row r="676" spans="1:16" x14ac:dyDescent="0.35">
      <c r="A676">
        <v>474253</v>
      </c>
      <c r="B676" t="s">
        <v>30</v>
      </c>
      <c r="C676" t="s">
        <v>138</v>
      </c>
      <c r="D676" t="s">
        <v>405</v>
      </c>
      <c r="E676" t="s">
        <v>647</v>
      </c>
      <c r="F676" t="s">
        <v>187</v>
      </c>
      <c r="G676" s="1">
        <v>45824</v>
      </c>
      <c r="H676" s="1">
        <v>45827</v>
      </c>
      <c r="I676" s="2">
        <v>495</v>
      </c>
      <c r="J676" t="s">
        <v>774</v>
      </c>
      <c r="K676" t="s">
        <v>783</v>
      </c>
      <c r="L676" t="s">
        <v>823</v>
      </c>
      <c r="M676" t="s">
        <v>830</v>
      </c>
      <c r="N676" t="str">
        <f t="shared" si="30"/>
        <v>T-2</v>
      </c>
      <c r="O676">
        <f t="shared" si="31"/>
        <v>2025</v>
      </c>
      <c r="P676" t="str">
        <f t="shared" si="32"/>
        <v>6. junio</v>
      </c>
    </row>
    <row r="677" spans="1:16" x14ac:dyDescent="0.35">
      <c r="A677">
        <v>750040</v>
      </c>
      <c r="B677" t="s">
        <v>31</v>
      </c>
      <c r="C677" t="s">
        <v>139</v>
      </c>
      <c r="D677" t="s">
        <v>406</v>
      </c>
      <c r="E677" t="s">
        <v>647</v>
      </c>
      <c r="F677" t="s">
        <v>187</v>
      </c>
      <c r="G677" s="1">
        <v>45824</v>
      </c>
      <c r="H677" s="1">
        <v>45827</v>
      </c>
      <c r="I677" s="2">
        <v>590</v>
      </c>
      <c r="J677" t="s">
        <v>774</v>
      </c>
      <c r="K677" t="s">
        <v>783</v>
      </c>
      <c r="L677" t="s">
        <v>823</v>
      </c>
      <c r="M677" t="s">
        <v>829</v>
      </c>
      <c r="N677" t="str">
        <f t="shared" si="30"/>
        <v>T-2</v>
      </c>
      <c r="O677">
        <f t="shared" si="31"/>
        <v>2025</v>
      </c>
      <c r="P677" t="str">
        <f t="shared" si="32"/>
        <v>6. junio</v>
      </c>
    </row>
    <row r="678" spans="1:16" x14ac:dyDescent="0.35">
      <c r="A678">
        <v>751319</v>
      </c>
      <c r="B678" t="s">
        <v>31</v>
      </c>
      <c r="C678" t="s">
        <v>136</v>
      </c>
      <c r="D678" t="s">
        <v>406</v>
      </c>
      <c r="E678" t="s">
        <v>647</v>
      </c>
      <c r="F678" t="s">
        <v>187</v>
      </c>
      <c r="G678" s="1">
        <v>45824</v>
      </c>
      <c r="H678" s="1">
        <v>45827</v>
      </c>
      <c r="I678" s="2">
        <v>405</v>
      </c>
      <c r="J678" t="s">
        <v>774</v>
      </c>
      <c r="K678" t="s">
        <v>783</v>
      </c>
      <c r="L678" t="s">
        <v>823</v>
      </c>
      <c r="M678" t="s">
        <v>830</v>
      </c>
      <c r="N678" t="str">
        <f t="shared" si="30"/>
        <v>T-2</v>
      </c>
      <c r="O678">
        <f t="shared" si="31"/>
        <v>2025</v>
      </c>
      <c r="P678" t="str">
        <f t="shared" si="32"/>
        <v>6. junio</v>
      </c>
    </row>
    <row r="679" spans="1:16" x14ac:dyDescent="0.35">
      <c r="A679">
        <v>717745</v>
      </c>
      <c r="B679" t="s">
        <v>30</v>
      </c>
      <c r="C679" t="s">
        <v>137</v>
      </c>
      <c r="D679" t="s">
        <v>183</v>
      </c>
      <c r="E679" t="s">
        <v>703</v>
      </c>
      <c r="F679" t="s">
        <v>187</v>
      </c>
      <c r="G679" s="1">
        <v>45824</v>
      </c>
      <c r="H679" s="1">
        <v>45824</v>
      </c>
      <c r="I679" s="2">
        <v>1158.8900000000001</v>
      </c>
      <c r="J679" t="s">
        <v>774</v>
      </c>
      <c r="K679" t="s">
        <v>783</v>
      </c>
      <c r="L679" t="s">
        <v>824</v>
      </c>
      <c r="M679" t="s">
        <v>830</v>
      </c>
      <c r="N679" t="str">
        <f t="shared" si="30"/>
        <v>T-2</v>
      </c>
      <c r="O679">
        <f t="shared" si="31"/>
        <v>2025</v>
      </c>
      <c r="P679" t="str">
        <f t="shared" si="32"/>
        <v>6. junio</v>
      </c>
    </row>
    <row r="680" spans="1:16" x14ac:dyDescent="0.35">
      <c r="A680">
        <v>607505</v>
      </c>
      <c r="B680" t="s">
        <v>13</v>
      </c>
      <c r="C680" t="s">
        <v>136</v>
      </c>
      <c r="D680" t="s">
        <v>183</v>
      </c>
      <c r="E680" t="s">
        <v>703</v>
      </c>
      <c r="F680" t="s">
        <v>187</v>
      </c>
      <c r="G680" s="1">
        <v>45824</v>
      </c>
      <c r="H680" s="1">
        <v>45824</v>
      </c>
      <c r="I680" s="2">
        <v>331.11</v>
      </c>
      <c r="J680" t="s">
        <v>774</v>
      </c>
      <c r="K680" t="s">
        <v>786</v>
      </c>
      <c r="L680" t="s">
        <v>823</v>
      </c>
      <c r="M680" t="s">
        <v>828</v>
      </c>
      <c r="N680" t="str">
        <f t="shared" si="30"/>
        <v>T-2</v>
      </c>
      <c r="O680">
        <f t="shared" si="31"/>
        <v>2025</v>
      </c>
      <c r="P680" t="str">
        <f t="shared" si="32"/>
        <v>6. junio</v>
      </c>
    </row>
    <row r="681" spans="1:16" x14ac:dyDescent="0.35">
      <c r="A681">
        <v>503645</v>
      </c>
      <c r="B681" t="s">
        <v>65</v>
      </c>
      <c r="C681" t="s">
        <v>138</v>
      </c>
      <c r="D681" t="s">
        <v>332</v>
      </c>
      <c r="E681" t="s">
        <v>703</v>
      </c>
      <c r="F681" t="s">
        <v>187</v>
      </c>
      <c r="G681" s="1">
        <v>45825</v>
      </c>
      <c r="H681" s="1">
        <v>45827</v>
      </c>
      <c r="I681" s="2">
        <v>3476.67</v>
      </c>
      <c r="J681" t="s">
        <v>774</v>
      </c>
      <c r="K681" t="s">
        <v>786</v>
      </c>
      <c r="L681" t="s">
        <v>823</v>
      </c>
      <c r="M681" t="s">
        <v>828</v>
      </c>
      <c r="N681" t="str">
        <f t="shared" si="30"/>
        <v>T-2</v>
      </c>
      <c r="O681">
        <f t="shared" si="31"/>
        <v>2025</v>
      </c>
      <c r="P681" t="str">
        <f t="shared" si="32"/>
        <v>6. junio</v>
      </c>
    </row>
    <row r="682" spans="1:16" x14ac:dyDescent="0.35">
      <c r="A682">
        <v>566322</v>
      </c>
      <c r="B682" t="s">
        <v>2</v>
      </c>
      <c r="C682" t="s">
        <v>139</v>
      </c>
      <c r="D682" t="s">
        <v>331</v>
      </c>
      <c r="E682" t="s">
        <v>703</v>
      </c>
      <c r="F682" t="s">
        <v>187</v>
      </c>
      <c r="G682" s="1">
        <v>45828</v>
      </c>
      <c r="H682" s="1">
        <v>45828</v>
      </c>
      <c r="I682" s="2">
        <v>1158.8900000000001</v>
      </c>
      <c r="J682" t="s">
        <v>774</v>
      </c>
      <c r="K682" t="s">
        <v>783</v>
      </c>
      <c r="L682" t="s">
        <v>823</v>
      </c>
      <c r="M682" t="s">
        <v>830</v>
      </c>
      <c r="N682" t="str">
        <f t="shared" si="30"/>
        <v>T-2</v>
      </c>
      <c r="O682">
        <f t="shared" si="31"/>
        <v>2025</v>
      </c>
      <c r="P682" t="str">
        <f t="shared" si="32"/>
        <v>6. junio</v>
      </c>
    </row>
    <row r="683" spans="1:16" x14ac:dyDescent="0.35">
      <c r="A683">
        <v>703498</v>
      </c>
      <c r="B683" t="s">
        <v>18</v>
      </c>
      <c r="C683" t="s">
        <v>136</v>
      </c>
      <c r="D683" t="s">
        <v>407</v>
      </c>
      <c r="E683" t="s">
        <v>703</v>
      </c>
      <c r="F683" t="s">
        <v>187</v>
      </c>
      <c r="G683" s="1">
        <v>45824</v>
      </c>
      <c r="H683" s="1">
        <v>45824</v>
      </c>
      <c r="I683" s="2">
        <v>687.69</v>
      </c>
      <c r="J683" t="s">
        <v>774</v>
      </c>
      <c r="K683" t="s">
        <v>783</v>
      </c>
      <c r="L683" t="s">
        <v>823</v>
      </c>
      <c r="M683" t="s">
        <v>829</v>
      </c>
      <c r="N683" t="str">
        <f t="shared" si="30"/>
        <v>T-2</v>
      </c>
      <c r="O683">
        <f t="shared" si="31"/>
        <v>2025</v>
      </c>
      <c r="P683" t="str">
        <f t="shared" si="32"/>
        <v>6. junio</v>
      </c>
    </row>
    <row r="684" spans="1:16" x14ac:dyDescent="0.35">
      <c r="A684">
        <v>610509</v>
      </c>
      <c r="B684" t="s">
        <v>13</v>
      </c>
      <c r="C684" t="s">
        <v>138</v>
      </c>
      <c r="D684" t="s">
        <v>349</v>
      </c>
      <c r="E684" t="s">
        <v>703</v>
      </c>
      <c r="F684" t="s">
        <v>187</v>
      </c>
      <c r="G684" s="1">
        <v>45825</v>
      </c>
      <c r="H684" s="1">
        <v>45826</v>
      </c>
      <c r="I684" s="2">
        <v>2980</v>
      </c>
      <c r="J684" t="s">
        <v>774</v>
      </c>
      <c r="K684" t="s">
        <v>801</v>
      </c>
      <c r="L684" t="s">
        <v>823</v>
      </c>
      <c r="M684" t="s">
        <v>830</v>
      </c>
      <c r="N684" t="str">
        <f t="shared" si="30"/>
        <v>T-2</v>
      </c>
      <c r="O684">
        <f t="shared" si="31"/>
        <v>2025</v>
      </c>
      <c r="P684" t="str">
        <f t="shared" si="32"/>
        <v>6. junio</v>
      </c>
    </row>
    <row r="685" spans="1:16" x14ac:dyDescent="0.35">
      <c r="A685">
        <v>702285</v>
      </c>
      <c r="B685" t="s">
        <v>20</v>
      </c>
      <c r="C685" t="s">
        <v>136</v>
      </c>
      <c r="D685" t="s">
        <v>332</v>
      </c>
      <c r="E685" t="s">
        <v>703</v>
      </c>
      <c r="F685" t="s">
        <v>187</v>
      </c>
      <c r="G685" s="1">
        <v>45825</v>
      </c>
      <c r="H685" s="1">
        <v>45827</v>
      </c>
      <c r="I685" s="2">
        <v>993.33</v>
      </c>
      <c r="J685" t="s">
        <v>774</v>
      </c>
      <c r="K685" t="s">
        <v>783</v>
      </c>
      <c r="L685" t="s">
        <v>823</v>
      </c>
      <c r="M685" t="s">
        <v>830</v>
      </c>
      <c r="N685" t="str">
        <f t="shared" si="30"/>
        <v>T-2</v>
      </c>
      <c r="O685">
        <f t="shared" si="31"/>
        <v>2025</v>
      </c>
      <c r="P685" t="str">
        <f t="shared" si="32"/>
        <v>6. junio</v>
      </c>
    </row>
    <row r="686" spans="1:16" x14ac:dyDescent="0.35">
      <c r="A686">
        <v>411986</v>
      </c>
      <c r="B686" t="s">
        <v>24</v>
      </c>
      <c r="C686" t="s">
        <v>138</v>
      </c>
      <c r="D686" t="s">
        <v>331</v>
      </c>
      <c r="E686" t="s">
        <v>703</v>
      </c>
      <c r="F686" t="s">
        <v>187</v>
      </c>
      <c r="G686" s="1">
        <v>45828</v>
      </c>
      <c r="H686" s="1">
        <v>45828</v>
      </c>
      <c r="I686" s="2">
        <v>331.11</v>
      </c>
      <c r="J686" t="s">
        <v>774</v>
      </c>
      <c r="K686" t="s">
        <v>785</v>
      </c>
      <c r="L686" t="s">
        <v>824</v>
      </c>
      <c r="M686" t="s">
        <v>828</v>
      </c>
      <c r="N686" t="str">
        <f t="shared" si="30"/>
        <v>T-2</v>
      </c>
      <c r="O686">
        <f t="shared" si="31"/>
        <v>2025</v>
      </c>
      <c r="P686" t="str">
        <f t="shared" si="32"/>
        <v>6. junio</v>
      </c>
    </row>
    <row r="687" spans="1:16" x14ac:dyDescent="0.35">
      <c r="A687">
        <v>700034</v>
      </c>
      <c r="B687" t="s">
        <v>24</v>
      </c>
      <c r="C687" t="s">
        <v>138</v>
      </c>
      <c r="D687" t="s">
        <v>407</v>
      </c>
      <c r="E687" t="s">
        <v>703</v>
      </c>
      <c r="F687" t="s">
        <v>187</v>
      </c>
      <c r="G687" s="1">
        <v>45824</v>
      </c>
      <c r="H687" s="1">
        <v>45824</v>
      </c>
      <c r="I687" s="2">
        <v>802.31</v>
      </c>
      <c r="J687" t="s">
        <v>774</v>
      </c>
      <c r="K687" t="s">
        <v>783</v>
      </c>
      <c r="L687" t="s">
        <v>823</v>
      </c>
      <c r="M687" t="s">
        <v>828</v>
      </c>
      <c r="N687" t="str">
        <f t="shared" si="30"/>
        <v>T-2</v>
      </c>
      <c r="O687">
        <f t="shared" si="31"/>
        <v>2025</v>
      </c>
      <c r="P687" t="str">
        <f t="shared" si="32"/>
        <v>6. junio</v>
      </c>
    </row>
    <row r="688" spans="1:16" x14ac:dyDescent="0.35">
      <c r="A688">
        <v>403501</v>
      </c>
      <c r="B688" t="s">
        <v>39</v>
      </c>
      <c r="C688" t="s">
        <v>139</v>
      </c>
      <c r="D688" t="s">
        <v>408</v>
      </c>
      <c r="E688" t="s">
        <v>669</v>
      </c>
      <c r="F688" t="s">
        <v>187</v>
      </c>
      <c r="G688" s="1">
        <v>45756</v>
      </c>
      <c r="H688" s="1">
        <v>45831</v>
      </c>
      <c r="I688" s="2">
        <v>840</v>
      </c>
      <c r="J688" t="s">
        <v>778</v>
      </c>
      <c r="K688" t="s">
        <v>783</v>
      </c>
      <c r="L688" t="s">
        <v>823</v>
      </c>
      <c r="M688" t="s">
        <v>829</v>
      </c>
      <c r="N688" t="str">
        <f t="shared" si="30"/>
        <v>T-2</v>
      </c>
      <c r="O688">
        <f t="shared" si="31"/>
        <v>2025</v>
      </c>
      <c r="P688" t="str">
        <f t="shared" si="32"/>
        <v>4. abril</v>
      </c>
    </row>
    <row r="689" spans="1:16" x14ac:dyDescent="0.35">
      <c r="A689">
        <v>468042</v>
      </c>
      <c r="B689" t="s">
        <v>42</v>
      </c>
      <c r="C689" t="s">
        <v>141</v>
      </c>
      <c r="D689" t="s">
        <v>409</v>
      </c>
      <c r="E689" t="s">
        <v>671</v>
      </c>
      <c r="F689" t="s">
        <v>773</v>
      </c>
      <c r="G689" s="1">
        <v>45691</v>
      </c>
      <c r="H689" s="1">
        <v>45799</v>
      </c>
      <c r="I689" s="2">
        <v>1000</v>
      </c>
      <c r="J689" t="s">
        <v>776</v>
      </c>
      <c r="K689" t="s">
        <v>783</v>
      </c>
      <c r="L689" t="s">
        <v>823</v>
      </c>
      <c r="M689" t="s">
        <v>830</v>
      </c>
      <c r="N689" t="str">
        <f t="shared" si="30"/>
        <v>T-1</v>
      </c>
      <c r="O689">
        <f t="shared" si="31"/>
        <v>2025</v>
      </c>
      <c r="P689" t="str">
        <f t="shared" si="32"/>
        <v>2. febrero</v>
      </c>
    </row>
    <row r="690" spans="1:16" x14ac:dyDescent="0.35">
      <c r="A690">
        <v>709800</v>
      </c>
      <c r="B690" t="s">
        <v>30</v>
      </c>
      <c r="C690" t="s">
        <v>138</v>
      </c>
      <c r="D690" t="s">
        <v>410</v>
      </c>
      <c r="E690" t="s">
        <v>652</v>
      </c>
      <c r="F690" t="s">
        <v>187</v>
      </c>
      <c r="G690" s="1">
        <v>45831</v>
      </c>
      <c r="H690" s="1">
        <v>45842</v>
      </c>
      <c r="I690" s="2">
        <v>521.73</v>
      </c>
      <c r="J690" t="s">
        <v>776</v>
      </c>
      <c r="K690" t="s">
        <v>783</v>
      </c>
      <c r="L690" t="s">
        <v>823</v>
      </c>
      <c r="M690" t="s">
        <v>830</v>
      </c>
      <c r="N690" t="str">
        <f t="shared" si="30"/>
        <v>T-2</v>
      </c>
      <c r="O690">
        <f t="shared" si="31"/>
        <v>2025</v>
      </c>
      <c r="P690" t="str">
        <f t="shared" si="32"/>
        <v>6. junio</v>
      </c>
    </row>
    <row r="691" spans="1:16" x14ac:dyDescent="0.35">
      <c r="A691">
        <v>714360</v>
      </c>
      <c r="B691" t="s">
        <v>32</v>
      </c>
      <c r="C691" t="s">
        <v>137</v>
      </c>
      <c r="D691" t="s">
        <v>167</v>
      </c>
      <c r="E691" t="s">
        <v>717</v>
      </c>
      <c r="F691" t="s">
        <v>773</v>
      </c>
      <c r="G691" s="1">
        <v>46267</v>
      </c>
      <c r="H691" s="1">
        <v>46267</v>
      </c>
      <c r="I691" s="2">
        <v>384.75</v>
      </c>
      <c r="J691" t="s">
        <v>774</v>
      </c>
      <c r="K691" t="s">
        <v>783</v>
      </c>
      <c r="L691" t="s">
        <v>823</v>
      </c>
      <c r="M691" t="s">
        <v>828</v>
      </c>
      <c r="N691" t="str">
        <f t="shared" si="30"/>
        <v>T-3</v>
      </c>
      <c r="O691">
        <f t="shared" si="31"/>
        <v>2026</v>
      </c>
      <c r="P691" t="str">
        <f t="shared" si="32"/>
        <v>9. septiembre</v>
      </c>
    </row>
    <row r="692" spans="1:16" x14ac:dyDescent="0.35">
      <c r="A692">
        <v>568018</v>
      </c>
      <c r="B692" t="s">
        <v>22</v>
      </c>
      <c r="C692" t="s">
        <v>140</v>
      </c>
      <c r="D692" t="s">
        <v>167</v>
      </c>
      <c r="E692" t="s">
        <v>717</v>
      </c>
      <c r="F692" t="s">
        <v>773</v>
      </c>
      <c r="G692" s="1">
        <v>46267</v>
      </c>
      <c r="H692" s="1">
        <v>46267</v>
      </c>
      <c r="I692" s="2">
        <v>384.75</v>
      </c>
      <c r="J692" t="s">
        <v>774</v>
      </c>
      <c r="K692" t="s">
        <v>783</v>
      </c>
      <c r="L692" t="s">
        <v>823</v>
      </c>
      <c r="M692" t="s">
        <v>830</v>
      </c>
      <c r="N692" t="str">
        <f t="shared" si="30"/>
        <v>T-3</v>
      </c>
      <c r="O692">
        <f t="shared" si="31"/>
        <v>2026</v>
      </c>
      <c r="P692" t="str">
        <f t="shared" si="32"/>
        <v>9. septiembre</v>
      </c>
    </row>
    <row r="693" spans="1:16" x14ac:dyDescent="0.35">
      <c r="A693">
        <v>83880</v>
      </c>
      <c r="B693" t="s">
        <v>5</v>
      </c>
      <c r="C693" t="s">
        <v>138</v>
      </c>
      <c r="D693" t="s">
        <v>411</v>
      </c>
      <c r="E693" t="s">
        <v>731</v>
      </c>
      <c r="F693" t="s">
        <v>187</v>
      </c>
      <c r="G693" s="1">
        <v>45826</v>
      </c>
      <c r="H693" s="1">
        <v>45826</v>
      </c>
      <c r="I693" s="2">
        <v>6346</v>
      </c>
      <c r="J693" t="s">
        <v>779</v>
      </c>
      <c r="K693" t="s">
        <v>783</v>
      </c>
      <c r="L693" t="s">
        <v>823</v>
      </c>
      <c r="M693" t="s">
        <v>829</v>
      </c>
      <c r="N693" t="str">
        <f t="shared" si="30"/>
        <v>T-2</v>
      </c>
      <c r="O693">
        <f t="shared" si="31"/>
        <v>2025</v>
      </c>
      <c r="P693" t="str">
        <f t="shared" si="32"/>
        <v>6. junio</v>
      </c>
    </row>
    <row r="694" spans="1:16" x14ac:dyDescent="0.35">
      <c r="A694">
        <v>409044</v>
      </c>
      <c r="B694" t="s">
        <v>71</v>
      </c>
      <c r="C694" t="s">
        <v>138</v>
      </c>
      <c r="D694" t="s">
        <v>411</v>
      </c>
      <c r="E694" t="s">
        <v>731</v>
      </c>
      <c r="F694" t="s">
        <v>187</v>
      </c>
      <c r="G694" s="1">
        <v>45826</v>
      </c>
      <c r="H694" s="1">
        <v>45826</v>
      </c>
      <c r="I694" s="2">
        <v>3779</v>
      </c>
      <c r="J694" t="s">
        <v>779</v>
      </c>
      <c r="K694" t="s">
        <v>783</v>
      </c>
      <c r="L694" t="s">
        <v>824</v>
      </c>
      <c r="M694" t="s">
        <v>830</v>
      </c>
      <c r="N694" t="str">
        <f t="shared" si="30"/>
        <v>T-2</v>
      </c>
      <c r="O694">
        <f t="shared" si="31"/>
        <v>2025</v>
      </c>
      <c r="P694" t="str">
        <f t="shared" si="32"/>
        <v>6. junio</v>
      </c>
    </row>
    <row r="695" spans="1:16" x14ac:dyDescent="0.35">
      <c r="A695">
        <v>715871</v>
      </c>
      <c r="B695" t="s">
        <v>37</v>
      </c>
      <c r="C695" t="s">
        <v>138</v>
      </c>
      <c r="D695" t="s">
        <v>411</v>
      </c>
      <c r="E695" t="s">
        <v>731</v>
      </c>
      <c r="F695" t="s">
        <v>187</v>
      </c>
      <c r="G695" s="1">
        <v>45826</v>
      </c>
      <c r="H695" s="1">
        <v>45826</v>
      </c>
      <c r="I695" s="2">
        <v>4961</v>
      </c>
      <c r="J695" t="s">
        <v>779</v>
      </c>
      <c r="K695" t="s">
        <v>783</v>
      </c>
      <c r="L695" t="s">
        <v>823</v>
      </c>
      <c r="M695" t="s">
        <v>830</v>
      </c>
      <c r="N695" t="str">
        <f t="shared" si="30"/>
        <v>T-2</v>
      </c>
      <c r="O695">
        <f t="shared" si="31"/>
        <v>2025</v>
      </c>
      <c r="P695" t="str">
        <f t="shared" si="32"/>
        <v>6. junio</v>
      </c>
    </row>
    <row r="696" spans="1:16" x14ac:dyDescent="0.35">
      <c r="A696">
        <v>713699</v>
      </c>
      <c r="B696" t="s">
        <v>5</v>
      </c>
      <c r="C696" t="s">
        <v>138</v>
      </c>
      <c r="D696" t="s">
        <v>411</v>
      </c>
      <c r="E696" t="s">
        <v>731</v>
      </c>
      <c r="F696" t="s">
        <v>187</v>
      </c>
      <c r="G696" s="1">
        <v>45826</v>
      </c>
      <c r="H696" s="1">
        <v>45826</v>
      </c>
      <c r="I696" s="2">
        <v>5164</v>
      </c>
      <c r="J696" t="s">
        <v>779</v>
      </c>
      <c r="K696" t="s">
        <v>788</v>
      </c>
      <c r="L696" t="s">
        <v>823</v>
      </c>
      <c r="M696" t="s">
        <v>828</v>
      </c>
      <c r="N696" t="str">
        <f t="shared" si="30"/>
        <v>T-2</v>
      </c>
      <c r="O696">
        <f t="shared" si="31"/>
        <v>2025</v>
      </c>
      <c r="P696" t="str">
        <f t="shared" si="32"/>
        <v>6. junio</v>
      </c>
    </row>
    <row r="697" spans="1:16" x14ac:dyDescent="0.35">
      <c r="A697">
        <v>409045</v>
      </c>
      <c r="B697" t="s">
        <v>96</v>
      </c>
      <c r="C697" t="s">
        <v>138</v>
      </c>
      <c r="D697" t="s">
        <v>412</v>
      </c>
      <c r="E697" t="s">
        <v>732</v>
      </c>
      <c r="F697" t="s">
        <v>187</v>
      </c>
      <c r="G697" s="1">
        <v>45832</v>
      </c>
      <c r="H697" s="1">
        <v>45899</v>
      </c>
      <c r="I697" s="2">
        <v>688.75</v>
      </c>
      <c r="J697" t="s">
        <v>778</v>
      </c>
      <c r="K697" t="s">
        <v>783</v>
      </c>
      <c r="L697" t="s">
        <v>823</v>
      </c>
      <c r="M697" t="s">
        <v>828</v>
      </c>
      <c r="N697" t="str">
        <f t="shared" si="30"/>
        <v>T-2</v>
      </c>
      <c r="O697">
        <f t="shared" si="31"/>
        <v>2025</v>
      </c>
      <c r="P697" t="str">
        <f t="shared" si="32"/>
        <v>6. junio</v>
      </c>
    </row>
    <row r="698" spans="1:16" x14ac:dyDescent="0.35">
      <c r="A698">
        <v>446313</v>
      </c>
      <c r="B698" t="s">
        <v>30</v>
      </c>
      <c r="C698" t="s">
        <v>138</v>
      </c>
      <c r="D698" t="s">
        <v>412</v>
      </c>
      <c r="E698" t="s">
        <v>732</v>
      </c>
      <c r="F698" t="s">
        <v>187</v>
      </c>
      <c r="G698" s="1">
        <v>45832</v>
      </c>
      <c r="H698" s="1">
        <v>45899</v>
      </c>
      <c r="I698" s="2">
        <v>616.25</v>
      </c>
      <c r="J698" t="s">
        <v>778</v>
      </c>
      <c r="K698" t="s">
        <v>783</v>
      </c>
      <c r="L698" t="s">
        <v>823</v>
      </c>
      <c r="M698" t="s">
        <v>830</v>
      </c>
      <c r="N698" t="str">
        <f t="shared" si="30"/>
        <v>T-2</v>
      </c>
      <c r="O698">
        <f t="shared" si="31"/>
        <v>2025</v>
      </c>
      <c r="P698" t="str">
        <f t="shared" si="32"/>
        <v>6. junio</v>
      </c>
    </row>
    <row r="699" spans="1:16" x14ac:dyDescent="0.35">
      <c r="A699">
        <v>590135</v>
      </c>
      <c r="B699" t="s">
        <v>86</v>
      </c>
      <c r="C699" t="s">
        <v>138</v>
      </c>
      <c r="D699" t="s">
        <v>156</v>
      </c>
      <c r="E699" t="s">
        <v>673</v>
      </c>
      <c r="F699" t="s">
        <v>187</v>
      </c>
      <c r="G699" s="1">
        <v>45833</v>
      </c>
      <c r="H699" s="1">
        <v>45833</v>
      </c>
      <c r="I699" s="2">
        <v>1875</v>
      </c>
      <c r="J699" t="s">
        <v>779</v>
      </c>
      <c r="K699" t="s">
        <v>783</v>
      </c>
      <c r="L699" t="s">
        <v>823</v>
      </c>
      <c r="M699" t="s">
        <v>829</v>
      </c>
      <c r="N699" t="str">
        <f t="shared" si="30"/>
        <v>T-2</v>
      </c>
      <c r="O699">
        <f t="shared" si="31"/>
        <v>2025</v>
      </c>
      <c r="P699" t="str">
        <f t="shared" si="32"/>
        <v>6. junio</v>
      </c>
    </row>
    <row r="700" spans="1:16" x14ac:dyDescent="0.35">
      <c r="A700">
        <v>712424</v>
      </c>
      <c r="B700" t="s">
        <v>46</v>
      </c>
      <c r="C700" t="s">
        <v>137</v>
      </c>
      <c r="D700" t="s">
        <v>144</v>
      </c>
      <c r="E700" t="s">
        <v>733</v>
      </c>
      <c r="F700" t="s">
        <v>187</v>
      </c>
      <c r="G700" s="1">
        <v>45789</v>
      </c>
      <c r="H700" s="1">
        <v>45825</v>
      </c>
      <c r="I700" s="2">
        <v>2700</v>
      </c>
      <c r="J700" t="s">
        <v>776</v>
      </c>
      <c r="K700" t="s">
        <v>783</v>
      </c>
      <c r="L700" t="s">
        <v>824</v>
      </c>
      <c r="M700" t="s">
        <v>830</v>
      </c>
      <c r="N700" t="str">
        <f t="shared" si="30"/>
        <v>T-2</v>
      </c>
      <c r="O700">
        <f t="shared" si="31"/>
        <v>2025</v>
      </c>
      <c r="P700" t="str">
        <f t="shared" si="32"/>
        <v>5. mayo</v>
      </c>
    </row>
    <row r="701" spans="1:16" x14ac:dyDescent="0.35">
      <c r="A701">
        <v>716128</v>
      </c>
      <c r="B701" t="s">
        <v>50</v>
      </c>
      <c r="C701" t="s">
        <v>138</v>
      </c>
      <c r="D701" t="s">
        <v>413</v>
      </c>
      <c r="E701" t="s">
        <v>733</v>
      </c>
      <c r="F701" t="s">
        <v>187</v>
      </c>
      <c r="G701" s="1">
        <v>45726</v>
      </c>
      <c r="H701" s="1">
        <v>45782</v>
      </c>
      <c r="I701" s="2">
        <v>3300</v>
      </c>
      <c r="J701" t="s">
        <v>776</v>
      </c>
      <c r="K701" t="s">
        <v>783</v>
      </c>
      <c r="L701" t="s">
        <v>823</v>
      </c>
      <c r="M701" t="s">
        <v>830</v>
      </c>
      <c r="N701" t="str">
        <f t="shared" si="30"/>
        <v>T-1</v>
      </c>
      <c r="O701">
        <f t="shared" si="31"/>
        <v>2025</v>
      </c>
      <c r="P701" t="str">
        <f t="shared" si="32"/>
        <v>3. marzo</v>
      </c>
    </row>
    <row r="702" spans="1:16" x14ac:dyDescent="0.35">
      <c r="A702">
        <v>413573</v>
      </c>
      <c r="B702" t="s">
        <v>11</v>
      </c>
      <c r="C702" t="s">
        <v>139</v>
      </c>
      <c r="D702" t="s">
        <v>414</v>
      </c>
      <c r="E702" t="s">
        <v>734</v>
      </c>
      <c r="F702" t="s">
        <v>773</v>
      </c>
      <c r="G702" s="1">
        <v>45789</v>
      </c>
      <c r="H702" s="1">
        <v>45952</v>
      </c>
      <c r="I702" s="2">
        <v>2500</v>
      </c>
      <c r="J702" t="s">
        <v>776</v>
      </c>
      <c r="K702" t="s">
        <v>783</v>
      </c>
      <c r="L702" t="s">
        <v>823</v>
      </c>
      <c r="M702" t="s">
        <v>828</v>
      </c>
      <c r="N702" t="str">
        <f t="shared" si="30"/>
        <v>T-2</v>
      </c>
      <c r="O702">
        <f t="shared" si="31"/>
        <v>2025</v>
      </c>
      <c r="P702" t="str">
        <f t="shared" si="32"/>
        <v>5. mayo</v>
      </c>
    </row>
    <row r="703" spans="1:16" x14ac:dyDescent="0.35">
      <c r="A703">
        <v>700370</v>
      </c>
      <c r="B703" t="s">
        <v>50</v>
      </c>
      <c r="C703" t="s">
        <v>138</v>
      </c>
      <c r="D703" t="s">
        <v>156</v>
      </c>
      <c r="E703" t="s">
        <v>673</v>
      </c>
      <c r="F703" t="s">
        <v>187</v>
      </c>
      <c r="G703" s="1">
        <v>45835</v>
      </c>
      <c r="H703" s="1">
        <v>45835</v>
      </c>
      <c r="I703" s="2">
        <v>375</v>
      </c>
      <c r="J703" t="s">
        <v>779</v>
      </c>
      <c r="K703" t="s">
        <v>783</v>
      </c>
      <c r="L703" t="s">
        <v>823</v>
      </c>
      <c r="M703" t="s">
        <v>828</v>
      </c>
      <c r="N703" t="str">
        <f t="shared" si="30"/>
        <v>T-2</v>
      </c>
      <c r="O703">
        <f t="shared" si="31"/>
        <v>2025</v>
      </c>
      <c r="P703" t="str">
        <f t="shared" si="32"/>
        <v>6. junio</v>
      </c>
    </row>
    <row r="704" spans="1:16" x14ac:dyDescent="0.35">
      <c r="A704">
        <v>710418</v>
      </c>
      <c r="B704" t="s">
        <v>34</v>
      </c>
      <c r="C704" t="s">
        <v>138</v>
      </c>
      <c r="D704" t="s">
        <v>156</v>
      </c>
      <c r="E704" t="s">
        <v>673</v>
      </c>
      <c r="F704" t="s">
        <v>187</v>
      </c>
      <c r="G704" s="1">
        <v>45835</v>
      </c>
      <c r="H704" s="1">
        <v>45835</v>
      </c>
      <c r="I704" s="2">
        <v>1875</v>
      </c>
      <c r="J704" t="s">
        <v>779</v>
      </c>
      <c r="K704" t="s">
        <v>789</v>
      </c>
      <c r="L704" t="s">
        <v>823</v>
      </c>
      <c r="M704" t="s">
        <v>829</v>
      </c>
      <c r="N704" t="str">
        <f t="shared" si="30"/>
        <v>T-2</v>
      </c>
      <c r="O704">
        <f t="shared" si="31"/>
        <v>2025</v>
      </c>
      <c r="P704" t="str">
        <f t="shared" si="32"/>
        <v>6. junio</v>
      </c>
    </row>
    <row r="705" spans="1:16" x14ac:dyDescent="0.35">
      <c r="A705">
        <v>415472</v>
      </c>
      <c r="B705" t="s">
        <v>5</v>
      </c>
      <c r="C705" t="s">
        <v>138</v>
      </c>
      <c r="D705" t="s">
        <v>280</v>
      </c>
      <c r="E705" t="s">
        <v>664</v>
      </c>
      <c r="F705" t="s">
        <v>187</v>
      </c>
      <c r="G705" s="1">
        <v>45782</v>
      </c>
      <c r="H705" s="1">
        <v>45796</v>
      </c>
      <c r="I705" s="2">
        <v>350.6</v>
      </c>
      <c r="J705" t="s">
        <v>779</v>
      </c>
      <c r="K705" t="s">
        <v>800</v>
      </c>
      <c r="L705" t="s">
        <v>823</v>
      </c>
      <c r="M705" t="s">
        <v>830</v>
      </c>
      <c r="N705" t="str">
        <f t="shared" si="30"/>
        <v>T-2</v>
      </c>
      <c r="O705">
        <f t="shared" si="31"/>
        <v>2025</v>
      </c>
      <c r="P705" t="str">
        <f t="shared" si="32"/>
        <v>5. mayo</v>
      </c>
    </row>
    <row r="706" spans="1:16" x14ac:dyDescent="0.35">
      <c r="A706">
        <v>411305</v>
      </c>
      <c r="B706" t="s">
        <v>23</v>
      </c>
      <c r="C706" t="s">
        <v>141</v>
      </c>
      <c r="D706" t="s">
        <v>161</v>
      </c>
      <c r="E706" t="s">
        <v>679</v>
      </c>
      <c r="F706" t="s">
        <v>187</v>
      </c>
      <c r="G706" s="1">
        <v>45835</v>
      </c>
      <c r="H706" s="1">
        <v>45835</v>
      </c>
      <c r="I706" s="2">
        <v>289.66000000000003</v>
      </c>
      <c r="J706" t="s">
        <v>779</v>
      </c>
      <c r="K706" t="s">
        <v>789</v>
      </c>
      <c r="L706" t="s">
        <v>823</v>
      </c>
      <c r="M706" t="s">
        <v>830</v>
      </c>
      <c r="N706" t="str">
        <f t="shared" si="30"/>
        <v>T-2</v>
      </c>
      <c r="O706">
        <f t="shared" si="31"/>
        <v>2025</v>
      </c>
      <c r="P706" t="str">
        <f t="shared" si="32"/>
        <v>6. junio</v>
      </c>
    </row>
    <row r="707" spans="1:16" x14ac:dyDescent="0.35">
      <c r="A707">
        <v>434110</v>
      </c>
      <c r="B707" t="s">
        <v>25</v>
      </c>
      <c r="C707" t="s">
        <v>138</v>
      </c>
      <c r="D707" t="s">
        <v>161</v>
      </c>
      <c r="E707" t="s">
        <v>679</v>
      </c>
      <c r="F707" t="s">
        <v>187</v>
      </c>
      <c r="G707" s="1">
        <v>45835</v>
      </c>
      <c r="H707" s="1">
        <v>45835</v>
      </c>
      <c r="I707" s="2">
        <v>2651.88</v>
      </c>
      <c r="J707" t="s">
        <v>779</v>
      </c>
      <c r="K707" t="s">
        <v>800</v>
      </c>
      <c r="L707" t="s">
        <v>824</v>
      </c>
      <c r="M707" t="s">
        <v>828</v>
      </c>
      <c r="N707" t="str">
        <f t="shared" ref="N707:N770" si="33">"T-" &amp; ROUNDUP((MONTH(G707)/3), 0)</f>
        <v>T-2</v>
      </c>
      <c r="O707">
        <f t="shared" ref="O707:O770" si="34">YEAR(G707)</f>
        <v>2025</v>
      </c>
      <c r="P707" t="str">
        <f t="shared" ref="P707:P770" si="35">MONTH(G707) &amp; ". " &amp; TEXT(G707, "MMMM")</f>
        <v>6. junio</v>
      </c>
    </row>
    <row r="708" spans="1:16" x14ac:dyDescent="0.35">
      <c r="A708">
        <v>419895</v>
      </c>
      <c r="B708" t="s">
        <v>4</v>
      </c>
      <c r="C708" t="s">
        <v>136</v>
      </c>
      <c r="D708" t="s">
        <v>373</v>
      </c>
      <c r="E708" t="s">
        <v>703</v>
      </c>
      <c r="F708" t="s">
        <v>187</v>
      </c>
      <c r="G708" s="1">
        <v>45831</v>
      </c>
      <c r="H708" s="1">
        <v>45831</v>
      </c>
      <c r="I708" s="2">
        <v>1117.5</v>
      </c>
      <c r="J708" t="s">
        <v>774</v>
      </c>
      <c r="K708" t="s">
        <v>783</v>
      </c>
      <c r="L708" t="s">
        <v>823</v>
      </c>
      <c r="M708" t="s">
        <v>830</v>
      </c>
      <c r="N708" t="str">
        <f t="shared" si="33"/>
        <v>T-2</v>
      </c>
      <c r="O708">
        <f t="shared" si="34"/>
        <v>2025</v>
      </c>
      <c r="P708" t="str">
        <f t="shared" si="35"/>
        <v>6. junio</v>
      </c>
    </row>
    <row r="709" spans="1:16" x14ac:dyDescent="0.35">
      <c r="A709">
        <v>429641</v>
      </c>
      <c r="B709" t="s">
        <v>32</v>
      </c>
      <c r="C709" t="s">
        <v>139</v>
      </c>
      <c r="D709" t="s">
        <v>373</v>
      </c>
      <c r="E709" t="s">
        <v>703</v>
      </c>
      <c r="F709" t="s">
        <v>187</v>
      </c>
      <c r="G709" s="1">
        <v>45831</v>
      </c>
      <c r="H709" s="1">
        <v>45831</v>
      </c>
      <c r="I709" s="2">
        <v>372.5</v>
      </c>
      <c r="J709" t="s">
        <v>774</v>
      </c>
      <c r="K709" t="s">
        <v>789</v>
      </c>
      <c r="L709" t="s">
        <v>823</v>
      </c>
      <c r="M709" t="s">
        <v>829</v>
      </c>
      <c r="N709" t="str">
        <f t="shared" si="33"/>
        <v>T-2</v>
      </c>
      <c r="O709">
        <f t="shared" si="34"/>
        <v>2025</v>
      </c>
      <c r="P709" t="str">
        <f t="shared" si="35"/>
        <v>6. junio</v>
      </c>
    </row>
    <row r="710" spans="1:16" x14ac:dyDescent="0.35">
      <c r="A710">
        <v>716047</v>
      </c>
      <c r="B710" t="s">
        <v>50</v>
      </c>
      <c r="C710" t="s">
        <v>138</v>
      </c>
      <c r="D710" t="s">
        <v>349</v>
      </c>
      <c r="E710" t="s">
        <v>703</v>
      </c>
      <c r="F710" t="s">
        <v>187</v>
      </c>
      <c r="G710" s="1">
        <v>45833</v>
      </c>
      <c r="H710" s="1">
        <v>45834</v>
      </c>
      <c r="I710" s="2">
        <v>2980</v>
      </c>
      <c r="J710" t="s">
        <v>774</v>
      </c>
      <c r="K710" t="s">
        <v>783</v>
      </c>
      <c r="L710" t="s">
        <v>823</v>
      </c>
      <c r="M710" t="s">
        <v>830</v>
      </c>
      <c r="N710" t="str">
        <f t="shared" si="33"/>
        <v>T-2</v>
      </c>
      <c r="O710">
        <f t="shared" si="34"/>
        <v>2025</v>
      </c>
      <c r="P710" t="str">
        <f t="shared" si="35"/>
        <v>6. junio</v>
      </c>
    </row>
    <row r="711" spans="1:16" x14ac:dyDescent="0.35">
      <c r="A711">
        <v>717138</v>
      </c>
      <c r="B711" t="s">
        <v>30</v>
      </c>
      <c r="C711" t="s">
        <v>137</v>
      </c>
      <c r="D711" t="s">
        <v>415</v>
      </c>
      <c r="E711" t="s">
        <v>647</v>
      </c>
      <c r="F711" t="s">
        <v>187</v>
      </c>
      <c r="G711" s="1">
        <v>45831</v>
      </c>
      <c r="H711" s="1">
        <v>45834</v>
      </c>
      <c r="I711" s="2">
        <v>2370</v>
      </c>
      <c r="J711" t="s">
        <v>774</v>
      </c>
      <c r="K711" t="s">
        <v>805</v>
      </c>
      <c r="L711" t="s">
        <v>823</v>
      </c>
      <c r="M711" t="s">
        <v>830</v>
      </c>
      <c r="N711" t="str">
        <f t="shared" si="33"/>
        <v>T-2</v>
      </c>
      <c r="O711">
        <f t="shared" si="34"/>
        <v>2025</v>
      </c>
      <c r="P711" t="str">
        <f t="shared" si="35"/>
        <v>6. junio</v>
      </c>
    </row>
    <row r="712" spans="1:16" x14ac:dyDescent="0.35">
      <c r="A712">
        <v>360040</v>
      </c>
      <c r="B712" t="s">
        <v>75</v>
      </c>
      <c r="C712" t="s">
        <v>139</v>
      </c>
      <c r="D712" t="s">
        <v>415</v>
      </c>
      <c r="E712" t="s">
        <v>647</v>
      </c>
      <c r="F712" t="s">
        <v>187</v>
      </c>
      <c r="G712" s="1">
        <v>45831</v>
      </c>
      <c r="H712" s="1">
        <v>45834</v>
      </c>
      <c r="I712" s="2">
        <v>3950</v>
      </c>
      <c r="J712" t="s">
        <v>774</v>
      </c>
      <c r="K712" t="s">
        <v>783</v>
      </c>
      <c r="L712" t="s">
        <v>823</v>
      </c>
      <c r="M712" t="s">
        <v>828</v>
      </c>
      <c r="N712" t="str">
        <f t="shared" si="33"/>
        <v>T-2</v>
      </c>
      <c r="O712">
        <f t="shared" si="34"/>
        <v>2025</v>
      </c>
      <c r="P712" t="str">
        <f t="shared" si="35"/>
        <v>6. junio</v>
      </c>
    </row>
    <row r="713" spans="1:16" x14ac:dyDescent="0.35">
      <c r="A713">
        <v>702836</v>
      </c>
      <c r="B713" t="s">
        <v>4</v>
      </c>
      <c r="C713" t="s">
        <v>138</v>
      </c>
      <c r="D713" t="s">
        <v>197</v>
      </c>
      <c r="E713" t="s">
        <v>647</v>
      </c>
      <c r="F713" t="s">
        <v>187</v>
      </c>
      <c r="G713" s="1">
        <v>45831</v>
      </c>
      <c r="H713" s="1">
        <v>45832</v>
      </c>
      <c r="I713" s="2">
        <v>1400</v>
      </c>
      <c r="J713" t="s">
        <v>774</v>
      </c>
      <c r="K713" t="s">
        <v>801</v>
      </c>
      <c r="L713" t="s">
        <v>823</v>
      </c>
      <c r="M713" t="s">
        <v>828</v>
      </c>
      <c r="N713" t="str">
        <f t="shared" si="33"/>
        <v>T-2</v>
      </c>
      <c r="O713">
        <f t="shared" si="34"/>
        <v>2025</v>
      </c>
      <c r="P713" t="str">
        <f t="shared" si="35"/>
        <v>6. junio</v>
      </c>
    </row>
    <row r="714" spans="1:16" x14ac:dyDescent="0.35">
      <c r="A714">
        <v>721594</v>
      </c>
      <c r="B714" t="s">
        <v>93</v>
      </c>
      <c r="C714" t="s">
        <v>141</v>
      </c>
      <c r="D714" t="s">
        <v>197</v>
      </c>
      <c r="E714" t="s">
        <v>647</v>
      </c>
      <c r="F714" t="s">
        <v>187</v>
      </c>
      <c r="G714" s="1">
        <v>45831</v>
      </c>
      <c r="H714" s="1">
        <v>45832</v>
      </c>
      <c r="I714" s="2">
        <v>350</v>
      </c>
      <c r="J714" t="s">
        <v>774</v>
      </c>
      <c r="K714" t="s">
        <v>783</v>
      </c>
      <c r="L714" t="s">
        <v>823</v>
      </c>
      <c r="M714" t="s">
        <v>830</v>
      </c>
      <c r="N714" t="str">
        <f t="shared" si="33"/>
        <v>T-2</v>
      </c>
      <c r="O714">
        <f t="shared" si="34"/>
        <v>2025</v>
      </c>
      <c r="P714" t="str">
        <f t="shared" si="35"/>
        <v>6. junio</v>
      </c>
    </row>
    <row r="715" spans="1:16" x14ac:dyDescent="0.35">
      <c r="A715">
        <v>709022</v>
      </c>
      <c r="B715" t="s">
        <v>20</v>
      </c>
      <c r="C715" t="s">
        <v>136</v>
      </c>
      <c r="D715" t="s">
        <v>161</v>
      </c>
      <c r="E715" t="s">
        <v>679</v>
      </c>
      <c r="F715" t="s">
        <v>187</v>
      </c>
      <c r="G715" s="1">
        <v>45835</v>
      </c>
      <c r="H715" s="1">
        <v>45835</v>
      </c>
      <c r="I715" s="2">
        <v>1258.46</v>
      </c>
      <c r="J715" t="s">
        <v>779</v>
      </c>
      <c r="K715" t="s">
        <v>789</v>
      </c>
      <c r="L715" t="s">
        <v>824</v>
      </c>
      <c r="M715" t="s">
        <v>829</v>
      </c>
      <c r="N715" t="str">
        <f t="shared" si="33"/>
        <v>T-2</v>
      </c>
      <c r="O715">
        <f t="shared" si="34"/>
        <v>2025</v>
      </c>
      <c r="P715" t="str">
        <f t="shared" si="35"/>
        <v>6. junio</v>
      </c>
    </row>
    <row r="716" spans="1:16" x14ac:dyDescent="0.35">
      <c r="A716">
        <v>718274</v>
      </c>
      <c r="B716" t="s">
        <v>24</v>
      </c>
      <c r="C716" t="s">
        <v>137</v>
      </c>
      <c r="D716" t="s">
        <v>416</v>
      </c>
      <c r="E716" t="s">
        <v>735</v>
      </c>
      <c r="F716" t="s">
        <v>187</v>
      </c>
      <c r="G716" s="1">
        <v>45846</v>
      </c>
      <c r="H716" s="1">
        <v>45846</v>
      </c>
      <c r="I716" s="2">
        <v>1680</v>
      </c>
      <c r="J716" t="s">
        <v>779</v>
      </c>
      <c r="K716" t="s">
        <v>810</v>
      </c>
      <c r="L716" t="s">
        <v>823</v>
      </c>
      <c r="M716" t="s">
        <v>830</v>
      </c>
      <c r="N716" t="str">
        <f t="shared" si="33"/>
        <v>T-3</v>
      </c>
      <c r="O716">
        <f t="shared" si="34"/>
        <v>2025</v>
      </c>
      <c r="P716" t="str">
        <f t="shared" si="35"/>
        <v>7. julio</v>
      </c>
    </row>
    <row r="717" spans="1:16" x14ac:dyDescent="0.35">
      <c r="A717">
        <v>417542</v>
      </c>
      <c r="B717" t="s">
        <v>50</v>
      </c>
      <c r="C717" t="s">
        <v>139</v>
      </c>
      <c r="D717" t="s">
        <v>416</v>
      </c>
      <c r="E717" t="s">
        <v>735</v>
      </c>
      <c r="F717" t="s">
        <v>187</v>
      </c>
      <c r="G717" s="1">
        <v>45846</v>
      </c>
      <c r="H717" s="1">
        <v>45846</v>
      </c>
      <c r="I717" s="2">
        <v>1680</v>
      </c>
      <c r="J717" t="s">
        <v>779</v>
      </c>
      <c r="K717" t="s">
        <v>783</v>
      </c>
      <c r="L717" t="s">
        <v>823</v>
      </c>
      <c r="M717" t="s">
        <v>830</v>
      </c>
      <c r="N717" t="str">
        <f t="shared" si="33"/>
        <v>T-3</v>
      </c>
      <c r="O717">
        <f t="shared" si="34"/>
        <v>2025</v>
      </c>
      <c r="P717" t="str">
        <f t="shared" si="35"/>
        <v>7. julio</v>
      </c>
    </row>
    <row r="718" spans="1:16" x14ac:dyDescent="0.35">
      <c r="A718">
        <v>151448</v>
      </c>
      <c r="B718" t="s">
        <v>37</v>
      </c>
      <c r="C718" t="s">
        <v>141</v>
      </c>
      <c r="D718" t="s">
        <v>223</v>
      </c>
      <c r="E718" t="s">
        <v>674</v>
      </c>
      <c r="F718" t="s">
        <v>187</v>
      </c>
      <c r="G718" s="1">
        <v>45786</v>
      </c>
      <c r="H718" s="1">
        <v>45786</v>
      </c>
      <c r="I718" s="2">
        <v>834</v>
      </c>
      <c r="J718" t="s">
        <v>777</v>
      </c>
      <c r="K718" t="s">
        <v>785</v>
      </c>
      <c r="L718" t="s">
        <v>823</v>
      </c>
      <c r="M718" t="s">
        <v>828</v>
      </c>
      <c r="N718" t="str">
        <f t="shared" si="33"/>
        <v>T-2</v>
      </c>
      <c r="O718">
        <f t="shared" si="34"/>
        <v>2025</v>
      </c>
      <c r="P718" t="str">
        <f t="shared" si="35"/>
        <v>5. mayo</v>
      </c>
    </row>
    <row r="719" spans="1:16" x14ac:dyDescent="0.35">
      <c r="A719">
        <v>450241</v>
      </c>
      <c r="B719" t="s">
        <v>45</v>
      </c>
      <c r="C719" t="s">
        <v>139</v>
      </c>
      <c r="D719" t="s">
        <v>223</v>
      </c>
      <c r="E719" t="s">
        <v>674</v>
      </c>
      <c r="F719" t="s">
        <v>187</v>
      </c>
      <c r="G719" s="1">
        <v>45786</v>
      </c>
      <c r="H719" s="1">
        <v>45786</v>
      </c>
      <c r="I719" s="2">
        <v>463.5</v>
      </c>
      <c r="J719" t="s">
        <v>777</v>
      </c>
      <c r="K719" t="s">
        <v>783</v>
      </c>
      <c r="L719" t="s">
        <v>823</v>
      </c>
      <c r="M719" t="s">
        <v>828</v>
      </c>
      <c r="N719" t="str">
        <f t="shared" si="33"/>
        <v>T-2</v>
      </c>
      <c r="O719">
        <f t="shared" si="34"/>
        <v>2025</v>
      </c>
      <c r="P719" t="str">
        <f t="shared" si="35"/>
        <v>5. mayo</v>
      </c>
    </row>
    <row r="720" spans="1:16" x14ac:dyDescent="0.35">
      <c r="A720">
        <v>709960</v>
      </c>
      <c r="B720" t="s">
        <v>59</v>
      </c>
      <c r="C720" t="s">
        <v>138</v>
      </c>
      <c r="D720" t="s">
        <v>418</v>
      </c>
      <c r="E720" t="s">
        <v>719</v>
      </c>
      <c r="F720" t="s">
        <v>187</v>
      </c>
      <c r="G720" s="1">
        <v>45756</v>
      </c>
      <c r="H720" s="1">
        <v>45838</v>
      </c>
      <c r="I720" s="2">
        <v>267.89999999999998</v>
      </c>
      <c r="J720" t="s">
        <v>778</v>
      </c>
      <c r="K720" t="s">
        <v>783</v>
      </c>
      <c r="L720" t="s">
        <v>823</v>
      </c>
      <c r="M720" t="s">
        <v>829</v>
      </c>
      <c r="N720" t="str">
        <f t="shared" si="33"/>
        <v>T-2</v>
      </c>
      <c r="O720">
        <f t="shared" si="34"/>
        <v>2025</v>
      </c>
      <c r="P720" t="str">
        <f t="shared" si="35"/>
        <v>4. abril</v>
      </c>
    </row>
    <row r="721" spans="1:16" x14ac:dyDescent="0.35">
      <c r="A721">
        <v>432759</v>
      </c>
      <c r="B721" t="s">
        <v>2</v>
      </c>
      <c r="C721" t="s">
        <v>138</v>
      </c>
      <c r="D721" t="s">
        <v>207</v>
      </c>
      <c r="E721" t="s">
        <v>661</v>
      </c>
      <c r="F721" t="s">
        <v>187</v>
      </c>
      <c r="G721" s="1">
        <v>45782</v>
      </c>
      <c r="H721" s="1">
        <v>45782</v>
      </c>
      <c r="I721" s="2">
        <v>1500</v>
      </c>
      <c r="J721" t="s">
        <v>776</v>
      </c>
      <c r="K721" t="s">
        <v>783</v>
      </c>
      <c r="L721" t="s">
        <v>824</v>
      </c>
      <c r="M721" t="s">
        <v>830</v>
      </c>
      <c r="N721" t="str">
        <f t="shared" si="33"/>
        <v>T-2</v>
      </c>
      <c r="O721">
        <f t="shared" si="34"/>
        <v>2025</v>
      </c>
      <c r="P721" t="str">
        <f t="shared" si="35"/>
        <v>5. mayo</v>
      </c>
    </row>
    <row r="722" spans="1:16" x14ac:dyDescent="0.35">
      <c r="A722">
        <v>704781</v>
      </c>
      <c r="B722" t="s">
        <v>10</v>
      </c>
      <c r="C722" t="s">
        <v>138</v>
      </c>
      <c r="D722" t="s">
        <v>207</v>
      </c>
      <c r="E722" t="s">
        <v>661</v>
      </c>
      <c r="F722" t="s">
        <v>187</v>
      </c>
      <c r="G722" s="1">
        <v>45782</v>
      </c>
      <c r="H722" s="1">
        <v>45782</v>
      </c>
      <c r="I722" s="2">
        <v>1500</v>
      </c>
      <c r="J722" t="s">
        <v>776</v>
      </c>
      <c r="K722" t="s">
        <v>783</v>
      </c>
      <c r="L722" t="s">
        <v>823</v>
      </c>
      <c r="M722" t="s">
        <v>830</v>
      </c>
      <c r="N722" t="str">
        <f t="shared" si="33"/>
        <v>T-2</v>
      </c>
      <c r="O722">
        <f t="shared" si="34"/>
        <v>2025</v>
      </c>
      <c r="P722" t="str">
        <f t="shared" si="35"/>
        <v>5. mayo</v>
      </c>
    </row>
    <row r="723" spans="1:16" x14ac:dyDescent="0.35">
      <c r="A723">
        <v>67173</v>
      </c>
      <c r="B723" t="s">
        <v>5</v>
      </c>
      <c r="C723" t="s">
        <v>138</v>
      </c>
      <c r="D723" t="s">
        <v>311</v>
      </c>
      <c r="E723" t="s">
        <v>675</v>
      </c>
      <c r="F723" t="s">
        <v>187</v>
      </c>
      <c r="G723" s="1">
        <v>45798</v>
      </c>
      <c r="H723" s="1">
        <v>45805</v>
      </c>
      <c r="I723" s="2">
        <v>668.57</v>
      </c>
      <c r="J723" t="s">
        <v>779</v>
      </c>
      <c r="K723" t="s">
        <v>783</v>
      </c>
      <c r="L723" t="s">
        <v>823</v>
      </c>
      <c r="M723" t="s">
        <v>828</v>
      </c>
      <c r="N723" t="str">
        <f t="shared" si="33"/>
        <v>T-2</v>
      </c>
      <c r="O723">
        <f t="shared" si="34"/>
        <v>2025</v>
      </c>
      <c r="P723" t="str">
        <f t="shared" si="35"/>
        <v>5. mayo</v>
      </c>
    </row>
    <row r="724" spans="1:16" x14ac:dyDescent="0.35">
      <c r="A724">
        <v>708000</v>
      </c>
      <c r="B724" t="s">
        <v>25</v>
      </c>
      <c r="C724" t="s">
        <v>138</v>
      </c>
      <c r="D724" t="s">
        <v>311</v>
      </c>
      <c r="E724" t="s">
        <v>675</v>
      </c>
      <c r="F724" t="s">
        <v>187</v>
      </c>
      <c r="G724" s="1">
        <v>45797</v>
      </c>
      <c r="H724" s="1">
        <v>45804</v>
      </c>
      <c r="I724" s="2">
        <v>212.73</v>
      </c>
      <c r="J724" t="s">
        <v>779</v>
      </c>
      <c r="K724" t="s">
        <v>783</v>
      </c>
      <c r="L724" t="s">
        <v>823</v>
      </c>
      <c r="M724" t="s">
        <v>830</v>
      </c>
      <c r="N724" t="str">
        <f t="shared" si="33"/>
        <v>T-2</v>
      </c>
      <c r="O724">
        <f t="shared" si="34"/>
        <v>2025</v>
      </c>
      <c r="P724" t="str">
        <f t="shared" si="35"/>
        <v>5. mayo</v>
      </c>
    </row>
    <row r="725" spans="1:16" x14ac:dyDescent="0.35">
      <c r="A725">
        <v>507686</v>
      </c>
      <c r="B725" t="s">
        <v>5</v>
      </c>
      <c r="C725" t="s">
        <v>138</v>
      </c>
      <c r="D725" t="s">
        <v>311</v>
      </c>
      <c r="E725" t="s">
        <v>675</v>
      </c>
      <c r="F725" t="s">
        <v>187</v>
      </c>
      <c r="G725" s="1">
        <v>45819</v>
      </c>
      <c r="H725" s="1">
        <v>45826</v>
      </c>
      <c r="I725" s="2">
        <v>1638</v>
      </c>
      <c r="J725" t="s">
        <v>779</v>
      </c>
      <c r="K725" t="s">
        <v>783</v>
      </c>
      <c r="L725" t="s">
        <v>823</v>
      </c>
      <c r="M725" t="s">
        <v>829</v>
      </c>
      <c r="N725" t="str">
        <f t="shared" si="33"/>
        <v>T-2</v>
      </c>
      <c r="O725">
        <f t="shared" si="34"/>
        <v>2025</v>
      </c>
      <c r="P725" t="str">
        <f t="shared" si="35"/>
        <v>6. junio</v>
      </c>
    </row>
    <row r="726" spans="1:16" x14ac:dyDescent="0.35">
      <c r="A726">
        <v>403405</v>
      </c>
      <c r="B726" t="s">
        <v>46</v>
      </c>
      <c r="C726" t="s">
        <v>138</v>
      </c>
      <c r="D726" t="s">
        <v>311</v>
      </c>
      <c r="E726" t="s">
        <v>675</v>
      </c>
      <c r="F726" t="s">
        <v>187</v>
      </c>
      <c r="G726" s="1">
        <v>45820</v>
      </c>
      <c r="H726" s="1">
        <v>45827</v>
      </c>
      <c r="I726" s="2">
        <v>1260</v>
      </c>
      <c r="J726" t="s">
        <v>779</v>
      </c>
      <c r="K726" t="s">
        <v>783</v>
      </c>
      <c r="L726" t="s">
        <v>823</v>
      </c>
      <c r="M726" t="s">
        <v>830</v>
      </c>
      <c r="N726" t="str">
        <f t="shared" si="33"/>
        <v>T-2</v>
      </c>
      <c r="O726">
        <f t="shared" si="34"/>
        <v>2025</v>
      </c>
      <c r="P726" t="str">
        <f t="shared" si="35"/>
        <v>6. junio</v>
      </c>
    </row>
    <row r="727" spans="1:16" x14ac:dyDescent="0.35">
      <c r="A727">
        <v>709520</v>
      </c>
      <c r="B727" t="s">
        <v>30</v>
      </c>
      <c r="C727" t="s">
        <v>138</v>
      </c>
      <c r="D727" t="s">
        <v>419</v>
      </c>
      <c r="E727" t="s">
        <v>694</v>
      </c>
      <c r="F727" t="s">
        <v>187</v>
      </c>
      <c r="G727" s="1">
        <v>45761</v>
      </c>
      <c r="H727" s="1">
        <v>45842</v>
      </c>
      <c r="I727" s="2">
        <v>262.5</v>
      </c>
      <c r="J727" t="s">
        <v>778</v>
      </c>
      <c r="K727" t="s">
        <v>783</v>
      </c>
      <c r="L727" t="s">
        <v>823</v>
      </c>
      <c r="M727" t="s">
        <v>830</v>
      </c>
      <c r="N727" t="str">
        <f t="shared" si="33"/>
        <v>T-2</v>
      </c>
      <c r="O727">
        <f t="shared" si="34"/>
        <v>2025</v>
      </c>
      <c r="P727" t="str">
        <f t="shared" si="35"/>
        <v>4. abril</v>
      </c>
    </row>
    <row r="728" spans="1:16" x14ac:dyDescent="0.35">
      <c r="A728">
        <v>499000</v>
      </c>
      <c r="B728" t="s">
        <v>25</v>
      </c>
      <c r="C728" t="s">
        <v>138</v>
      </c>
      <c r="D728" t="s">
        <v>419</v>
      </c>
      <c r="E728" t="s">
        <v>694</v>
      </c>
      <c r="F728" t="s">
        <v>187</v>
      </c>
      <c r="G728" s="1">
        <v>45761</v>
      </c>
      <c r="H728" s="1">
        <v>45842</v>
      </c>
      <c r="I728" s="2">
        <v>262.5</v>
      </c>
      <c r="J728" t="s">
        <v>778</v>
      </c>
      <c r="K728" t="s">
        <v>789</v>
      </c>
      <c r="L728" t="s">
        <v>824</v>
      </c>
      <c r="M728" t="s">
        <v>828</v>
      </c>
      <c r="N728" t="str">
        <f t="shared" si="33"/>
        <v>T-2</v>
      </c>
      <c r="O728">
        <f t="shared" si="34"/>
        <v>2025</v>
      </c>
      <c r="P728" t="str">
        <f t="shared" si="35"/>
        <v>4. abril</v>
      </c>
    </row>
    <row r="729" spans="1:16" x14ac:dyDescent="0.35">
      <c r="A729">
        <v>723918</v>
      </c>
      <c r="B729" t="s">
        <v>23</v>
      </c>
      <c r="C729" t="s">
        <v>138</v>
      </c>
      <c r="D729" t="s">
        <v>419</v>
      </c>
      <c r="E729" t="s">
        <v>694</v>
      </c>
      <c r="F729" t="s">
        <v>187</v>
      </c>
      <c r="G729" s="1">
        <v>45761</v>
      </c>
      <c r="H729" s="1">
        <v>45842</v>
      </c>
      <c r="I729" s="2">
        <v>262.5</v>
      </c>
      <c r="J729" t="s">
        <v>778</v>
      </c>
      <c r="K729" t="s">
        <v>783</v>
      </c>
      <c r="L729" t="s">
        <v>823</v>
      </c>
      <c r="M729" t="s">
        <v>828</v>
      </c>
      <c r="N729" t="str">
        <f t="shared" si="33"/>
        <v>T-2</v>
      </c>
      <c r="O729">
        <f t="shared" si="34"/>
        <v>2025</v>
      </c>
      <c r="P729" t="str">
        <f t="shared" si="35"/>
        <v>4. abril</v>
      </c>
    </row>
    <row r="730" spans="1:16" x14ac:dyDescent="0.35">
      <c r="A730">
        <v>561908</v>
      </c>
      <c r="B730" t="s">
        <v>20</v>
      </c>
      <c r="C730" t="s">
        <v>136</v>
      </c>
      <c r="D730" t="s">
        <v>311</v>
      </c>
      <c r="E730" t="s">
        <v>675</v>
      </c>
      <c r="F730" t="s">
        <v>187</v>
      </c>
      <c r="G730" s="1">
        <v>45821</v>
      </c>
      <c r="H730" s="1">
        <v>45828</v>
      </c>
      <c r="I730" s="2">
        <v>668.57</v>
      </c>
      <c r="J730" t="s">
        <v>779</v>
      </c>
      <c r="K730" t="s">
        <v>783</v>
      </c>
      <c r="L730" t="s">
        <v>823</v>
      </c>
      <c r="M730" t="s">
        <v>830</v>
      </c>
      <c r="N730" t="str">
        <f t="shared" si="33"/>
        <v>T-2</v>
      </c>
      <c r="O730">
        <f t="shared" si="34"/>
        <v>2025</v>
      </c>
      <c r="P730" t="str">
        <f t="shared" si="35"/>
        <v>6. junio</v>
      </c>
    </row>
    <row r="731" spans="1:16" x14ac:dyDescent="0.35">
      <c r="A731">
        <v>712217</v>
      </c>
      <c r="B731" t="s">
        <v>32</v>
      </c>
      <c r="C731" t="s">
        <v>137</v>
      </c>
      <c r="D731" t="s">
        <v>420</v>
      </c>
      <c r="E731" t="s">
        <v>736</v>
      </c>
      <c r="F731" t="s">
        <v>187</v>
      </c>
      <c r="G731" s="1">
        <v>45940</v>
      </c>
      <c r="H731" s="1">
        <v>45940</v>
      </c>
      <c r="I731" s="2">
        <v>2000</v>
      </c>
      <c r="J731" t="s">
        <v>776</v>
      </c>
      <c r="K731" t="s">
        <v>786</v>
      </c>
      <c r="L731" t="s">
        <v>823</v>
      </c>
      <c r="M731" t="s">
        <v>829</v>
      </c>
      <c r="N731" t="str">
        <f t="shared" si="33"/>
        <v>T-4</v>
      </c>
      <c r="O731">
        <f t="shared" si="34"/>
        <v>2025</v>
      </c>
      <c r="P731" t="str">
        <f t="shared" si="35"/>
        <v>10. octubre</v>
      </c>
    </row>
    <row r="732" spans="1:16" x14ac:dyDescent="0.35">
      <c r="A732">
        <v>751321</v>
      </c>
      <c r="B732" t="s">
        <v>31</v>
      </c>
      <c r="C732" t="s">
        <v>136</v>
      </c>
      <c r="D732" t="s">
        <v>421</v>
      </c>
      <c r="E732" t="s">
        <v>736</v>
      </c>
      <c r="F732" t="s">
        <v>773</v>
      </c>
      <c r="G732" s="1">
        <v>45974</v>
      </c>
      <c r="H732" s="1">
        <v>45975</v>
      </c>
      <c r="I732" s="2">
        <v>3650</v>
      </c>
      <c r="J732" t="s">
        <v>776</v>
      </c>
      <c r="K732" t="s">
        <v>786</v>
      </c>
      <c r="L732" t="s">
        <v>823</v>
      </c>
      <c r="M732" t="s">
        <v>830</v>
      </c>
      <c r="N732" t="str">
        <f t="shared" si="33"/>
        <v>T-4</v>
      </c>
      <c r="O732">
        <f t="shared" si="34"/>
        <v>2025</v>
      </c>
      <c r="P732" t="str">
        <f t="shared" si="35"/>
        <v>11. noviembre</v>
      </c>
    </row>
    <row r="733" spans="1:16" x14ac:dyDescent="0.35">
      <c r="A733">
        <v>430487</v>
      </c>
      <c r="B733" t="s">
        <v>97</v>
      </c>
      <c r="C733" t="s">
        <v>138</v>
      </c>
      <c r="D733" t="s">
        <v>422</v>
      </c>
      <c r="E733" t="s">
        <v>737</v>
      </c>
      <c r="F733" t="s">
        <v>773</v>
      </c>
      <c r="G733" s="1">
        <v>45989</v>
      </c>
      <c r="H733" s="1">
        <v>45989</v>
      </c>
      <c r="I733" s="2">
        <v>250</v>
      </c>
      <c r="J733" t="s">
        <v>774</v>
      </c>
      <c r="K733" t="s">
        <v>783</v>
      </c>
      <c r="L733" t="s">
        <v>823</v>
      </c>
      <c r="M733" t="s">
        <v>830</v>
      </c>
      <c r="N733" t="str">
        <f t="shared" si="33"/>
        <v>T-4</v>
      </c>
      <c r="O733">
        <f t="shared" si="34"/>
        <v>2025</v>
      </c>
      <c r="P733" t="str">
        <f t="shared" si="35"/>
        <v>11. noviembre</v>
      </c>
    </row>
    <row r="734" spans="1:16" x14ac:dyDescent="0.35">
      <c r="A734">
        <v>565770</v>
      </c>
      <c r="B734" t="s">
        <v>45</v>
      </c>
      <c r="C734" t="s">
        <v>138</v>
      </c>
      <c r="D734" t="s">
        <v>423</v>
      </c>
      <c r="E734" t="s">
        <v>694</v>
      </c>
      <c r="F734" t="s">
        <v>187</v>
      </c>
      <c r="G734" s="1">
        <v>45761</v>
      </c>
      <c r="H734" s="1">
        <v>45835</v>
      </c>
      <c r="I734" s="2">
        <v>450</v>
      </c>
      <c r="J734" t="s">
        <v>778</v>
      </c>
      <c r="K734" t="s">
        <v>789</v>
      </c>
      <c r="L734" t="s">
        <v>823</v>
      </c>
      <c r="M734" t="s">
        <v>828</v>
      </c>
      <c r="N734" t="str">
        <f t="shared" si="33"/>
        <v>T-2</v>
      </c>
      <c r="O734">
        <f t="shared" si="34"/>
        <v>2025</v>
      </c>
      <c r="P734" t="str">
        <f t="shared" si="35"/>
        <v>4. abril</v>
      </c>
    </row>
    <row r="735" spans="1:16" x14ac:dyDescent="0.35">
      <c r="A735">
        <v>713685</v>
      </c>
      <c r="B735" t="s">
        <v>27</v>
      </c>
      <c r="C735" t="s">
        <v>138</v>
      </c>
      <c r="D735" t="s">
        <v>424</v>
      </c>
      <c r="E735" t="s">
        <v>694</v>
      </c>
      <c r="F735" t="s">
        <v>187</v>
      </c>
      <c r="G735" s="1">
        <v>45761</v>
      </c>
      <c r="H735" s="1">
        <v>45835</v>
      </c>
      <c r="I735" s="2">
        <v>225</v>
      </c>
      <c r="J735" t="s">
        <v>778</v>
      </c>
      <c r="K735" t="s">
        <v>785</v>
      </c>
      <c r="L735" t="s">
        <v>823</v>
      </c>
      <c r="M735" t="s">
        <v>828</v>
      </c>
      <c r="N735" t="str">
        <f t="shared" si="33"/>
        <v>T-2</v>
      </c>
      <c r="O735">
        <f t="shared" si="34"/>
        <v>2025</v>
      </c>
      <c r="P735" t="str">
        <f t="shared" si="35"/>
        <v>4. abril</v>
      </c>
    </row>
    <row r="736" spans="1:16" x14ac:dyDescent="0.35">
      <c r="A736">
        <v>714335</v>
      </c>
      <c r="B736" t="s">
        <v>22</v>
      </c>
      <c r="C736" t="s">
        <v>138</v>
      </c>
      <c r="D736" t="s">
        <v>425</v>
      </c>
      <c r="E736" t="s">
        <v>720</v>
      </c>
      <c r="F736" t="s">
        <v>187</v>
      </c>
      <c r="G736" s="1">
        <v>45831</v>
      </c>
      <c r="H736" s="1">
        <v>45841</v>
      </c>
      <c r="I736" s="2">
        <v>2300</v>
      </c>
      <c r="J736" t="s">
        <v>776</v>
      </c>
      <c r="K736" t="s">
        <v>787</v>
      </c>
      <c r="L736" t="s">
        <v>824</v>
      </c>
      <c r="M736" t="s">
        <v>829</v>
      </c>
      <c r="N736" t="str">
        <f t="shared" si="33"/>
        <v>T-2</v>
      </c>
      <c r="O736">
        <f t="shared" si="34"/>
        <v>2025</v>
      </c>
      <c r="P736" t="str">
        <f t="shared" si="35"/>
        <v>6. junio</v>
      </c>
    </row>
    <row r="737" spans="1:16" x14ac:dyDescent="0.35">
      <c r="A737">
        <v>705358</v>
      </c>
      <c r="B737" t="s">
        <v>23</v>
      </c>
      <c r="C737" t="s">
        <v>138</v>
      </c>
      <c r="D737" t="s">
        <v>425</v>
      </c>
      <c r="E737" t="s">
        <v>720</v>
      </c>
      <c r="F737" t="s">
        <v>187</v>
      </c>
      <c r="G737" s="1">
        <v>45831</v>
      </c>
      <c r="H737" s="1">
        <v>45841</v>
      </c>
      <c r="I737" s="2">
        <v>575</v>
      </c>
      <c r="J737" t="s">
        <v>776</v>
      </c>
      <c r="K737" t="s">
        <v>787</v>
      </c>
      <c r="L737" t="s">
        <v>823</v>
      </c>
      <c r="M737" t="s">
        <v>830</v>
      </c>
      <c r="N737" t="str">
        <f t="shared" si="33"/>
        <v>T-2</v>
      </c>
      <c r="O737">
        <f t="shared" si="34"/>
        <v>2025</v>
      </c>
      <c r="P737" t="str">
        <f t="shared" si="35"/>
        <v>6. junio</v>
      </c>
    </row>
    <row r="738" spans="1:16" x14ac:dyDescent="0.35">
      <c r="A738">
        <v>415710</v>
      </c>
      <c r="B738" t="s">
        <v>4</v>
      </c>
      <c r="C738" t="s">
        <v>139</v>
      </c>
      <c r="D738" t="s">
        <v>425</v>
      </c>
      <c r="E738" t="s">
        <v>720</v>
      </c>
      <c r="F738" t="s">
        <v>187</v>
      </c>
      <c r="G738" s="1">
        <v>45838</v>
      </c>
      <c r="H738" s="1">
        <v>45841</v>
      </c>
      <c r="I738" s="2">
        <v>1916.66</v>
      </c>
      <c r="J738" t="s">
        <v>776</v>
      </c>
      <c r="K738" t="s">
        <v>783</v>
      </c>
      <c r="L738" t="s">
        <v>823</v>
      </c>
      <c r="M738" t="s">
        <v>830</v>
      </c>
      <c r="N738" t="str">
        <f t="shared" si="33"/>
        <v>T-2</v>
      </c>
      <c r="O738">
        <f t="shared" si="34"/>
        <v>2025</v>
      </c>
      <c r="P738" t="str">
        <f t="shared" si="35"/>
        <v>6. junio</v>
      </c>
    </row>
    <row r="739" spans="1:16" x14ac:dyDescent="0.35">
      <c r="A739">
        <v>706700</v>
      </c>
      <c r="B739" t="s">
        <v>71</v>
      </c>
      <c r="C739" t="s">
        <v>138</v>
      </c>
      <c r="D739" t="s">
        <v>425</v>
      </c>
      <c r="E739" t="s">
        <v>720</v>
      </c>
      <c r="F739" t="s">
        <v>187</v>
      </c>
      <c r="G739" s="1">
        <v>45838</v>
      </c>
      <c r="H739" s="1">
        <v>45841</v>
      </c>
      <c r="I739" s="2">
        <v>958.34</v>
      </c>
      <c r="J739" t="s">
        <v>776</v>
      </c>
      <c r="K739" t="s">
        <v>801</v>
      </c>
      <c r="L739" t="s">
        <v>823</v>
      </c>
      <c r="M739" t="s">
        <v>828</v>
      </c>
      <c r="N739" t="str">
        <f t="shared" si="33"/>
        <v>T-2</v>
      </c>
      <c r="O739">
        <f t="shared" si="34"/>
        <v>2025</v>
      </c>
      <c r="P739" t="str">
        <f t="shared" si="35"/>
        <v>6. junio</v>
      </c>
    </row>
    <row r="740" spans="1:16" x14ac:dyDescent="0.35">
      <c r="A740">
        <v>610516</v>
      </c>
      <c r="B740" t="s">
        <v>13</v>
      </c>
      <c r="C740" t="s">
        <v>138</v>
      </c>
      <c r="D740" t="s">
        <v>426</v>
      </c>
      <c r="E740" t="s">
        <v>738</v>
      </c>
      <c r="F740" t="s">
        <v>187</v>
      </c>
      <c r="G740" s="1">
        <v>45861</v>
      </c>
      <c r="H740" s="1">
        <v>45867</v>
      </c>
      <c r="I740" s="2">
        <v>1200</v>
      </c>
      <c r="J740" t="s">
        <v>776</v>
      </c>
      <c r="K740" t="s">
        <v>797</v>
      </c>
      <c r="L740" t="s">
        <v>823</v>
      </c>
      <c r="M740" t="s">
        <v>830</v>
      </c>
      <c r="N740" t="str">
        <f t="shared" si="33"/>
        <v>T-3</v>
      </c>
      <c r="O740">
        <f t="shared" si="34"/>
        <v>2025</v>
      </c>
      <c r="P740" t="str">
        <f t="shared" si="35"/>
        <v>7. julio</v>
      </c>
    </row>
    <row r="741" spans="1:16" x14ac:dyDescent="0.35">
      <c r="A741">
        <v>33667</v>
      </c>
      <c r="B741" t="s">
        <v>2</v>
      </c>
      <c r="C741" t="s">
        <v>139</v>
      </c>
      <c r="D741" t="s">
        <v>207</v>
      </c>
      <c r="E741" t="s">
        <v>661</v>
      </c>
      <c r="F741" t="s">
        <v>187</v>
      </c>
      <c r="G741" s="1">
        <v>45810</v>
      </c>
      <c r="H741" s="1">
        <v>45810</v>
      </c>
      <c r="I741" s="2">
        <v>1500</v>
      </c>
      <c r="J741" t="s">
        <v>776</v>
      </c>
      <c r="K741" t="s">
        <v>783</v>
      </c>
      <c r="L741" t="s">
        <v>823</v>
      </c>
      <c r="M741" t="s">
        <v>829</v>
      </c>
      <c r="N741" t="str">
        <f t="shared" si="33"/>
        <v>T-2</v>
      </c>
      <c r="O741">
        <f t="shared" si="34"/>
        <v>2025</v>
      </c>
      <c r="P741" t="str">
        <f t="shared" si="35"/>
        <v>6. junio</v>
      </c>
    </row>
    <row r="742" spans="1:16" x14ac:dyDescent="0.35">
      <c r="A742">
        <v>448419</v>
      </c>
      <c r="B742" t="s">
        <v>23</v>
      </c>
      <c r="C742" t="s">
        <v>141</v>
      </c>
      <c r="D742" t="s">
        <v>207</v>
      </c>
      <c r="E742" t="s">
        <v>661</v>
      </c>
      <c r="F742" t="s">
        <v>187</v>
      </c>
      <c r="G742" s="1">
        <v>45810</v>
      </c>
      <c r="H742" s="1">
        <v>45810</v>
      </c>
      <c r="I742" s="2">
        <v>1500</v>
      </c>
      <c r="J742" t="s">
        <v>776</v>
      </c>
      <c r="K742" t="s">
        <v>783</v>
      </c>
      <c r="L742" t="s">
        <v>824</v>
      </c>
      <c r="M742" t="s">
        <v>830</v>
      </c>
      <c r="N742" t="str">
        <f t="shared" si="33"/>
        <v>T-2</v>
      </c>
      <c r="O742">
        <f t="shared" si="34"/>
        <v>2025</v>
      </c>
      <c r="P742" t="str">
        <f t="shared" si="35"/>
        <v>6. junio</v>
      </c>
    </row>
    <row r="743" spans="1:16" x14ac:dyDescent="0.35">
      <c r="A743">
        <v>420194</v>
      </c>
      <c r="B743" t="s">
        <v>23</v>
      </c>
      <c r="C743" t="s">
        <v>141</v>
      </c>
      <c r="D743" t="s">
        <v>164</v>
      </c>
      <c r="E743" t="s">
        <v>675</v>
      </c>
      <c r="F743" t="s">
        <v>187</v>
      </c>
      <c r="G743" s="1">
        <v>45833</v>
      </c>
      <c r="H743" s="1">
        <v>45839</v>
      </c>
      <c r="I743" s="2">
        <v>1872</v>
      </c>
      <c r="J743" t="s">
        <v>779</v>
      </c>
      <c r="K743" t="s">
        <v>783</v>
      </c>
      <c r="L743" t="s">
        <v>823</v>
      </c>
      <c r="M743" t="s">
        <v>830</v>
      </c>
      <c r="N743" t="str">
        <f t="shared" si="33"/>
        <v>T-2</v>
      </c>
      <c r="O743">
        <f t="shared" si="34"/>
        <v>2025</v>
      </c>
      <c r="P743" t="str">
        <f t="shared" si="35"/>
        <v>6. junio</v>
      </c>
    </row>
    <row r="744" spans="1:16" x14ac:dyDescent="0.35">
      <c r="A744">
        <v>463778</v>
      </c>
      <c r="B744" t="s">
        <v>8</v>
      </c>
      <c r="C744" t="s">
        <v>141</v>
      </c>
      <c r="D744" t="s">
        <v>293</v>
      </c>
      <c r="E744" t="s">
        <v>675</v>
      </c>
      <c r="F744" t="s">
        <v>187</v>
      </c>
      <c r="G744" s="1">
        <v>45834</v>
      </c>
      <c r="H744" s="1">
        <v>45839</v>
      </c>
      <c r="I744" s="2">
        <v>1040</v>
      </c>
      <c r="J744" t="s">
        <v>779</v>
      </c>
      <c r="K744" t="s">
        <v>789</v>
      </c>
      <c r="L744" t="s">
        <v>823</v>
      </c>
      <c r="M744" t="s">
        <v>828</v>
      </c>
      <c r="N744" t="str">
        <f t="shared" si="33"/>
        <v>T-2</v>
      </c>
      <c r="O744">
        <f t="shared" si="34"/>
        <v>2025</v>
      </c>
      <c r="P744" t="str">
        <f t="shared" si="35"/>
        <v>6. junio</v>
      </c>
    </row>
    <row r="745" spans="1:16" x14ac:dyDescent="0.35">
      <c r="A745">
        <v>713823</v>
      </c>
      <c r="B745" t="s">
        <v>46</v>
      </c>
      <c r="C745" t="s">
        <v>137</v>
      </c>
      <c r="D745" t="s">
        <v>232</v>
      </c>
      <c r="E745" t="s">
        <v>675</v>
      </c>
      <c r="F745" t="s">
        <v>187</v>
      </c>
      <c r="G745" s="1">
        <v>45833</v>
      </c>
      <c r="H745" s="1">
        <v>45840</v>
      </c>
      <c r="I745" s="2">
        <v>416</v>
      </c>
      <c r="J745" t="s">
        <v>779</v>
      </c>
      <c r="K745" t="s">
        <v>783</v>
      </c>
      <c r="L745" t="s">
        <v>823</v>
      </c>
      <c r="M745" t="s">
        <v>828</v>
      </c>
      <c r="N745" t="str">
        <f t="shared" si="33"/>
        <v>T-2</v>
      </c>
      <c r="O745">
        <f t="shared" si="34"/>
        <v>2025</v>
      </c>
      <c r="P745" t="str">
        <f t="shared" si="35"/>
        <v>6. junio</v>
      </c>
    </row>
    <row r="746" spans="1:16" x14ac:dyDescent="0.35">
      <c r="A746">
        <v>723336</v>
      </c>
      <c r="B746" t="s">
        <v>3</v>
      </c>
      <c r="C746" t="s">
        <v>137</v>
      </c>
      <c r="D746" t="s">
        <v>232</v>
      </c>
      <c r="E746" t="s">
        <v>675</v>
      </c>
      <c r="F746" t="s">
        <v>187</v>
      </c>
      <c r="G746" s="1">
        <v>45834</v>
      </c>
      <c r="H746" s="1">
        <v>45841</v>
      </c>
      <c r="I746" s="2">
        <v>624</v>
      </c>
      <c r="J746" t="s">
        <v>779</v>
      </c>
      <c r="K746" t="s">
        <v>783</v>
      </c>
      <c r="L746" t="s">
        <v>823</v>
      </c>
      <c r="M746" t="s">
        <v>830</v>
      </c>
      <c r="N746" t="str">
        <f t="shared" si="33"/>
        <v>T-2</v>
      </c>
      <c r="O746">
        <f t="shared" si="34"/>
        <v>2025</v>
      </c>
      <c r="P746" t="str">
        <f t="shared" si="35"/>
        <v>6. junio</v>
      </c>
    </row>
    <row r="747" spans="1:16" x14ac:dyDescent="0.35">
      <c r="A747">
        <v>712006</v>
      </c>
      <c r="B747" t="s">
        <v>4</v>
      </c>
      <c r="C747" t="s">
        <v>138</v>
      </c>
      <c r="D747" t="s">
        <v>242</v>
      </c>
      <c r="E747" t="s">
        <v>675</v>
      </c>
      <c r="F747" t="s">
        <v>187</v>
      </c>
      <c r="G747" s="1">
        <v>45833</v>
      </c>
      <c r="H747" s="1">
        <v>45842</v>
      </c>
      <c r="I747" s="2">
        <v>1641</v>
      </c>
      <c r="J747" t="s">
        <v>779</v>
      </c>
      <c r="K747" t="s">
        <v>791</v>
      </c>
      <c r="L747" t="s">
        <v>823</v>
      </c>
      <c r="M747" t="s">
        <v>829</v>
      </c>
      <c r="N747" t="str">
        <f t="shared" si="33"/>
        <v>T-2</v>
      </c>
      <c r="O747">
        <f t="shared" si="34"/>
        <v>2025</v>
      </c>
      <c r="P747" t="str">
        <f t="shared" si="35"/>
        <v>6. junio</v>
      </c>
    </row>
    <row r="748" spans="1:16" x14ac:dyDescent="0.35">
      <c r="A748">
        <v>480855</v>
      </c>
      <c r="B748" t="s">
        <v>25</v>
      </c>
      <c r="C748" t="s">
        <v>138</v>
      </c>
      <c r="D748" t="s">
        <v>271</v>
      </c>
      <c r="E748" t="s">
        <v>675</v>
      </c>
      <c r="F748" t="s">
        <v>187</v>
      </c>
      <c r="G748" s="1">
        <v>45838</v>
      </c>
      <c r="H748" s="1">
        <v>45840</v>
      </c>
      <c r="I748" s="2">
        <v>468</v>
      </c>
      <c r="J748" t="s">
        <v>779</v>
      </c>
      <c r="K748" t="s">
        <v>786</v>
      </c>
      <c r="L748" t="s">
        <v>823</v>
      </c>
      <c r="M748" t="s">
        <v>830</v>
      </c>
      <c r="N748" t="str">
        <f t="shared" si="33"/>
        <v>T-2</v>
      </c>
      <c r="O748">
        <f t="shared" si="34"/>
        <v>2025</v>
      </c>
      <c r="P748" t="str">
        <f t="shared" si="35"/>
        <v>6. junio</v>
      </c>
    </row>
    <row r="749" spans="1:16" x14ac:dyDescent="0.35">
      <c r="A749">
        <v>418409</v>
      </c>
      <c r="B749" t="s">
        <v>30</v>
      </c>
      <c r="C749" t="s">
        <v>138</v>
      </c>
      <c r="D749" t="s">
        <v>427</v>
      </c>
      <c r="E749" t="s">
        <v>675</v>
      </c>
      <c r="F749" t="s">
        <v>187</v>
      </c>
      <c r="G749" s="1">
        <v>45833</v>
      </c>
      <c r="H749" s="1">
        <v>45842</v>
      </c>
      <c r="I749" s="2">
        <v>1664</v>
      </c>
      <c r="J749" t="s">
        <v>779</v>
      </c>
      <c r="K749" t="s">
        <v>783</v>
      </c>
      <c r="L749" t="s">
        <v>824</v>
      </c>
      <c r="M749" t="s">
        <v>830</v>
      </c>
      <c r="N749" t="str">
        <f t="shared" si="33"/>
        <v>T-2</v>
      </c>
      <c r="O749">
        <f t="shared" si="34"/>
        <v>2025</v>
      </c>
      <c r="P749" t="str">
        <f t="shared" si="35"/>
        <v>6. junio</v>
      </c>
    </row>
    <row r="750" spans="1:16" x14ac:dyDescent="0.35">
      <c r="A750">
        <v>400198</v>
      </c>
      <c r="B750" t="s">
        <v>79</v>
      </c>
      <c r="C750" t="s">
        <v>139</v>
      </c>
      <c r="D750" t="s">
        <v>428</v>
      </c>
      <c r="E750" t="s">
        <v>675</v>
      </c>
      <c r="F750" t="s">
        <v>187</v>
      </c>
      <c r="G750" s="1">
        <v>45833</v>
      </c>
      <c r="H750" s="1">
        <v>45838</v>
      </c>
      <c r="I750" s="2">
        <v>1872</v>
      </c>
      <c r="J750" t="s">
        <v>779</v>
      </c>
      <c r="K750" t="s">
        <v>786</v>
      </c>
      <c r="L750" t="s">
        <v>823</v>
      </c>
      <c r="M750" t="s">
        <v>828</v>
      </c>
      <c r="N750" t="str">
        <f t="shared" si="33"/>
        <v>T-2</v>
      </c>
      <c r="O750">
        <f t="shared" si="34"/>
        <v>2025</v>
      </c>
      <c r="P750" t="str">
        <f t="shared" si="35"/>
        <v>6. junio</v>
      </c>
    </row>
    <row r="751" spans="1:16" x14ac:dyDescent="0.35">
      <c r="A751">
        <v>484998</v>
      </c>
      <c r="B751" t="s">
        <v>5</v>
      </c>
      <c r="C751" t="s">
        <v>138</v>
      </c>
      <c r="D751" t="s">
        <v>428</v>
      </c>
      <c r="E751" t="s">
        <v>675</v>
      </c>
      <c r="F751" t="s">
        <v>187</v>
      </c>
      <c r="G751" s="1">
        <v>45833</v>
      </c>
      <c r="H751" s="1">
        <v>45838</v>
      </c>
      <c r="I751" s="2">
        <v>208</v>
      </c>
      <c r="J751" t="s">
        <v>779</v>
      </c>
      <c r="K751" t="s">
        <v>786</v>
      </c>
      <c r="L751" t="s">
        <v>823</v>
      </c>
      <c r="M751" t="s">
        <v>828</v>
      </c>
      <c r="N751" t="str">
        <f t="shared" si="33"/>
        <v>T-2</v>
      </c>
      <c r="O751">
        <f t="shared" si="34"/>
        <v>2025</v>
      </c>
      <c r="P751" t="str">
        <f t="shared" si="35"/>
        <v>6. junio</v>
      </c>
    </row>
    <row r="752" spans="1:16" x14ac:dyDescent="0.35">
      <c r="A752">
        <v>608427</v>
      </c>
      <c r="B752" t="s">
        <v>13</v>
      </c>
      <c r="C752" t="s">
        <v>138</v>
      </c>
      <c r="D752" t="s">
        <v>429</v>
      </c>
      <c r="E752" t="s">
        <v>675</v>
      </c>
      <c r="F752" t="s">
        <v>187</v>
      </c>
      <c r="G752" s="1">
        <v>45834</v>
      </c>
      <c r="H752" s="1">
        <v>45842</v>
      </c>
      <c r="I752" s="2">
        <v>1352</v>
      </c>
      <c r="J752" t="s">
        <v>779</v>
      </c>
      <c r="K752" t="s">
        <v>786</v>
      </c>
      <c r="L752" t="s">
        <v>823</v>
      </c>
      <c r="M752" t="s">
        <v>829</v>
      </c>
      <c r="N752" t="str">
        <f t="shared" si="33"/>
        <v>T-2</v>
      </c>
      <c r="O752">
        <f t="shared" si="34"/>
        <v>2025</v>
      </c>
      <c r="P752" t="str">
        <f t="shared" si="35"/>
        <v>6. junio</v>
      </c>
    </row>
    <row r="753" spans="1:16" x14ac:dyDescent="0.35">
      <c r="A753">
        <v>723950</v>
      </c>
      <c r="B753" t="s">
        <v>37</v>
      </c>
      <c r="C753" t="s">
        <v>138</v>
      </c>
      <c r="D753" t="s">
        <v>429</v>
      </c>
      <c r="E753" t="s">
        <v>675</v>
      </c>
      <c r="F753" t="s">
        <v>187</v>
      </c>
      <c r="G753" s="1">
        <v>45834</v>
      </c>
      <c r="H753" s="1">
        <v>45842</v>
      </c>
      <c r="I753" s="2">
        <v>312</v>
      </c>
      <c r="J753" t="s">
        <v>779</v>
      </c>
      <c r="K753" t="s">
        <v>783</v>
      </c>
      <c r="L753" t="s">
        <v>823</v>
      </c>
      <c r="M753" t="s">
        <v>830</v>
      </c>
      <c r="N753" t="str">
        <f t="shared" si="33"/>
        <v>T-2</v>
      </c>
      <c r="O753">
        <f t="shared" si="34"/>
        <v>2025</v>
      </c>
      <c r="P753" t="str">
        <f t="shared" si="35"/>
        <v>6. junio</v>
      </c>
    </row>
    <row r="754" spans="1:16" x14ac:dyDescent="0.35">
      <c r="A754">
        <v>603997</v>
      </c>
      <c r="B754" t="s">
        <v>13</v>
      </c>
      <c r="C754" t="s">
        <v>138</v>
      </c>
      <c r="D754" t="s">
        <v>428</v>
      </c>
      <c r="E754" t="s">
        <v>675</v>
      </c>
      <c r="F754" t="s">
        <v>187</v>
      </c>
      <c r="G754" s="1">
        <v>45839</v>
      </c>
      <c r="H754" s="1">
        <v>45842</v>
      </c>
      <c r="I754" s="2">
        <v>208</v>
      </c>
      <c r="J754" t="s">
        <v>779</v>
      </c>
      <c r="K754" t="s">
        <v>786</v>
      </c>
      <c r="L754" t="s">
        <v>823</v>
      </c>
      <c r="M754" t="s">
        <v>830</v>
      </c>
      <c r="N754" t="str">
        <f t="shared" si="33"/>
        <v>T-3</v>
      </c>
      <c r="O754">
        <f t="shared" si="34"/>
        <v>2025</v>
      </c>
      <c r="P754" t="str">
        <f t="shared" si="35"/>
        <v>7. julio</v>
      </c>
    </row>
    <row r="755" spans="1:16" x14ac:dyDescent="0.35">
      <c r="A755">
        <v>433569</v>
      </c>
      <c r="B755" t="s">
        <v>55</v>
      </c>
      <c r="C755" t="s">
        <v>141</v>
      </c>
      <c r="D755" t="s">
        <v>428</v>
      </c>
      <c r="E755" t="s">
        <v>675</v>
      </c>
      <c r="F755" t="s">
        <v>187</v>
      </c>
      <c r="G755" s="1">
        <v>45839</v>
      </c>
      <c r="H755" s="1">
        <v>45842</v>
      </c>
      <c r="I755" s="2">
        <v>1803</v>
      </c>
      <c r="J755" t="s">
        <v>779</v>
      </c>
      <c r="K755" t="s">
        <v>786</v>
      </c>
      <c r="L755" t="s">
        <v>823</v>
      </c>
      <c r="M755" t="s">
        <v>828</v>
      </c>
      <c r="N755" t="str">
        <f t="shared" si="33"/>
        <v>T-3</v>
      </c>
      <c r="O755">
        <f t="shared" si="34"/>
        <v>2025</v>
      </c>
      <c r="P755" t="str">
        <f t="shared" si="35"/>
        <v>7. julio</v>
      </c>
    </row>
    <row r="756" spans="1:16" x14ac:dyDescent="0.35">
      <c r="A756">
        <v>467417</v>
      </c>
      <c r="B756" t="s">
        <v>5</v>
      </c>
      <c r="C756" t="s">
        <v>138</v>
      </c>
      <c r="D756" t="s">
        <v>430</v>
      </c>
      <c r="E756" t="s">
        <v>675</v>
      </c>
      <c r="F756" t="s">
        <v>187</v>
      </c>
      <c r="G756" s="1">
        <v>45833</v>
      </c>
      <c r="H756" s="1">
        <v>45840</v>
      </c>
      <c r="I756" s="2">
        <v>1716</v>
      </c>
      <c r="J756" t="s">
        <v>779</v>
      </c>
      <c r="K756" t="s">
        <v>786</v>
      </c>
      <c r="L756" t="s">
        <v>823</v>
      </c>
      <c r="M756" t="s">
        <v>830</v>
      </c>
      <c r="N756" t="str">
        <f t="shared" si="33"/>
        <v>T-2</v>
      </c>
      <c r="O756">
        <f t="shared" si="34"/>
        <v>2025</v>
      </c>
      <c r="P756" t="str">
        <f t="shared" si="35"/>
        <v>6. junio</v>
      </c>
    </row>
    <row r="757" spans="1:16" x14ac:dyDescent="0.35">
      <c r="A757">
        <v>703924</v>
      </c>
      <c r="B757" t="s">
        <v>20</v>
      </c>
      <c r="C757" t="s">
        <v>136</v>
      </c>
      <c r="D757" t="s">
        <v>431</v>
      </c>
      <c r="E757" t="s">
        <v>675</v>
      </c>
      <c r="F757" t="s">
        <v>187</v>
      </c>
      <c r="G757" s="1">
        <v>45833</v>
      </c>
      <c r="H757" s="1">
        <v>45841</v>
      </c>
      <c r="I757" s="2">
        <v>1248</v>
      </c>
      <c r="J757" t="s">
        <v>779</v>
      </c>
      <c r="K757" t="s">
        <v>786</v>
      </c>
      <c r="L757" t="s">
        <v>824</v>
      </c>
      <c r="M757" t="s">
        <v>829</v>
      </c>
      <c r="N757" t="str">
        <f t="shared" si="33"/>
        <v>T-2</v>
      </c>
      <c r="O757">
        <f t="shared" si="34"/>
        <v>2025</v>
      </c>
      <c r="P757" t="str">
        <f t="shared" si="35"/>
        <v>6. junio</v>
      </c>
    </row>
    <row r="758" spans="1:16" x14ac:dyDescent="0.35">
      <c r="A758">
        <v>568152</v>
      </c>
      <c r="B758" t="s">
        <v>5</v>
      </c>
      <c r="C758" t="s">
        <v>138</v>
      </c>
      <c r="D758" t="s">
        <v>431</v>
      </c>
      <c r="E758" t="s">
        <v>675</v>
      </c>
      <c r="F758" t="s">
        <v>187</v>
      </c>
      <c r="G758" s="1">
        <v>45833</v>
      </c>
      <c r="H758" s="1">
        <v>45841</v>
      </c>
      <c r="I758" s="2">
        <v>208</v>
      </c>
      <c r="J758" t="s">
        <v>779</v>
      </c>
      <c r="K758" t="s">
        <v>786</v>
      </c>
      <c r="L758" t="s">
        <v>823</v>
      </c>
      <c r="M758" t="s">
        <v>830</v>
      </c>
      <c r="N758" t="str">
        <f t="shared" si="33"/>
        <v>T-2</v>
      </c>
      <c r="O758">
        <f t="shared" si="34"/>
        <v>2025</v>
      </c>
      <c r="P758" t="str">
        <f t="shared" si="35"/>
        <v>6. junio</v>
      </c>
    </row>
    <row r="759" spans="1:16" x14ac:dyDescent="0.35">
      <c r="A759">
        <v>752090</v>
      </c>
      <c r="B759" t="s">
        <v>31</v>
      </c>
      <c r="C759" t="s">
        <v>137</v>
      </c>
      <c r="D759" t="s">
        <v>232</v>
      </c>
      <c r="E759" t="s">
        <v>675</v>
      </c>
      <c r="F759" t="s">
        <v>187</v>
      </c>
      <c r="G759" s="1">
        <v>45845</v>
      </c>
      <c r="H759" s="1">
        <v>45846</v>
      </c>
      <c r="I759" s="2">
        <v>832</v>
      </c>
      <c r="J759" t="s">
        <v>779</v>
      </c>
      <c r="K759" t="s">
        <v>786</v>
      </c>
      <c r="L759" t="s">
        <v>823</v>
      </c>
      <c r="M759" t="s">
        <v>830</v>
      </c>
      <c r="N759" t="str">
        <f t="shared" si="33"/>
        <v>T-3</v>
      </c>
      <c r="O759">
        <f t="shared" si="34"/>
        <v>2025</v>
      </c>
      <c r="P759" t="str">
        <f t="shared" si="35"/>
        <v>7. julio</v>
      </c>
    </row>
    <row r="760" spans="1:16" x14ac:dyDescent="0.35">
      <c r="A760">
        <v>409832</v>
      </c>
      <c r="B760" t="s">
        <v>98</v>
      </c>
      <c r="C760" t="s">
        <v>140</v>
      </c>
      <c r="D760" t="s">
        <v>232</v>
      </c>
      <c r="E760" t="s">
        <v>675</v>
      </c>
      <c r="F760" t="s">
        <v>187</v>
      </c>
      <c r="G760" s="1">
        <v>45845</v>
      </c>
      <c r="H760" s="1">
        <v>45846</v>
      </c>
      <c r="I760" s="2">
        <v>208</v>
      </c>
      <c r="J760" t="s">
        <v>779</v>
      </c>
      <c r="K760" t="s">
        <v>786</v>
      </c>
      <c r="L760" t="s">
        <v>823</v>
      </c>
      <c r="M760" t="s">
        <v>828</v>
      </c>
      <c r="N760" t="str">
        <f t="shared" si="33"/>
        <v>T-3</v>
      </c>
      <c r="O760">
        <f t="shared" si="34"/>
        <v>2025</v>
      </c>
      <c r="P760" t="str">
        <f t="shared" si="35"/>
        <v>7. julio</v>
      </c>
    </row>
    <row r="761" spans="1:16" x14ac:dyDescent="0.35">
      <c r="A761">
        <v>719981</v>
      </c>
      <c r="B761" t="s">
        <v>30</v>
      </c>
      <c r="C761" t="s">
        <v>137</v>
      </c>
      <c r="D761" t="s">
        <v>333</v>
      </c>
      <c r="E761" t="s">
        <v>665</v>
      </c>
      <c r="F761" t="s">
        <v>187</v>
      </c>
      <c r="G761" s="1">
        <v>45762</v>
      </c>
      <c r="H761" s="1">
        <v>45762</v>
      </c>
      <c r="I761" s="2">
        <v>870</v>
      </c>
      <c r="J761" t="s">
        <v>777</v>
      </c>
      <c r="K761" t="s">
        <v>786</v>
      </c>
      <c r="L761" t="s">
        <v>823</v>
      </c>
      <c r="M761" t="s">
        <v>828</v>
      </c>
      <c r="N761" t="str">
        <f t="shared" si="33"/>
        <v>T-2</v>
      </c>
      <c r="O761">
        <f t="shared" si="34"/>
        <v>2025</v>
      </c>
      <c r="P761" t="str">
        <f t="shared" si="35"/>
        <v>4. abril</v>
      </c>
    </row>
    <row r="762" spans="1:16" x14ac:dyDescent="0.35">
      <c r="A762">
        <v>713748</v>
      </c>
      <c r="B762" t="s">
        <v>25</v>
      </c>
      <c r="C762" t="s">
        <v>139</v>
      </c>
      <c r="D762" t="s">
        <v>374</v>
      </c>
      <c r="E762" t="s">
        <v>674</v>
      </c>
      <c r="F762" t="s">
        <v>187</v>
      </c>
      <c r="G762" s="1">
        <v>45819</v>
      </c>
      <c r="H762" s="1">
        <v>45819</v>
      </c>
      <c r="I762" s="2">
        <v>1450</v>
      </c>
      <c r="J762" t="s">
        <v>777</v>
      </c>
      <c r="K762" t="s">
        <v>786</v>
      </c>
      <c r="L762" t="s">
        <v>823</v>
      </c>
      <c r="M762" t="s">
        <v>830</v>
      </c>
      <c r="N762" t="str">
        <f t="shared" si="33"/>
        <v>T-2</v>
      </c>
      <c r="O762">
        <f t="shared" si="34"/>
        <v>2025</v>
      </c>
      <c r="P762" t="str">
        <f t="shared" si="35"/>
        <v>6. junio</v>
      </c>
    </row>
    <row r="763" spans="1:16" x14ac:dyDescent="0.35">
      <c r="A763">
        <v>717720</v>
      </c>
      <c r="B763" t="s">
        <v>29</v>
      </c>
      <c r="C763" t="s">
        <v>136</v>
      </c>
      <c r="D763" t="s">
        <v>309</v>
      </c>
      <c r="E763" t="s">
        <v>682</v>
      </c>
      <c r="F763" t="s">
        <v>187</v>
      </c>
      <c r="G763" s="1">
        <v>45827</v>
      </c>
      <c r="H763" s="1">
        <v>45827</v>
      </c>
      <c r="I763" s="2">
        <v>1080</v>
      </c>
      <c r="J763" t="s">
        <v>777</v>
      </c>
      <c r="K763" t="s">
        <v>786</v>
      </c>
      <c r="L763" t="s">
        <v>824</v>
      </c>
      <c r="M763" t="s">
        <v>829</v>
      </c>
      <c r="N763" t="str">
        <f t="shared" si="33"/>
        <v>T-2</v>
      </c>
      <c r="O763">
        <f t="shared" si="34"/>
        <v>2025</v>
      </c>
      <c r="P763" t="str">
        <f t="shared" si="35"/>
        <v>6. junio</v>
      </c>
    </row>
    <row r="764" spans="1:16" x14ac:dyDescent="0.35">
      <c r="A764">
        <v>411336</v>
      </c>
      <c r="B764" t="s">
        <v>11</v>
      </c>
      <c r="C764" t="s">
        <v>141</v>
      </c>
      <c r="D764" t="s">
        <v>293</v>
      </c>
      <c r="E764" t="s">
        <v>675</v>
      </c>
      <c r="F764" t="s">
        <v>187</v>
      </c>
      <c r="G764" s="1">
        <v>45841</v>
      </c>
      <c r="H764" s="1">
        <v>45846</v>
      </c>
      <c r="I764" s="2">
        <v>1248</v>
      </c>
      <c r="J764" t="s">
        <v>779</v>
      </c>
      <c r="K764" t="s">
        <v>786</v>
      </c>
      <c r="L764" t="s">
        <v>823</v>
      </c>
      <c r="M764" t="s">
        <v>830</v>
      </c>
      <c r="N764" t="str">
        <f t="shared" si="33"/>
        <v>T-3</v>
      </c>
      <c r="O764">
        <f t="shared" si="34"/>
        <v>2025</v>
      </c>
      <c r="P764" t="str">
        <f t="shared" si="35"/>
        <v>7. julio</v>
      </c>
    </row>
    <row r="765" spans="1:16" x14ac:dyDescent="0.35">
      <c r="A765">
        <v>467162</v>
      </c>
      <c r="B765" t="s">
        <v>30</v>
      </c>
      <c r="C765" t="s">
        <v>138</v>
      </c>
      <c r="D765" t="s">
        <v>432</v>
      </c>
      <c r="E765" t="s">
        <v>682</v>
      </c>
      <c r="F765" t="s">
        <v>187</v>
      </c>
      <c r="G765" s="1">
        <v>45839</v>
      </c>
      <c r="H765" s="1">
        <v>45839</v>
      </c>
      <c r="I765" s="2">
        <v>2280</v>
      </c>
      <c r="J765" t="s">
        <v>777</v>
      </c>
      <c r="K765" t="s">
        <v>797</v>
      </c>
      <c r="L765" t="s">
        <v>823</v>
      </c>
      <c r="M765" t="s">
        <v>830</v>
      </c>
      <c r="N765" t="str">
        <f t="shared" si="33"/>
        <v>T-3</v>
      </c>
      <c r="O765">
        <f t="shared" si="34"/>
        <v>2025</v>
      </c>
      <c r="P765" t="str">
        <f t="shared" si="35"/>
        <v>7. julio</v>
      </c>
    </row>
    <row r="766" spans="1:16" x14ac:dyDescent="0.35">
      <c r="A766">
        <v>703150</v>
      </c>
      <c r="B766" t="s">
        <v>59</v>
      </c>
      <c r="C766" t="s">
        <v>138</v>
      </c>
      <c r="D766" t="s">
        <v>433</v>
      </c>
      <c r="E766" t="s">
        <v>682</v>
      </c>
      <c r="F766" t="s">
        <v>187</v>
      </c>
      <c r="G766" s="1">
        <v>45840</v>
      </c>
      <c r="H766" s="1">
        <v>45840</v>
      </c>
      <c r="I766" s="2">
        <v>2000</v>
      </c>
      <c r="J766" t="s">
        <v>777</v>
      </c>
      <c r="K766" t="s">
        <v>786</v>
      </c>
      <c r="L766" t="s">
        <v>823</v>
      </c>
      <c r="M766" t="s">
        <v>828</v>
      </c>
      <c r="N766" t="str">
        <f t="shared" si="33"/>
        <v>T-3</v>
      </c>
      <c r="O766">
        <f t="shared" si="34"/>
        <v>2025</v>
      </c>
      <c r="P766" t="str">
        <f t="shared" si="35"/>
        <v>7. julio</v>
      </c>
    </row>
    <row r="767" spans="1:16" x14ac:dyDescent="0.35">
      <c r="A767">
        <v>361695</v>
      </c>
      <c r="B767" t="s">
        <v>45</v>
      </c>
      <c r="C767" t="s">
        <v>138</v>
      </c>
      <c r="D767" t="s">
        <v>307</v>
      </c>
      <c r="E767" t="s">
        <v>669</v>
      </c>
      <c r="F767" t="s">
        <v>187</v>
      </c>
      <c r="G767" s="1">
        <v>45824</v>
      </c>
      <c r="H767" s="1">
        <v>45824</v>
      </c>
      <c r="I767" s="2">
        <v>675</v>
      </c>
      <c r="J767" t="s">
        <v>777</v>
      </c>
      <c r="K767" t="s">
        <v>786</v>
      </c>
      <c r="L767" t="s">
        <v>823</v>
      </c>
      <c r="M767" t="s">
        <v>828</v>
      </c>
      <c r="N767" t="str">
        <f t="shared" si="33"/>
        <v>T-2</v>
      </c>
      <c r="O767">
        <f t="shared" si="34"/>
        <v>2025</v>
      </c>
      <c r="P767" t="str">
        <f t="shared" si="35"/>
        <v>6. junio</v>
      </c>
    </row>
    <row r="768" spans="1:16" x14ac:dyDescent="0.35">
      <c r="A768">
        <v>428784</v>
      </c>
      <c r="B768" t="s">
        <v>5</v>
      </c>
      <c r="C768" t="s">
        <v>138</v>
      </c>
      <c r="D768" t="s">
        <v>195</v>
      </c>
      <c r="E768" t="s">
        <v>654</v>
      </c>
      <c r="F768" t="s">
        <v>187</v>
      </c>
      <c r="G768" s="1">
        <v>45817</v>
      </c>
      <c r="H768" s="1">
        <v>45817</v>
      </c>
      <c r="I768" s="2">
        <v>1190</v>
      </c>
      <c r="J768" t="s">
        <v>777</v>
      </c>
      <c r="K768" t="s">
        <v>797</v>
      </c>
      <c r="L768" t="s">
        <v>823</v>
      </c>
      <c r="M768" t="s">
        <v>829</v>
      </c>
      <c r="N768" t="str">
        <f t="shared" si="33"/>
        <v>T-2</v>
      </c>
      <c r="O768">
        <f t="shared" si="34"/>
        <v>2025</v>
      </c>
      <c r="P768" t="str">
        <f t="shared" si="35"/>
        <v>6. junio</v>
      </c>
    </row>
    <row r="769" spans="1:16" x14ac:dyDescent="0.35">
      <c r="A769">
        <v>717258</v>
      </c>
      <c r="B769" t="s">
        <v>28</v>
      </c>
      <c r="C769" t="s">
        <v>138</v>
      </c>
      <c r="D769" t="s">
        <v>195</v>
      </c>
      <c r="E769" t="s">
        <v>654</v>
      </c>
      <c r="F769" t="s">
        <v>187</v>
      </c>
      <c r="G769" s="1">
        <v>45831</v>
      </c>
      <c r="H769" s="1">
        <v>45831</v>
      </c>
      <c r="I769" s="2">
        <v>418</v>
      </c>
      <c r="J769" t="s">
        <v>777</v>
      </c>
      <c r="K769" t="s">
        <v>810</v>
      </c>
      <c r="L769" t="s">
        <v>823</v>
      </c>
      <c r="M769" t="s">
        <v>830</v>
      </c>
      <c r="N769" t="str">
        <f t="shared" si="33"/>
        <v>T-2</v>
      </c>
      <c r="O769">
        <f t="shared" si="34"/>
        <v>2025</v>
      </c>
      <c r="P769" t="str">
        <f t="shared" si="35"/>
        <v>6. junio</v>
      </c>
    </row>
    <row r="770" spans="1:16" x14ac:dyDescent="0.35">
      <c r="A770">
        <v>714190</v>
      </c>
      <c r="B770" t="s">
        <v>4</v>
      </c>
      <c r="C770" t="s">
        <v>136</v>
      </c>
      <c r="D770" t="s">
        <v>160</v>
      </c>
      <c r="E770" t="s">
        <v>654</v>
      </c>
      <c r="F770" t="s">
        <v>187</v>
      </c>
      <c r="G770" s="1">
        <v>45833</v>
      </c>
      <c r="H770" s="1">
        <v>45833</v>
      </c>
      <c r="I770" s="2">
        <v>308</v>
      </c>
      <c r="J770" t="s">
        <v>777</v>
      </c>
      <c r="K770" t="s">
        <v>786</v>
      </c>
      <c r="L770" t="s">
        <v>824</v>
      </c>
      <c r="M770" t="s">
        <v>830</v>
      </c>
      <c r="N770" t="str">
        <f t="shared" si="33"/>
        <v>T-2</v>
      </c>
      <c r="O770">
        <f t="shared" si="34"/>
        <v>2025</v>
      </c>
      <c r="P770" t="str">
        <f t="shared" si="35"/>
        <v>6. junio</v>
      </c>
    </row>
    <row r="771" spans="1:16" x14ac:dyDescent="0.35">
      <c r="A771">
        <v>722070</v>
      </c>
      <c r="B771" t="s">
        <v>24</v>
      </c>
      <c r="C771" t="s">
        <v>138</v>
      </c>
      <c r="D771" t="s">
        <v>169</v>
      </c>
      <c r="E771" t="s">
        <v>658</v>
      </c>
      <c r="F771" t="s">
        <v>187</v>
      </c>
      <c r="G771" s="1">
        <v>45831</v>
      </c>
      <c r="H771" s="1">
        <v>45834</v>
      </c>
      <c r="I771" s="2">
        <v>312</v>
      </c>
      <c r="J771" t="s">
        <v>774</v>
      </c>
      <c r="K771" t="s">
        <v>783</v>
      </c>
      <c r="L771" t="s">
        <v>823</v>
      </c>
      <c r="M771" t="s">
        <v>828</v>
      </c>
      <c r="N771" t="str">
        <f t="shared" ref="N771:N834" si="36">"T-" &amp; ROUNDUP((MONTH(G771)/3), 0)</f>
        <v>T-2</v>
      </c>
      <c r="O771">
        <f t="shared" ref="O771:O834" si="37">YEAR(G771)</f>
        <v>2025</v>
      </c>
      <c r="P771" t="str">
        <f t="shared" ref="P771:P834" si="38">MONTH(G771) &amp; ". " &amp; TEXT(G771, "MMMM")</f>
        <v>6. junio</v>
      </c>
    </row>
    <row r="772" spans="1:16" x14ac:dyDescent="0.35">
      <c r="A772">
        <v>560606</v>
      </c>
      <c r="B772" t="s">
        <v>5</v>
      </c>
      <c r="C772" t="s">
        <v>138</v>
      </c>
      <c r="D772" t="s">
        <v>434</v>
      </c>
      <c r="E772" t="s">
        <v>694</v>
      </c>
      <c r="F772" t="s">
        <v>187</v>
      </c>
      <c r="G772" s="1">
        <v>45761</v>
      </c>
      <c r="H772" s="1">
        <v>45849</v>
      </c>
      <c r="I772" s="2">
        <v>600</v>
      </c>
      <c r="J772" t="s">
        <v>778</v>
      </c>
      <c r="K772" t="s">
        <v>783</v>
      </c>
      <c r="L772" t="s">
        <v>823</v>
      </c>
      <c r="M772" t="s">
        <v>830</v>
      </c>
      <c r="N772" t="str">
        <f t="shared" si="36"/>
        <v>T-2</v>
      </c>
      <c r="O772">
        <f t="shared" si="37"/>
        <v>2025</v>
      </c>
      <c r="P772" t="str">
        <f t="shared" si="38"/>
        <v>4. abril</v>
      </c>
    </row>
    <row r="773" spans="1:16" x14ac:dyDescent="0.35">
      <c r="A773">
        <v>714398</v>
      </c>
      <c r="B773" t="s">
        <v>8</v>
      </c>
      <c r="C773" t="s">
        <v>141</v>
      </c>
      <c r="D773" t="s">
        <v>435</v>
      </c>
      <c r="E773" t="s">
        <v>737</v>
      </c>
      <c r="F773" t="s">
        <v>187</v>
      </c>
      <c r="G773" s="1">
        <v>45845</v>
      </c>
      <c r="H773" s="1">
        <v>45848</v>
      </c>
      <c r="I773" s="2">
        <v>832</v>
      </c>
      <c r="J773" t="s">
        <v>776</v>
      </c>
      <c r="K773" t="s">
        <v>785</v>
      </c>
      <c r="L773" t="s">
        <v>823</v>
      </c>
      <c r="M773" t="s">
        <v>829</v>
      </c>
      <c r="N773" t="str">
        <f t="shared" si="36"/>
        <v>T-3</v>
      </c>
      <c r="O773">
        <f t="shared" si="37"/>
        <v>2025</v>
      </c>
      <c r="P773" t="str">
        <f t="shared" si="38"/>
        <v>7. julio</v>
      </c>
    </row>
    <row r="774" spans="1:16" x14ac:dyDescent="0.35">
      <c r="A774">
        <v>482840</v>
      </c>
      <c r="B774" t="s">
        <v>25</v>
      </c>
      <c r="C774" t="s">
        <v>138</v>
      </c>
      <c r="D774" t="s">
        <v>436</v>
      </c>
      <c r="E774" t="s">
        <v>737</v>
      </c>
      <c r="F774" t="s">
        <v>187</v>
      </c>
      <c r="G774" s="1">
        <v>45845</v>
      </c>
      <c r="H774" s="1">
        <v>45849</v>
      </c>
      <c r="I774" s="2">
        <v>975</v>
      </c>
      <c r="J774" t="s">
        <v>776</v>
      </c>
      <c r="K774" t="s">
        <v>788</v>
      </c>
      <c r="L774" t="s">
        <v>823</v>
      </c>
      <c r="M774" t="s">
        <v>830</v>
      </c>
      <c r="N774" t="str">
        <f t="shared" si="36"/>
        <v>T-3</v>
      </c>
      <c r="O774">
        <f t="shared" si="37"/>
        <v>2025</v>
      </c>
      <c r="P774" t="str">
        <f t="shared" si="38"/>
        <v>7. julio</v>
      </c>
    </row>
    <row r="775" spans="1:16" x14ac:dyDescent="0.35">
      <c r="A775">
        <v>722671</v>
      </c>
      <c r="B775" t="s">
        <v>30</v>
      </c>
      <c r="C775" t="s">
        <v>138</v>
      </c>
      <c r="D775" t="s">
        <v>154</v>
      </c>
      <c r="E775" t="s">
        <v>737</v>
      </c>
      <c r="F775" t="s">
        <v>187</v>
      </c>
      <c r="G775" s="1">
        <v>45845</v>
      </c>
      <c r="H775" s="1">
        <v>45849</v>
      </c>
      <c r="I775" s="2">
        <v>1497</v>
      </c>
      <c r="J775" t="s">
        <v>776</v>
      </c>
      <c r="K775" t="s">
        <v>785</v>
      </c>
      <c r="L775" t="s">
        <v>823</v>
      </c>
      <c r="M775" t="s">
        <v>830</v>
      </c>
      <c r="N775" t="str">
        <f t="shared" si="36"/>
        <v>T-3</v>
      </c>
      <c r="O775">
        <f t="shared" si="37"/>
        <v>2025</v>
      </c>
      <c r="P775" t="str">
        <f t="shared" si="38"/>
        <v>7. julio</v>
      </c>
    </row>
    <row r="776" spans="1:16" x14ac:dyDescent="0.35">
      <c r="A776">
        <v>360042</v>
      </c>
      <c r="B776" t="s">
        <v>72</v>
      </c>
      <c r="C776" t="s">
        <v>138</v>
      </c>
      <c r="D776" t="s">
        <v>154</v>
      </c>
      <c r="E776" t="s">
        <v>737</v>
      </c>
      <c r="F776" t="s">
        <v>187</v>
      </c>
      <c r="G776" s="1">
        <v>45845</v>
      </c>
      <c r="H776" s="1">
        <v>45849</v>
      </c>
      <c r="I776" s="2">
        <v>1950</v>
      </c>
      <c r="J776" t="s">
        <v>776</v>
      </c>
      <c r="K776" t="s">
        <v>783</v>
      </c>
      <c r="L776" t="s">
        <v>823</v>
      </c>
      <c r="M776" t="s">
        <v>828</v>
      </c>
      <c r="N776" t="str">
        <f t="shared" si="36"/>
        <v>T-3</v>
      </c>
      <c r="O776">
        <f t="shared" si="37"/>
        <v>2025</v>
      </c>
      <c r="P776" t="str">
        <f t="shared" si="38"/>
        <v>7. julio</v>
      </c>
    </row>
    <row r="777" spans="1:16" x14ac:dyDescent="0.35">
      <c r="A777">
        <v>401104</v>
      </c>
      <c r="B777" t="s">
        <v>99</v>
      </c>
      <c r="C777" t="s">
        <v>140</v>
      </c>
      <c r="D777" t="s">
        <v>164</v>
      </c>
      <c r="E777" t="s">
        <v>675</v>
      </c>
      <c r="F777" t="s">
        <v>187</v>
      </c>
      <c r="G777" s="1">
        <v>45840</v>
      </c>
      <c r="H777" s="1">
        <v>45846</v>
      </c>
      <c r="I777" s="2">
        <v>1664</v>
      </c>
      <c r="J777" t="s">
        <v>779</v>
      </c>
      <c r="K777" t="s">
        <v>787</v>
      </c>
      <c r="L777" t="s">
        <v>823</v>
      </c>
      <c r="M777" t="s">
        <v>828</v>
      </c>
      <c r="N777" t="str">
        <f t="shared" si="36"/>
        <v>T-3</v>
      </c>
      <c r="O777">
        <f t="shared" si="37"/>
        <v>2025</v>
      </c>
      <c r="P777" t="str">
        <f t="shared" si="38"/>
        <v>7. julio</v>
      </c>
    </row>
    <row r="778" spans="1:16" x14ac:dyDescent="0.35">
      <c r="A778">
        <v>432138</v>
      </c>
      <c r="B778" t="s">
        <v>32</v>
      </c>
      <c r="C778" t="s">
        <v>138</v>
      </c>
      <c r="D778" t="s">
        <v>164</v>
      </c>
      <c r="E778" t="s">
        <v>675</v>
      </c>
      <c r="F778" t="s">
        <v>187</v>
      </c>
      <c r="G778" s="1">
        <v>45840</v>
      </c>
      <c r="H778" s="1">
        <v>45846</v>
      </c>
      <c r="I778" s="2">
        <v>416</v>
      </c>
      <c r="J778" t="s">
        <v>779</v>
      </c>
      <c r="K778" t="s">
        <v>783</v>
      </c>
      <c r="L778" t="s">
        <v>824</v>
      </c>
      <c r="M778" t="s">
        <v>830</v>
      </c>
      <c r="N778" t="str">
        <f t="shared" si="36"/>
        <v>T-3</v>
      </c>
      <c r="O778">
        <f t="shared" si="37"/>
        <v>2025</v>
      </c>
      <c r="P778" t="str">
        <f t="shared" si="38"/>
        <v>7. julio</v>
      </c>
    </row>
    <row r="779" spans="1:16" x14ac:dyDescent="0.35">
      <c r="A779">
        <v>715919</v>
      </c>
      <c r="B779" t="s">
        <v>100</v>
      </c>
      <c r="C779" t="s">
        <v>137</v>
      </c>
      <c r="D779" t="s">
        <v>437</v>
      </c>
      <c r="E779" t="s">
        <v>702</v>
      </c>
      <c r="F779" t="s">
        <v>773</v>
      </c>
      <c r="G779" s="1">
        <v>45929</v>
      </c>
      <c r="H779" s="1">
        <v>45932</v>
      </c>
      <c r="I779" s="2">
        <v>1400</v>
      </c>
      <c r="J779" t="s">
        <v>774</v>
      </c>
      <c r="K779" t="s">
        <v>783</v>
      </c>
      <c r="L779" t="s">
        <v>823</v>
      </c>
      <c r="M779" t="s">
        <v>829</v>
      </c>
      <c r="N779" t="str">
        <f t="shared" si="36"/>
        <v>T-3</v>
      </c>
      <c r="O779">
        <f t="shared" si="37"/>
        <v>2025</v>
      </c>
      <c r="P779" t="str">
        <f t="shared" si="38"/>
        <v>9. septiembre</v>
      </c>
    </row>
    <row r="780" spans="1:16" x14ac:dyDescent="0.35">
      <c r="A780">
        <v>707959</v>
      </c>
      <c r="B780" t="s">
        <v>30</v>
      </c>
      <c r="C780" t="s">
        <v>138</v>
      </c>
      <c r="D780" t="s">
        <v>438</v>
      </c>
      <c r="E780" t="s">
        <v>668</v>
      </c>
      <c r="F780" t="s">
        <v>773</v>
      </c>
      <c r="G780" s="1">
        <v>46006</v>
      </c>
      <c r="H780" s="1">
        <v>46006</v>
      </c>
      <c r="I780" s="2">
        <v>1111.74</v>
      </c>
      <c r="J780" t="s">
        <v>774</v>
      </c>
      <c r="K780" t="s">
        <v>783</v>
      </c>
      <c r="L780" t="s">
        <v>823</v>
      </c>
      <c r="M780" t="s">
        <v>830</v>
      </c>
      <c r="N780" t="str">
        <f t="shared" si="36"/>
        <v>T-4</v>
      </c>
      <c r="O780">
        <f t="shared" si="37"/>
        <v>2025</v>
      </c>
      <c r="P780" t="str">
        <f t="shared" si="38"/>
        <v>12. diciembre</v>
      </c>
    </row>
    <row r="781" spans="1:16" x14ac:dyDescent="0.35">
      <c r="A781">
        <v>608688</v>
      </c>
      <c r="B781" t="s">
        <v>13</v>
      </c>
      <c r="C781" t="s">
        <v>136</v>
      </c>
      <c r="D781" t="s">
        <v>439</v>
      </c>
      <c r="E781" t="s">
        <v>739</v>
      </c>
      <c r="F781" t="s">
        <v>187</v>
      </c>
      <c r="G781" s="1">
        <v>45916</v>
      </c>
      <c r="H781" s="1">
        <v>45917</v>
      </c>
      <c r="I781" s="2">
        <v>485</v>
      </c>
      <c r="J781" t="s">
        <v>778</v>
      </c>
      <c r="K781" t="s">
        <v>783</v>
      </c>
      <c r="L781" t="s">
        <v>823</v>
      </c>
      <c r="M781" t="s">
        <v>830</v>
      </c>
      <c r="N781" t="str">
        <f t="shared" si="36"/>
        <v>T-3</v>
      </c>
      <c r="O781">
        <f t="shared" si="37"/>
        <v>2025</v>
      </c>
      <c r="P781" t="str">
        <f t="shared" si="38"/>
        <v>9. septiembre</v>
      </c>
    </row>
    <row r="782" spans="1:16" x14ac:dyDescent="0.35">
      <c r="A782">
        <v>362344</v>
      </c>
      <c r="B782" t="s">
        <v>5</v>
      </c>
      <c r="C782" t="s">
        <v>139</v>
      </c>
      <c r="D782" t="s">
        <v>440</v>
      </c>
      <c r="E782" t="s">
        <v>739</v>
      </c>
      <c r="F782" t="s">
        <v>187</v>
      </c>
      <c r="G782" s="1">
        <v>45943</v>
      </c>
      <c r="H782" s="1">
        <v>45950</v>
      </c>
      <c r="I782" s="2">
        <v>1465</v>
      </c>
      <c r="J782" t="s">
        <v>778</v>
      </c>
      <c r="K782" t="s">
        <v>789</v>
      </c>
      <c r="L782" t="s">
        <v>823</v>
      </c>
      <c r="M782" t="s">
        <v>828</v>
      </c>
      <c r="N782" t="str">
        <f t="shared" si="36"/>
        <v>T-4</v>
      </c>
      <c r="O782">
        <f t="shared" si="37"/>
        <v>2025</v>
      </c>
      <c r="P782" t="str">
        <f t="shared" si="38"/>
        <v>10. octubre</v>
      </c>
    </row>
    <row r="783" spans="1:16" x14ac:dyDescent="0.35">
      <c r="A783">
        <v>723967</v>
      </c>
      <c r="B783" t="s">
        <v>51</v>
      </c>
      <c r="C783" t="s">
        <v>138</v>
      </c>
      <c r="D783" t="s">
        <v>428</v>
      </c>
      <c r="E783" t="s">
        <v>675</v>
      </c>
      <c r="F783" t="s">
        <v>187</v>
      </c>
      <c r="G783" s="1">
        <v>45839</v>
      </c>
      <c r="H783" s="1">
        <v>45842</v>
      </c>
      <c r="I783" s="2">
        <v>1525.34</v>
      </c>
      <c r="J783" t="s">
        <v>779</v>
      </c>
      <c r="K783" t="s">
        <v>785</v>
      </c>
      <c r="L783" t="s">
        <v>823</v>
      </c>
      <c r="M783" t="s">
        <v>828</v>
      </c>
      <c r="N783" t="str">
        <f t="shared" si="36"/>
        <v>T-3</v>
      </c>
      <c r="O783">
        <f t="shared" si="37"/>
        <v>2025</v>
      </c>
      <c r="P783" t="str">
        <f t="shared" si="38"/>
        <v>7. julio</v>
      </c>
    </row>
    <row r="784" spans="1:16" x14ac:dyDescent="0.35">
      <c r="A784">
        <v>568092</v>
      </c>
      <c r="B784" t="s">
        <v>5</v>
      </c>
      <c r="C784" t="s">
        <v>138</v>
      </c>
      <c r="D784" t="s">
        <v>428</v>
      </c>
      <c r="E784" t="s">
        <v>675</v>
      </c>
      <c r="F784" t="s">
        <v>187</v>
      </c>
      <c r="G784" s="1">
        <v>45839</v>
      </c>
      <c r="H784" s="1">
        <v>45842</v>
      </c>
      <c r="I784" s="2">
        <v>208</v>
      </c>
      <c r="J784" t="s">
        <v>779</v>
      </c>
      <c r="K784" t="s">
        <v>783</v>
      </c>
      <c r="L784" t="s">
        <v>824</v>
      </c>
      <c r="M784" t="s">
        <v>829</v>
      </c>
      <c r="N784" t="str">
        <f t="shared" si="36"/>
        <v>T-3</v>
      </c>
      <c r="O784">
        <f t="shared" si="37"/>
        <v>2025</v>
      </c>
      <c r="P784" t="str">
        <f t="shared" si="38"/>
        <v>7. julio</v>
      </c>
    </row>
    <row r="785" spans="1:16" x14ac:dyDescent="0.35">
      <c r="A785">
        <v>713397</v>
      </c>
      <c r="B785" t="s">
        <v>33</v>
      </c>
      <c r="C785" t="s">
        <v>137</v>
      </c>
      <c r="D785" t="s">
        <v>441</v>
      </c>
      <c r="E785" t="s">
        <v>703</v>
      </c>
      <c r="F785" t="s">
        <v>187</v>
      </c>
      <c r="G785" s="1">
        <v>45845</v>
      </c>
      <c r="H785" s="1">
        <v>45849</v>
      </c>
      <c r="I785" s="2">
        <v>2730</v>
      </c>
      <c r="J785" t="s">
        <v>776</v>
      </c>
      <c r="K785" t="s">
        <v>785</v>
      </c>
      <c r="L785" t="s">
        <v>823</v>
      </c>
      <c r="M785" t="s">
        <v>830</v>
      </c>
      <c r="N785" t="str">
        <f t="shared" si="36"/>
        <v>T-3</v>
      </c>
      <c r="O785">
        <f t="shared" si="37"/>
        <v>2025</v>
      </c>
      <c r="P785" t="str">
        <f t="shared" si="38"/>
        <v>7. julio</v>
      </c>
    </row>
    <row r="786" spans="1:16" x14ac:dyDescent="0.35">
      <c r="A786">
        <v>610486</v>
      </c>
      <c r="B786" t="s">
        <v>13</v>
      </c>
      <c r="C786" t="s">
        <v>136</v>
      </c>
      <c r="D786" t="s">
        <v>441</v>
      </c>
      <c r="E786" t="s">
        <v>703</v>
      </c>
      <c r="F786" t="s">
        <v>187</v>
      </c>
      <c r="G786" s="1">
        <v>45845</v>
      </c>
      <c r="H786" s="1">
        <v>45849</v>
      </c>
      <c r="I786" s="2">
        <v>910</v>
      </c>
      <c r="J786" t="s">
        <v>776</v>
      </c>
      <c r="K786" t="s">
        <v>783</v>
      </c>
      <c r="L786" t="s">
        <v>823</v>
      </c>
      <c r="M786" t="s">
        <v>830</v>
      </c>
      <c r="N786" t="str">
        <f t="shared" si="36"/>
        <v>T-3</v>
      </c>
      <c r="O786">
        <f t="shared" si="37"/>
        <v>2025</v>
      </c>
      <c r="P786" t="str">
        <f t="shared" si="38"/>
        <v>7. julio</v>
      </c>
    </row>
    <row r="787" spans="1:16" x14ac:dyDescent="0.35">
      <c r="A787">
        <v>703153</v>
      </c>
      <c r="B787" t="s">
        <v>23</v>
      </c>
      <c r="C787" t="s">
        <v>138</v>
      </c>
      <c r="D787" t="s">
        <v>441</v>
      </c>
      <c r="E787" t="s">
        <v>703</v>
      </c>
      <c r="F787" t="s">
        <v>187</v>
      </c>
      <c r="G787" s="1">
        <v>45845</v>
      </c>
      <c r="H787" s="1">
        <v>45849</v>
      </c>
      <c r="I787" s="2">
        <v>2730</v>
      </c>
      <c r="J787" t="s">
        <v>776</v>
      </c>
      <c r="K787" t="s">
        <v>799</v>
      </c>
      <c r="L787" t="s">
        <v>823</v>
      </c>
      <c r="M787" t="s">
        <v>828</v>
      </c>
      <c r="N787" t="str">
        <f t="shared" si="36"/>
        <v>T-3</v>
      </c>
      <c r="O787">
        <f t="shared" si="37"/>
        <v>2025</v>
      </c>
      <c r="P787" t="str">
        <f t="shared" si="38"/>
        <v>7. julio</v>
      </c>
    </row>
    <row r="788" spans="1:16" x14ac:dyDescent="0.35">
      <c r="A788">
        <v>476423</v>
      </c>
      <c r="B788" t="s">
        <v>25</v>
      </c>
      <c r="C788" t="s">
        <v>138</v>
      </c>
      <c r="D788" t="s">
        <v>442</v>
      </c>
      <c r="E788" t="s">
        <v>675</v>
      </c>
      <c r="F788" t="s">
        <v>187</v>
      </c>
      <c r="G788" s="1">
        <v>45839</v>
      </c>
      <c r="H788" s="1">
        <v>45847</v>
      </c>
      <c r="I788" s="2">
        <v>208</v>
      </c>
      <c r="J788" t="s">
        <v>779</v>
      </c>
      <c r="K788" t="s">
        <v>783</v>
      </c>
      <c r="L788" t="s">
        <v>823</v>
      </c>
      <c r="M788" t="s">
        <v>830</v>
      </c>
      <c r="N788" t="str">
        <f t="shared" si="36"/>
        <v>T-3</v>
      </c>
      <c r="O788">
        <f t="shared" si="37"/>
        <v>2025</v>
      </c>
      <c r="P788" t="str">
        <f t="shared" si="38"/>
        <v>7. julio</v>
      </c>
    </row>
    <row r="789" spans="1:16" x14ac:dyDescent="0.35">
      <c r="A789">
        <v>711460</v>
      </c>
      <c r="B789" t="s">
        <v>25</v>
      </c>
      <c r="C789" t="s">
        <v>138</v>
      </c>
      <c r="D789" t="s">
        <v>232</v>
      </c>
      <c r="E789" t="s">
        <v>675</v>
      </c>
      <c r="F789" t="s">
        <v>187</v>
      </c>
      <c r="G789" s="1">
        <v>45846</v>
      </c>
      <c r="H789" s="1">
        <v>45848</v>
      </c>
      <c r="I789" s="2">
        <v>936</v>
      </c>
      <c r="J789" t="s">
        <v>779</v>
      </c>
      <c r="K789" t="s">
        <v>783</v>
      </c>
      <c r="L789" t="s">
        <v>823</v>
      </c>
      <c r="M789" t="s">
        <v>829</v>
      </c>
      <c r="N789" t="str">
        <f t="shared" si="36"/>
        <v>T-3</v>
      </c>
      <c r="O789">
        <f t="shared" si="37"/>
        <v>2025</v>
      </c>
      <c r="P789" t="str">
        <f t="shared" si="38"/>
        <v>7. julio</v>
      </c>
    </row>
    <row r="790" spans="1:16" x14ac:dyDescent="0.35">
      <c r="A790">
        <v>560302</v>
      </c>
      <c r="B790" t="s">
        <v>5</v>
      </c>
      <c r="C790" t="s">
        <v>138</v>
      </c>
      <c r="D790" t="s">
        <v>167</v>
      </c>
      <c r="E790" t="s">
        <v>717</v>
      </c>
      <c r="F790" t="s">
        <v>188</v>
      </c>
      <c r="G790" s="1">
        <v>45963</v>
      </c>
      <c r="H790" s="1">
        <v>45963</v>
      </c>
      <c r="I790" s="2">
        <v>384.75</v>
      </c>
      <c r="J790" t="s">
        <v>774</v>
      </c>
      <c r="K790" t="s">
        <v>783</v>
      </c>
      <c r="L790" t="s">
        <v>823</v>
      </c>
      <c r="M790" t="s">
        <v>830</v>
      </c>
      <c r="N790" t="str">
        <f t="shared" si="36"/>
        <v>T-4</v>
      </c>
      <c r="O790">
        <f t="shared" si="37"/>
        <v>2025</v>
      </c>
      <c r="P790" t="str">
        <f t="shared" si="38"/>
        <v>11. noviembre</v>
      </c>
    </row>
    <row r="791" spans="1:16" x14ac:dyDescent="0.35">
      <c r="A791">
        <v>560243</v>
      </c>
      <c r="B791" t="s">
        <v>5</v>
      </c>
      <c r="C791" t="s">
        <v>138</v>
      </c>
      <c r="D791" t="s">
        <v>372</v>
      </c>
      <c r="E791" t="s">
        <v>658</v>
      </c>
      <c r="F791" t="s">
        <v>187</v>
      </c>
      <c r="G791" s="1">
        <v>45828</v>
      </c>
      <c r="H791" s="1">
        <v>45828</v>
      </c>
      <c r="I791" s="2">
        <v>1936</v>
      </c>
      <c r="J791" t="s">
        <v>776</v>
      </c>
      <c r="K791" t="s">
        <v>785</v>
      </c>
      <c r="L791" t="s">
        <v>824</v>
      </c>
      <c r="M791" t="s">
        <v>830</v>
      </c>
      <c r="N791" t="str">
        <f t="shared" si="36"/>
        <v>T-2</v>
      </c>
      <c r="O791">
        <f t="shared" si="37"/>
        <v>2025</v>
      </c>
      <c r="P791" t="str">
        <f t="shared" si="38"/>
        <v>6. junio</v>
      </c>
    </row>
    <row r="792" spans="1:16" x14ac:dyDescent="0.35">
      <c r="A792">
        <v>703234</v>
      </c>
      <c r="B792" t="s">
        <v>2</v>
      </c>
      <c r="C792" t="s">
        <v>138</v>
      </c>
      <c r="D792" t="s">
        <v>149</v>
      </c>
      <c r="E792" t="s">
        <v>675</v>
      </c>
      <c r="F792" t="s">
        <v>187</v>
      </c>
      <c r="G792" s="1">
        <v>45842</v>
      </c>
      <c r="H792" s="1">
        <v>45849</v>
      </c>
      <c r="I792" s="2">
        <v>2172.4</v>
      </c>
      <c r="J792" t="s">
        <v>779</v>
      </c>
      <c r="K792" t="s">
        <v>787</v>
      </c>
      <c r="L792" t="s">
        <v>823</v>
      </c>
      <c r="M792" t="s">
        <v>828</v>
      </c>
      <c r="N792" t="str">
        <f t="shared" si="36"/>
        <v>T-3</v>
      </c>
      <c r="O792">
        <f t="shared" si="37"/>
        <v>2025</v>
      </c>
      <c r="P792" t="str">
        <f t="shared" si="38"/>
        <v>7. julio</v>
      </c>
    </row>
    <row r="793" spans="1:16" x14ac:dyDescent="0.35">
      <c r="A793">
        <v>707784</v>
      </c>
      <c r="B793" t="s">
        <v>24</v>
      </c>
      <c r="C793" t="s">
        <v>138</v>
      </c>
      <c r="D793" t="s">
        <v>210</v>
      </c>
      <c r="E793" t="s">
        <v>665</v>
      </c>
      <c r="F793" t="s">
        <v>187</v>
      </c>
      <c r="G793" s="1">
        <v>45847</v>
      </c>
      <c r="H793" s="1">
        <v>45875</v>
      </c>
      <c r="I793" s="2">
        <v>320</v>
      </c>
      <c r="J793" t="s">
        <v>777</v>
      </c>
      <c r="K793" t="s">
        <v>783</v>
      </c>
      <c r="L793" t="s">
        <v>823</v>
      </c>
      <c r="M793" t="s">
        <v>828</v>
      </c>
      <c r="N793" t="str">
        <f t="shared" si="36"/>
        <v>T-3</v>
      </c>
      <c r="O793">
        <f t="shared" si="37"/>
        <v>2025</v>
      </c>
      <c r="P793" t="str">
        <f t="shared" si="38"/>
        <v>7. julio</v>
      </c>
    </row>
    <row r="794" spans="1:16" x14ac:dyDescent="0.35">
      <c r="A794">
        <v>67310</v>
      </c>
      <c r="B794" t="s">
        <v>5</v>
      </c>
      <c r="C794" t="s">
        <v>138</v>
      </c>
      <c r="D794" t="s">
        <v>210</v>
      </c>
      <c r="E794" t="s">
        <v>665</v>
      </c>
      <c r="F794" t="s">
        <v>773</v>
      </c>
      <c r="G794" s="1">
        <v>45845</v>
      </c>
      <c r="H794" s="1">
        <v>45873</v>
      </c>
      <c r="I794" s="2">
        <v>250</v>
      </c>
      <c r="J794" t="s">
        <v>777</v>
      </c>
      <c r="K794" t="s">
        <v>783</v>
      </c>
      <c r="L794" t="s">
        <v>823</v>
      </c>
      <c r="M794" t="s">
        <v>830</v>
      </c>
      <c r="N794" t="str">
        <f t="shared" si="36"/>
        <v>T-3</v>
      </c>
      <c r="O794">
        <f t="shared" si="37"/>
        <v>2025</v>
      </c>
      <c r="P794" t="str">
        <f t="shared" si="38"/>
        <v>7. julio</v>
      </c>
    </row>
    <row r="795" spans="1:16" x14ac:dyDescent="0.35">
      <c r="A795">
        <v>458906</v>
      </c>
      <c r="B795" t="s">
        <v>27</v>
      </c>
      <c r="C795" t="s">
        <v>140</v>
      </c>
      <c r="D795" t="s">
        <v>443</v>
      </c>
      <c r="E795" t="s">
        <v>682</v>
      </c>
      <c r="F795" t="s">
        <v>187</v>
      </c>
      <c r="G795" s="1">
        <v>45820</v>
      </c>
      <c r="H795" s="1">
        <v>45820</v>
      </c>
      <c r="I795" s="2">
        <v>280</v>
      </c>
      <c r="J795" t="s">
        <v>777</v>
      </c>
      <c r="K795" t="s">
        <v>786</v>
      </c>
      <c r="L795" t="s">
        <v>823</v>
      </c>
      <c r="M795" t="s">
        <v>829</v>
      </c>
      <c r="N795" t="str">
        <f t="shared" si="36"/>
        <v>T-2</v>
      </c>
      <c r="O795">
        <f t="shared" si="37"/>
        <v>2025</v>
      </c>
      <c r="P795" t="str">
        <f t="shared" si="38"/>
        <v>6. junio</v>
      </c>
    </row>
    <row r="796" spans="1:16" x14ac:dyDescent="0.35">
      <c r="A796">
        <v>412212</v>
      </c>
      <c r="B796" t="s">
        <v>71</v>
      </c>
      <c r="C796" t="s">
        <v>139</v>
      </c>
      <c r="D796" t="s">
        <v>170</v>
      </c>
      <c r="E796" t="s">
        <v>682</v>
      </c>
      <c r="F796" t="s">
        <v>187</v>
      </c>
      <c r="G796" s="1">
        <v>45824</v>
      </c>
      <c r="H796" s="1">
        <v>45825</v>
      </c>
      <c r="I796" s="2">
        <v>650</v>
      </c>
      <c r="J796" t="s">
        <v>777</v>
      </c>
      <c r="K796" t="s">
        <v>791</v>
      </c>
      <c r="L796" t="s">
        <v>823</v>
      </c>
      <c r="M796" t="s">
        <v>830</v>
      </c>
      <c r="N796" t="str">
        <f t="shared" si="36"/>
        <v>T-2</v>
      </c>
      <c r="O796">
        <f t="shared" si="37"/>
        <v>2025</v>
      </c>
      <c r="P796" t="str">
        <f t="shared" si="38"/>
        <v>6. junio</v>
      </c>
    </row>
    <row r="797" spans="1:16" x14ac:dyDescent="0.35">
      <c r="A797">
        <v>240463</v>
      </c>
      <c r="B797" t="s">
        <v>11</v>
      </c>
      <c r="C797" t="s">
        <v>138</v>
      </c>
      <c r="D797" t="s">
        <v>170</v>
      </c>
      <c r="E797" t="s">
        <v>682</v>
      </c>
      <c r="F797" t="s">
        <v>187</v>
      </c>
      <c r="G797" s="1">
        <v>45824</v>
      </c>
      <c r="H797" s="1">
        <v>45825</v>
      </c>
      <c r="I797" s="2">
        <v>1040</v>
      </c>
      <c r="J797" t="s">
        <v>777</v>
      </c>
      <c r="K797" t="s">
        <v>791</v>
      </c>
      <c r="L797" t="s">
        <v>823</v>
      </c>
      <c r="M797" t="s">
        <v>830</v>
      </c>
      <c r="N797" t="str">
        <f t="shared" si="36"/>
        <v>T-2</v>
      </c>
      <c r="O797">
        <f t="shared" si="37"/>
        <v>2025</v>
      </c>
      <c r="P797" t="str">
        <f t="shared" si="38"/>
        <v>6. junio</v>
      </c>
    </row>
    <row r="798" spans="1:16" x14ac:dyDescent="0.35">
      <c r="A798">
        <v>710615</v>
      </c>
      <c r="B798" t="s">
        <v>14</v>
      </c>
      <c r="C798" t="s">
        <v>138</v>
      </c>
      <c r="D798" t="s">
        <v>195</v>
      </c>
      <c r="E798" t="s">
        <v>682</v>
      </c>
      <c r="F798" t="s">
        <v>187</v>
      </c>
      <c r="G798" s="1">
        <v>45828</v>
      </c>
      <c r="H798" s="1">
        <v>45828</v>
      </c>
      <c r="I798" s="2">
        <v>900</v>
      </c>
      <c r="J798" t="s">
        <v>777</v>
      </c>
      <c r="K798" t="s">
        <v>800</v>
      </c>
      <c r="L798" t="s">
        <v>823</v>
      </c>
      <c r="M798" t="s">
        <v>828</v>
      </c>
      <c r="N798" t="str">
        <f t="shared" si="36"/>
        <v>T-2</v>
      </c>
      <c r="O798">
        <f t="shared" si="37"/>
        <v>2025</v>
      </c>
      <c r="P798" t="str">
        <f t="shared" si="38"/>
        <v>6. junio</v>
      </c>
    </row>
    <row r="799" spans="1:16" x14ac:dyDescent="0.35">
      <c r="A799">
        <v>700867</v>
      </c>
      <c r="B799" t="s">
        <v>101</v>
      </c>
      <c r="C799" t="s">
        <v>138</v>
      </c>
      <c r="D799" t="s">
        <v>444</v>
      </c>
      <c r="E799" t="s">
        <v>682</v>
      </c>
      <c r="F799" t="s">
        <v>187</v>
      </c>
      <c r="G799" s="1">
        <v>45834</v>
      </c>
      <c r="H799" s="1">
        <v>45834</v>
      </c>
      <c r="I799" s="2">
        <v>1200</v>
      </c>
      <c r="J799" t="s">
        <v>777</v>
      </c>
      <c r="K799" t="s">
        <v>800</v>
      </c>
      <c r="L799" t="s">
        <v>824</v>
      </c>
      <c r="M799" t="s">
        <v>828</v>
      </c>
      <c r="N799" t="str">
        <f t="shared" si="36"/>
        <v>T-2</v>
      </c>
      <c r="O799">
        <f t="shared" si="37"/>
        <v>2025</v>
      </c>
      <c r="P799" t="str">
        <f t="shared" si="38"/>
        <v>6. junio</v>
      </c>
    </row>
    <row r="800" spans="1:16" x14ac:dyDescent="0.35">
      <c r="A800">
        <v>608894</v>
      </c>
      <c r="B800" t="s">
        <v>13</v>
      </c>
      <c r="C800" t="s">
        <v>136</v>
      </c>
      <c r="D800" t="s">
        <v>445</v>
      </c>
      <c r="E800" t="s">
        <v>703</v>
      </c>
      <c r="F800" t="s">
        <v>773</v>
      </c>
      <c r="G800" s="1">
        <v>45964</v>
      </c>
      <c r="H800" s="1">
        <v>45968</v>
      </c>
      <c r="I800" s="2">
        <v>6375</v>
      </c>
      <c r="J800" t="s">
        <v>776</v>
      </c>
      <c r="K800" t="s">
        <v>783</v>
      </c>
      <c r="L800" t="s">
        <v>823</v>
      </c>
      <c r="M800" t="s">
        <v>829</v>
      </c>
      <c r="N800" t="str">
        <f t="shared" si="36"/>
        <v>T-4</v>
      </c>
      <c r="O800">
        <f t="shared" si="37"/>
        <v>2025</v>
      </c>
      <c r="P800" t="str">
        <f t="shared" si="38"/>
        <v>11. noviembre</v>
      </c>
    </row>
    <row r="801" spans="1:16" x14ac:dyDescent="0.35">
      <c r="A801">
        <v>438524</v>
      </c>
      <c r="B801" t="s">
        <v>5</v>
      </c>
      <c r="C801" t="s">
        <v>138</v>
      </c>
      <c r="D801" t="s">
        <v>446</v>
      </c>
      <c r="E801" t="s">
        <v>740</v>
      </c>
      <c r="F801" t="s">
        <v>187</v>
      </c>
      <c r="G801" s="1">
        <v>45840</v>
      </c>
      <c r="H801" s="1">
        <v>45846</v>
      </c>
      <c r="I801" s="2">
        <v>208</v>
      </c>
      <c r="J801" t="s">
        <v>779</v>
      </c>
      <c r="K801" t="s">
        <v>783</v>
      </c>
      <c r="L801" t="s">
        <v>823</v>
      </c>
      <c r="M801" t="s">
        <v>830</v>
      </c>
      <c r="N801" t="str">
        <f t="shared" si="36"/>
        <v>T-3</v>
      </c>
      <c r="O801">
        <f t="shared" si="37"/>
        <v>2025</v>
      </c>
      <c r="P801" t="str">
        <f t="shared" si="38"/>
        <v>7. julio</v>
      </c>
    </row>
    <row r="802" spans="1:16" x14ac:dyDescent="0.35">
      <c r="A802">
        <v>482983</v>
      </c>
      <c r="B802" t="s">
        <v>23</v>
      </c>
      <c r="C802" t="s">
        <v>138</v>
      </c>
      <c r="D802" t="s">
        <v>446</v>
      </c>
      <c r="E802" t="s">
        <v>740</v>
      </c>
      <c r="F802" t="s">
        <v>187</v>
      </c>
      <c r="G802" s="1">
        <v>45840</v>
      </c>
      <c r="H802" s="1">
        <v>45846</v>
      </c>
      <c r="I802" s="2">
        <v>1872</v>
      </c>
      <c r="J802" t="s">
        <v>779</v>
      </c>
      <c r="K802" t="s">
        <v>800</v>
      </c>
      <c r="L802" t="s">
        <v>823</v>
      </c>
      <c r="M802" t="s">
        <v>830</v>
      </c>
      <c r="N802" t="str">
        <f t="shared" si="36"/>
        <v>T-3</v>
      </c>
      <c r="O802">
        <f t="shared" si="37"/>
        <v>2025</v>
      </c>
      <c r="P802" t="str">
        <f t="shared" si="38"/>
        <v>7. julio</v>
      </c>
    </row>
    <row r="803" spans="1:16" x14ac:dyDescent="0.35">
      <c r="A803">
        <v>702618</v>
      </c>
      <c r="B803" t="s">
        <v>25</v>
      </c>
      <c r="C803" t="s">
        <v>138</v>
      </c>
      <c r="D803" t="s">
        <v>446</v>
      </c>
      <c r="E803" t="s">
        <v>740</v>
      </c>
      <c r="F803" t="s">
        <v>187</v>
      </c>
      <c r="G803" s="1">
        <v>45840</v>
      </c>
      <c r="H803" s="1">
        <v>45846</v>
      </c>
      <c r="I803" s="2">
        <v>2080</v>
      </c>
      <c r="J803" t="s">
        <v>779</v>
      </c>
      <c r="K803" t="s">
        <v>800</v>
      </c>
      <c r="L803" t="s">
        <v>823</v>
      </c>
      <c r="M803" t="s">
        <v>828</v>
      </c>
      <c r="N803" t="str">
        <f t="shared" si="36"/>
        <v>T-3</v>
      </c>
      <c r="O803">
        <f t="shared" si="37"/>
        <v>2025</v>
      </c>
      <c r="P803" t="str">
        <f t="shared" si="38"/>
        <v>7. julio</v>
      </c>
    </row>
    <row r="804" spans="1:16" x14ac:dyDescent="0.35">
      <c r="A804">
        <v>487573</v>
      </c>
      <c r="B804" t="s">
        <v>62</v>
      </c>
      <c r="C804" t="s">
        <v>138</v>
      </c>
      <c r="D804" t="s">
        <v>446</v>
      </c>
      <c r="E804" t="s">
        <v>740</v>
      </c>
      <c r="F804" t="s">
        <v>187</v>
      </c>
      <c r="G804" s="1">
        <v>45840</v>
      </c>
      <c r="H804" s="1">
        <v>45846</v>
      </c>
      <c r="I804" s="2">
        <v>832</v>
      </c>
      <c r="J804" t="s">
        <v>779</v>
      </c>
      <c r="K804" t="s">
        <v>783</v>
      </c>
      <c r="L804" t="s">
        <v>823</v>
      </c>
      <c r="M804" t="s">
        <v>830</v>
      </c>
      <c r="N804" t="str">
        <f t="shared" si="36"/>
        <v>T-3</v>
      </c>
      <c r="O804">
        <f t="shared" si="37"/>
        <v>2025</v>
      </c>
      <c r="P804" t="str">
        <f t="shared" si="38"/>
        <v>7. julio</v>
      </c>
    </row>
    <row r="805" spans="1:16" x14ac:dyDescent="0.35">
      <c r="A805">
        <v>750044</v>
      </c>
      <c r="B805" t="s">
        <v>31</v>
      </c>
      <c r="C805" t="s">
        <v>139</v>
      </c>
      <c r="D805" t="s">
        <v>446</v>
      </c>
      <c r="E805" t="s">
        <v>740</v>
      </c>
      <c r="F805" t="s">
        <v>187</v>
      </c>
      <c r="G805" s="1">
        <v>45840</v>
      </c>
      <c r="H805" s="1">
        <v>45846</v>
      </c>
      <c r="I805" s="2">
        <v>208</v>
      </c>
      <c r="J805" t="s">
        <v>779</v>
      </c>
      <c r="K805" t="s">
        <v>800</v>
      </c>
      <c r="L805" t="s">
        <v>824</v>
      </c>
      <c r="M805" t="s">
        <v>829</v>
      </c>
      <c r="N805" t="str">
        <f t="shared" si="36"/>
        <v>T-3</v>
      </c>
      <c r="O805">
        <f t="shared" si="37"/>
        <v>2025</v>
      </c>
      <c r="P805" t="str">
        <f t="shared" si="38"/>
        <v>7. julio</v>
      </c>
    </row>
    <row r="806" spans="1:16" x14ac:dyDescent="0.35">
      <c r="A806">
        <v>702652</v>
      </c>
      <c r="B806" t="s">
        <v>20</v>
      </c>
      <c r="C806" t="s">
        <v>136</v>
      </c>
      <c r="D806" t="s">
        <v>447</v>
      </c>
      <c r="E806" t="s">
        <v>740</v>
      </c>
      <c r="F806" t="s">
        <v>187</v>
      </c>
      <c r="G806" s="1">
        <v>45840</v>
      </c>
      <c r="H806" s="1">
        <v>45846</v>
      </c>
      <c r="I806" s="2">
        <v>416</v>
      </c>
      <c r="J806" t="s">
        <v>779</v>
      </c>
      <c r="K806" t="s">
        <v>783</v>
      </c>
      <c r="L806" t="s">
        <v>823</v>
      </c>
      <c r="M806" t="s">
        <v>830</v>
      </c>
      <c r="N806" t="str">
        <f t="shared" si="36"/>
        <v>T-3</v>
      </c>
      <c r="O806">
        <f t="shared" si="37"/>
        <v>2025</v>
      </c>
      <c r="P806" t="str">
        <f t="shared" si="38"/>
        <v>7. julio</v>
      </c>
    </row>
    <row r="807" spans="1:16" x14ac:dyDescent="0.35">
      <c r="A807">
        <v>568106</v>
      </c>
      <c r="B807" t="s">
        <v>4</v>
      </c>
      <c r="C807" t="s">
        <v>138</v>
      </c>
      <c r="D807" t="s">
        <v>447</v>
      </c>
      <c r="E807" t="s">
        <v>740</v>
      </c>
      <c r="F807" t="s">
        <v>187</v>
      </c>
      <c r="G807" s="1">
        <v>45840</v>
      </c>
      <c r="H807" s="1">
        <v>45846</v>
      </c>
      <c r="I807" s="2">
        <v>208</v>
      </c>
      <c r="J807" t="s">
        <v>779</v>
      </c>
      <c r="K807" t="s">
        <v>783</v>
      </c>
      <c r="L807" t="s">
        <v>823</v>
      </c>
      <c r="M807" t="s">
        <v>830</v>
      </c>
      <c r="N807" t="str">
        <f t="shared" si="36"/>
        <v>T-3</v>
      </c>
      <c r="O807">
        <f t="shared" si="37"/>
        <v>2025</v>
      </c>
      <c r="P807" t="str">
        <f t="shared" si="38"/>
        <v>7. julio</v>
      </c>
    </row>
    <row r="808" spans="1:16" x14ac:dyDescent="0.35">
      <c r="A808">
        <v>462106</v>
      </c>
      <c r="B808" t="s">
        <v>4</v>
      </c>
      <c r="C808" t="s">
        <v>138</v>
      </c>
      <c r="D808" t="s">
        <v>447</v>
      </c>
      <c r="E808" t="s">
        <v>740</v>
      </c>
      <c r="F808" t="s">
        <v>187</v>
      </c>
      <c r="G808" s="1">
        <v>45840</v>
      </c>
      <c r="H808" s="1">
        <v>45846</v>
      </c>
      <c r="I808" s="2">
        <v>2080</v>
      </c>
      <c r="J808" t="s">
        <v>779</v>
      </c>
      <c r="K808" t="s">
        <v>800</v>
      </c>
      <c r="L808" t="s">
        <v>823</v>
      </c>
      <c r="M808" t="s">
        <v>828</v>
      </c>
      <c r="N808" t="str">
        <f t="shared" si="36"/>
        <v>T-3</v>
      </c>
      <c r="O808">
        <f t="shared" si="37"/>
        <v>2025</v>
      </c>
      <c r="P808" t="str">
        <f t="shared" si="38"/>
        <v>7. julio</v>
      </c>
    </row>
    <row r="809" spans="1:16" x14ac:dyDescent="0.35">
      <c r="A809">
        <v>705576</v>
      </c>
      <c r="B809" t="s">
        <v>33</v>
      </c>
      <c r="C809" t="s">
        <v>136</v>
      </c>
      <c r="D809" t="s">
        <v>447</v>
      </c>
      <c r="E809" t="s">
        <v>740</v>
      </c>
      <c r="F809" t="s">
        <v>187</v>
      </c>
      <c r="G809" s="1">
        <v>45840</v>
      </c>
      <c r="H809" s="1">
        <v>45846</v>
      </c>
      <c r="I809" s="2">
        <v>2912</v>
      </c>
      <c r="J809" t="s">
        <v>779</v>
      </c>
      <c r="K809" t="s">
        <v>783</v>
      </c>
      <c r="L809" t="s">
        <v>823</v>
      </c>
      <c r="M809" t="s">
        <v>828</v>
      </c>
      <c r="N809" t="str">
        <f t="shared" si="36"/>
        <v>T-3</v>
      </c>
      <c r="O809">
        <f t="shared" si="37"/>
        <v>2025</v>
      </c>
      <c r="P809" t="str">
        <f t="shared" si="38"/>
        <v>7. julio</v>
      </c>
    </row>
    <row r="810" spans="1:16" x14ac:dyDescent="0.35">
      <c r="A810">
        <v>709007</v>
      </c>
      <c r="B810" t="s">
        <v>5</v>
      </c>
      <c r="C810" t="s">
        <v>138</v>
      </c>
      <c r="D810" t="s">
        <v>167</v>
      </c>
      <c r="E810" t="s">
        <v>717</v>
      </c>
      <c r="F810" t="s">
        <v>773</v>
      </c>
      <c r="G810" s="1">
        <v>46006</v>
      </c>
      <c r="H810" s="1">
        <v>46006</v>
      </c>
      <c r="I810" s="2">
        <v>384.75</v>
      </c>
      <c r="J810" t="s">
        <v>774</v>
      </c>
      <c r="K810" t="s">
        <v>800</v>
      </c>
      <c r="L810" t="s">
        <v>823</v>
      </c>
      <c r="M810" t="s">
        <v>830</v>
      </c>
      <c r="N810" t="str">
        <f t="shared" si="36"/>
        <v>T-4</v>
      </c>
      <c r="O810">
        <f t="shared" si="37"/>
        <v>2025</v>
      </c>
      <c r="P810" t="str">
        <f t="shared" si="38"/>
        <v>12. diciembre</v>
      </c>
    </row>
    <row r="811" spans="1:16" x14ac:dyDescent="0.35">
      <c r="A811">
        <v>722497</v>
      </c>
      <c r="B811" t="s">
        <v>7</v>
      </c>
      <c r="C811" t="s">
        <v>138</v>
      </c>
      <c r="D811" t="s">
        <v>167</v>
      </c>
      <c r="E811" t="s">
        <v>717</v>
      </c>
      <c r="F811" t="s">
        <v>773</v>
      </c>
      <c r="G811" s="1">
        <v>46006</v>
      </c>
      <c r="H811" s="1">
        <v>46006</v>
      </c>
      <c r="I811" s="2">
        <v>384.75</v>
      </c>
      <c r="J811" t="s">
        <v>774</v>
      </c>
      <c r="K811" t="s">
        <v>800</v>
      </c>
      <c r="L811" t="s">
        <v>823</v>
      </c>
      <c r="M811" t="s">
        <v>829</v>
      </c>
      <c r="N811" t="str">
        <f t="shared" si="36"/>
        <v>T-4</v>
      </c>
      <c r="O811">
        <f t="shared" si="37"/>
        <v>2025</v>
      </c>
      <c r="P811" t="str">
        <f t="shared" si="38"/>
        <v>12. diciembre</v>
      </c>
    </row>
    <row r="812" spans="1:16" x14ac:dyDescent="0.35">
      <c r="A812">
        <v>705641</v>
      </c>
      <c r="B812" t="s">
        <v>5</v>
      </c>
      <c r="C812" t="s">
        <v>136</v>
      </c>
      <c r="D812" t="s">
        <v>167</v>
      </c>
      <c r="E812" t="s">
        <v>717</v>
      </c>
      <c r="F812" t="s">
        <v>773</v>
      </c>
      <c r="G812" s="1">
        <v>46006</v>
      </c>
      <c r="H812" s="1">
        <v>46006</v>
      </c>
      <c r="I812" s="2">
        <v>384.75</v>
      </c>
      <c r="J812" t="s">
        <v>774</v>
      </c>
      <c r="K812" t="s">
        <v>783</v>
      </c>
      <c r="L812" t="s">
        <v>824</v>
      </c>
      <c r="M812" t="s">
        <v>830</v>
      </c>
      <c r="N812" t="str">
        <f t="shared" si="36"/>
        <v>T-4</v>
      </c>
      <c r="O812">
        <f t="shared" si="37"/>
        <v>2025</v>
      </c>
      <c r="P812" t="str">
        <f t="shared" si="38"/>
        <v>12. diciembre</v>
      </c>
    </row>
    <row r="813" spans="1:16" x14ac:dyDescent="0.35">
      <c r="A813">
        <v>566092</v>
      </c>
      <c r="B813" t="s">
        <v>2</v>
      </c>
      <c r="C813" t="s">
        <v>139</v>
      </c>
      <c r="D813" t="s">
        <v>167</v>
      </c>
      <c r="E813" t="s">
        <v>717</v>
      </c>
      <c r="F813" t="s">
        <v>773</v>
      </c>
      <c r="G813" s="1">
        <v>46006</v>
      </c>
      <c r="H813" s="1">
        <v>46006</v>
      </c>
      <c r="I813" s="2">
        <v>384.75</v>
      </c>
      <c r="J813" t="s">
        <v>774</v>
      </c>
      <c r="K813" t="s">
        <v>800</v>
      </c>
      <c r="L813" t="s">
        <v>823</v>
      </c>
      <c r="M813" t="s">
        <v>830</v>
      </c>
      <c r="N813" t="str">
        <f t="shared" si="36"/>
        <v>T-4</v>
      </c>
      <c r="O813">
        <f t="shared" si="37"/>
        <v>2025</v>
      </c>
      <c r="P813" t="str">
        <f t="shared" si="38"/>
        <v>12. diciembre</v>
      </c>
    </row>
    <row r="814" spans="1:16" x14ac:dyDescent="0.35">
      <c r="A814">
        <v>711340</v>
      </c>
      <c r="B814" t="s">
        <v>30</v>
      </c>
      <c r="C814" t="s">
        <v>138</v>
      </c>
      <c r="D814" t="s">
        <v>311</v>
      </c>
      <c r="E814" t="s">
        <v>675</v>
      </c>
      <c r="F814" t="s">
        <v>187</v>
      </c>
      <c r="G814" s="1">
        <v>45799</v>
      </c>
      <c r="H814" s="1">
        <v>45806</v>
      </c>
      <c r="I814" s="2">
        <v>1444.25</v>
      </c>
      <c r="J814" t="s">
        <v>779</v>
      </c>
      <c r="K814" t="s">
        <v>783</v>
      </c>
      <c r="L814" t="s">
        <v>823</v>
      </c>
      <c r="M814" t="s">
        <v>828</v>
      </c>
      <c r="N814" t="str">
        <f t="shared" si="36"/>
        <v>T-2</v>
      </c>
      <c r="O814">
        <f t="shared" si="37"/>
        <v>2025</v>
      </c>
      <c r="P814" t="str">
        <f t="shared" si="38"/>
        <v>5. mayo</v>
      </c>
    </row>
    <row r="815" spans="1:16" x14ac:dyDescent="0.35">
      <c r="A815">
        <v>750045</v>
      </c>
      <c r="B815" t="s">
        <v>31</v>
      </c>
      <c r="C815" t="s">
        <v>139</v>
      </c>
      <c r="D815" t="s">
        <v>448</v>
      </c>
      <c r="E815" t="s">
        <v>740</v>
      </c>
      <c r="F815" t="s">
        <v>187</v>
      </c>
      <c r="G815" s="1">
        <v>45840</v>
      </c>
      <c r="H815" s="1">
        <v>45846</v>
      </c>
      <c r="I815" s="2">
        <v>416</v>
      </c>
      <c r="J815" t="s">
        <v>779</v>
      </c>
      <c r="K815" t="s">
        <v>808</v>
      </c>
      <c r="L815" t="s">
        <v>823</v>
      </c>
      <c r="M815" t="s">
        <v>828</v>
      </c>
      <c r="N815" t="str">
        <f t="shared" si="36"/>
        <v>T-3</v>
      </c>
      <c r="O815">
        <f t="shared" si="37"/>
        <v>2025</v>
      </c>
      <c r="P815" t="str">
        <f t="shared" si="38"/>
        <v>7. julio</v>
      </c>
    </row>
    <row r="816" spans="1:16" x14ac:dyDescent="0.35">
      <c r="A816">
        <v>474457</v>
      </c>
      <c r="B816" t="s">
        <v>8</v>
      </c>
      <c r="C816" t="s">
        <v>141</v>
      </c>
      <c r="D816" t="s">
        <v>448</v>
      </c>
      <c r="E816" t="s">
        <v>740</v>
      </c>
      <c r="F816" t="s">
        <v>187</v>
      </c>
      <c r="G816" s="1">
        <v>45840</v>
      </c>
      <c r="H816" s="1">
        <v>45846</v>
      </c>
      <c r="I816" s="2">
        <v>684</v>
      </c>
      <c r="J816" t="s">
        <v>779</v>
      </c>
      <c r="K816" t="s">
        <v>787</v>
      </c>
      <c r="L816" t="s">
        <v>823</v>
      </c>
      <c r="M816" t="s">
        <v>829</v>
      </c>
      <c r="N816" t="str">
        <f t="shared" si="36"/>
        <v>T-3</v>
      </c>
      <c r="O816">
        <f t="shared" si="37"/>
        <v>2025</v>
      </c>
      <c r="P816" t="str">
        <f t="shared" si="38"/>
        <v>7. julio</v>
      </c>
    </row>
    <row r="817" spans="1:16" x14ac:dyDescent="0.35">
      <c r="A817">
        <v>401926</v>
      </c>
      <c r="B817" t="s">
        <v>39</v>
      </c>
      <c r="C817" t="s">
        <v>139</v>
      </c>
      <c r="D817" t="s">
        <v>448</v>
      </c>
      <c r="E817" t="s">
        <v>740</v>
      </c>
      <c r="F817" t="s">
        <v>187</v>
      </c>
      <c r="G817" s="1">
        <v>45840</v>
      </c>
      <c r="H817" s="1">
        <v>45846</v>
      </c>
      <c r="I817" s="2">
        <v>1664</v>
      </c>
      <c r="J817" t="s">
        <v>779</v>
      </c>
      <c r="K817" t="s">
        <v>787</v>
      </c>
      <c r="L817" t="s">
        <v>823</v>
      </c>
      <c r="M817" t="s">
        <v>830</v>
      </c>
      <c r="N817" t="str">
        <f t="shared" si="36"/>
        <v>T-3</v>
      </c>
      <c r="O817">
        <f t="shared" si="37"/>
        <v>2025</v>
      </c>
      <c r="P817" t="str">
        <f t="shared" si="38"/>
        <v>7. julio</v>
      </c>
    </row>
    <row r="818" spans="1:16" x14ac:dyDescent="0.35">
      <c r="A818">
        <v>564683</v>
      </c>
      <c r="B818" t="s">
        <v>20</v>
      </c>
      <c r="C818" t="s">
        <v>138</v>
      </c>
      <c r="D818" t="s">
        <v>448</v>
      </c>
      <c r="E818" t="s">
        <v>740</v>
      </c>
      <c r="F818" t="s">
        <v>187</v>
      </c>
      <c r="G818" s="1">
        <v>45840</v>
      </c>
      <c r="H818" s="1">
        <v>45846</v>
      </c>
      <c r="I818" s="2">
        <v>208</v>
      </c>
      <c r="J818" t="s">
        <v>779</v>
      </c>
      <c r="K818" t="s">
        <v>783</v>
      </c>
      <c r="L818" t="s">
        <v>823</v>
      </c>
      <c r="M818" t="s">
        <v>830</v>
      </c>
      <c r="N818" t="str">
        <f t="shared" si="36"/>
        <v>T-3</v>
      </c>
      <c r="O818">
        <f t="shared" si="37"/>
        <v>2025</v>
      </c>
      <c r="P818" t="str">
        <f t="shared" si="38"/>
        <v>7. julio</v>
      </c>
    </row>
    <row r="819" spans="1:16" x14ac:dyDescent="0.35">
      <c r="A819">
        <v>720227</v>
      </c>
      <c r="B819" t="s">
        <v>30</v>
      </c>
      <c r="C819" t="s">
        <v>137</v>
      </c>
      <c r="D819" t="s">
        <v>275</v>
      </c>
      <c r="E819" t="s">
        <v>647</v>
      </c>
      <c r="F819" t="s">
        <v>187</v>
      </c>
      <c r="G819" s="1">
        <v>45832</v>
      </c>
      <c r="H819" s="1">
        <v>45842</v>
      </c>
      <c r="I819" s="2">
        <v>1495</v>
      </c>
      <c r="J819" t="s">
        <v>776</v>
      </c>
      <c r="K819" t="s">
        <v>786</v>
      </c>
      <c r="L819" t="s">
        <v>823</v>
      </c>
      <c r="M819" t="s">
        <v>828</v>
      </c>
      <c r="N819" t="str">
        <f t="shared" si="36"/>
        <v>T-2</v>
      </c>
      <c r="O819">
        <f t="shared" si="37"/>
        <v>2025</v>
      </c>
      <c r="P819" t="str">
        <f t="shared" si="38"/>
        <v>6. junio</v>
      </c>
    </row>
    <row r="820" spans="1:16" x14ac:dyDescent="0.35">
      <c r="A820">
        <v>560198</v>
      </c>
      <c r="B820" t="s">
        <v>22</v>
      </c>
      <c r="C820" t="s">
        <v>138</v>
      </c>
      <c r="D820" t="s">
        <v>275</v>
      </c>
      <c r="E820" t="s">
        <v>647</v>
      </c>
      <c r="F820" t="s">
        <v>187</v>
      </c>
      <c r="G820" s="1">
        <v>45832</v>
      </c>
      <c r="H820" s="1">
        <v>45842</v>
      </c>
      <c r="I820" s="2">
        <v>5980</v>
      </c>
      <c r="J820" t="s">
        <v>776</v>
      </c>
      <c r="K820" t="s">
        <v>783</v>
      </c>
      <c r="L820" t="s">
        <v>824</v>
      </c>
      <c r="M820" t="s">
        <v>830</v>
      </c>
      <c r="N820" t="str">
        <f t="shared" si="36"/>
        <v>T-2</v>
      </c>
      <c r="O820">
        <f t="shared" si="37"/>
        <v>2025</v>
      </c>
      <c r="P820" t="str">
        <f t="shared" si="38"/>
        <v>6. junio</v>
      </c>
    </row>
    <row r="821" spans="1:16" x14ac:dyDescent="0.35">
      <c r="A821">
        <v>703398</v>
      </c>
      <c r="B821" t="s">
        <v>14</v>
      </c>
      <c r="C821" t="s">
        <v>138</v>
      </c>
      <c r="D821" t="s">
        <v>163</v>
      </c>
      <c r="E821" t="s">
        <v>681</v>
      </c>
      <c r="F821" t="s">
        <v>187</v>
      </c>
      <c r="G821" s="1">
        <v>45783</v>
      </c>
      <c r="H821" s="1">
        <v>45814</v>
      </c>
      <c r="I821" s="2">
        <v>342.71</v>
      </c>
      <c r="J821" t="s">
        <v>779</v>
      </c>
      <c r="K821" t="s">
        <v>783</v>
      </c>
      <c r="L821" t="s">
        <v>823</v>
      </c>
      <c r="M821" t="s">
        <v>829</v>
      </c>
      <c r="N821" t="str">
        <f t="shared" si="36"/>
        <v>T-2</v>
      </c>
      <c r="O821">
        <f t="shared" si="37"/>
        <v>2025</v>
      </c>
      <c r="P821" t="str">
        <f t="shared" si="38"/>
        <v>5. mayo</v>
      </c>
    </row>
    <row r="822" spans="1:16" x14ac:dyDescent="0.35">
      <c r="A822">
        <v>750046</v>
      </c>
      <c r="B822" t="s">
        <v>4</v>
      </c>
      <c r="C822" t="s">
        <v>138</v>
      </c>
      <c r="D822" t="s">
        <v>250</v>
      </c>
      <c r="E822" t="s">
        <v>686</v>
      </c>
      <c r="F822" t="s">
        <v>187</v>
      </c>
      <c r="G822" s="1">
        <v>45840</v>
      </c>
      <c r="H822" s="1">
        <v>45840</v>
      </c>
      <c r="I822" s="2">
        <v>480</v>
      </c>
      <c r="J822" t="s">
        <v>776</v>
      </c>
      <c r="K822" t="s">
        <v>783</v>
      </c>
      <c r="L822" t="s">
        <v>823</v>
      </c>
      <c r="M822" t="s">
        <v>830</v>
      </c>
      <c r="N822" t="str">
        <f t="shared" si="36"/>
        <v>T-3</v>
      </c>
      <c r="O822">
        <f t="shared" si="37"/>
        <v>2025</v>
      </c>
      <c r="P822" t="str">
        <f t="shared" si="38"/>
        <v>7. julio</v>
      </c>
    </row>
    <row r="823" spans="1:16" x14ac:dyDescent="0.35">
      <c r="A823">
        <v>483444</v>
      </c>
      <c r="B823" t="s">
        <v>32</v>
      </c>
      <c r="C823" t="s">
        <v>138</v>
      </c>
      <c r="D823" t="s">
        <v>218</v>
      </c>
      <c r="E823" t="s">
        <v>669</v>
      </c>
      <c r="F823" t="s">
        <v>187</v>
      </c>
      <c r="G823" s="1">
        <v>45824</v>
      </c>
      <c r="H823" s="1">
        <v>45828</v>
      </c>
      <c r="I823" s="2">
        <v>3500</v>
      </c>
      <c r="J823" t="s">
        <v>776</v>
      </c>
      <c r="K823" t="s">
        <v>783</v>
      </c>
      <c r="L823" t="s">
        <v>823</v>
      </c>
      <c r="M823" t="s">
        <v>830</v>
      </c>
      <c r="N823" t="str">
        <f t="shared" si="36"/>
        <v>T-2</v>
      </c>
      <c r="O823">
        <f t="shared" si="37"/>
        <v>2025</v>
      </c>
      <c r="P823" t="str">
        <f t="shared" si="38"/>
        <v>6. junio</v>
      </c>
    </row>
    <row r="824" spans="1:16" x14ac:dyDescent="0.35">
      <c r="A824">
        <v>418787</v>
      </c>
      <c r="B824" t="s">
        <v>4</v>
      </c>
      <c r="C824" t="s">
        <v>138</v>
      </c>
      <c r="D824" t="s">
        <v>395</v>
      </c>
      <c r="E824" t="s">
        <v>652</v>
      </c>
      <c r="F824" t="s">
        <v>187</v>
      </c>
      <c r="G824" s="1">
        <v>45817</v>
      </c>
      <c r="H824" s="1">
        <v>45821</v>
      </c>
      <c r="I824" s="2">
        <v>3510</v>
      </c>
      <c r="J824" t="s">
        <v>774</v>
      </c>
      <c r="K824" t="s">
        <v>783</v>
      </c>
      <c r="L824" t="s">
        <v>823</v>
      </c>
      <c r="M824" t="s">
        <v>828</v>
      </c>
      <c r="N824" t="str">
        <f t="shared" si="36"/>
        <v>T-2</v>
      </c>
      <c r="O824">
        <f t="shared" si="37"/>
        <v>2025</v>
      </c>
      <c r="P824" t="str">
        <f t="shared" si="38"/>
        <v>6. junio</v>
      </c>
    </row>
    <row r="825" spans="1:16" x14ac:dyDescent="0.35">
      <c r="A825">
        <v>502201</v>
      </c>
      <c r="B825" t="s">
        <v>102</v>
      </c>
      <c r="C825" t="s">
        <v>139</v>
      </c>
      <c r="D825" t="s">
        <v>450</v>
      </c>
      <c r="E825" t="s">
        <v>718</v>
      </c>
      <c r="F825" t="s">
        <v>187</v>
      </c>
      <c r="G825" s="1">
        <v>45847</v>
      </c>
      <c r="H825" s="1">
        <v>45849</v>
      </c>
      <c r="I825" s="2">
        <v>2248.9899999999998</v>
      </c>
      <c r="J825" t="s">
        <v>777</v>
      </c>
      <c r="K825" t="s">
        <v>783</v>
      </c>
      <c r="L825" t="s">
        <v>823</v>
      </c>
      <c r="M825" t="s">
        <v>828</v>
      </c>
      <c r="N825" t="str">
        <f t="shared" si="36"/>
        <v>T-3</v>
      </c>
      <c r="O825">
        <f t="shared" si="37"/>
        <v>2025</v>
      </c>
      <c r="P825" t="str">
        <f t="shared" si="38"/>
        <v>7. julio</v>
      </c>
    </row>
    <row r="826" spans="1:16" x14ac:dyDescent="0.35">
      <c r="A826">
        <v>428679</v>
      </c>
      <c r="B826" t="s">
        <v>5</v>
      </c>
      <c r="C826" t="s">
        <v>138</v>
      </c>
      <c r="D826" t="s">
        <v>234</v>
      </c>
      <c r="E826" t="s">
        <v>660</v>
      </c>
      <c r="F826" t="s">
        <v>187</v>
      </c>
      <c r="G826" s="1">
        <v>45833</v>
      </c>
      <c r="H826" s="1">
        <v>45842</v>
      </c>
      <c r="I826" s="2">
        <v>1040</v>
      </c>
      <c r="J826" t="s">
        <v>776</v>
      </c>
      <c r="K826" t="s">
        <v>783</v>
      </c>
      <c r="L826" t="s">
        <v>824</v>
      </c>
      <c r="M826" t="s">
        <v>830</v>
      </c>
      <c r="N826" t="str">
        <f t="shared" si="36"/>
        <v>T-2</v>
      </c>
      <c r="O826">
        <f t="shared" si="37"/>
        <v>2025</v>
      </c>
      <c r="P826" t="str">
        <f t="shared" si="38"/>
        <v>6. junio</v>
      </c>
    </row>
    <row r="827" spans="1:16" x14ac:dyDescent="0.35">
      <c r="A827">
        <v>721480</v>
      </c>
      <c r="B827" t="s">
        <v>34</v>
      </c>
      <c r="C827" t="s">
        <v>137</v>
      </c>
      <c r="D827" t="s">
        <v>451</v>
      </c>
      <c r="E827" t="s">
        <v>714</v>
      </c>
      <c r="F827" t="s">
        <v>187</v>
      </c>
      <c r="G827" s="1">
        <v>45852</v>
      </c>
      <c r="H827" s="1">
        <v>45852</v>
      </c>
      <c r="I827" s="2">
        <v>273</v>
      </c>
      <c r="J827" t="s">
        <v>779</v>
      </c>
      <c r="K827" t="s">
        <v>783</v>
      </c>
      <c r="L827" t="s">
        <v>823</v>
      </c>
      <c r="M827" t="s">
        <v>829</v>
      </c>
      <c r="N827" t="str">
        <f t="shared" si="36"/>
        <v>T-3</v>
      </c>
      <c r="O827">
        <f t="shared" si="37"/>
        <v>2025</v>
      </c>
      <c r="P827" t="str">
        <f t="shared" si="38"/>
        <v>7. julio</v>
      </c>
    </row>
    <row r="828" spans="1:16" x14ac:dyDescent="0.35">
      <c r="A828">
        <v>500465</v>
      </c>
      <c r="B828" t="s">
        <v>5</v>
      </c>
      <c r="C828" t="s">
        <v>138</v>
      </c>
      <c r="D828" t="s">
        <v>451</v>
      </c>
      <c r="E828" t="s">
        <v>714</v>
      </c>
      <c r="F828" t="s">
        <v>187</v>
      </c>
      <c r="G828" s="1">
        <v>45852</v>
      </c>
      <c r="H828" s="1">
        <v>45852</v>
      </c>
      <c r="I828" s="2">
        <v>312</v>
      </c>
      <c r="J828" t="s">
        <v>779</v>
      </c>
      <c r="K828" t="s">
        <v>807</v>
      </c>
      <c r="L828" t="s">
        <v>823</v>
      </c>
      <c r="M828" t="s">
        <v>830</v>
      </c>
      <c r="N828" t="str">
        <f t="shared" si="36"/>
        <v>T-3</v>
      </c>
      <c r="O828">
        <f t="shared" si="37"/>
        <v>2025</v>
      </c>
      <c r="P828" t="str">
        <f t="shared" si="38"/>
        <v>7. julio</v>
      </c>
    </row>
    <row r="829" spans="1:16" x14ac:dyDescent="0.35">
      <c r="A829">
        <v>474025</v>
      </c>
      <c r="B829" t="s">
        <v>103</v>
      </c>
      <c r="C829" t="s">
        <v>139</v>
      </c>
      <c r="D829" t="s">
        <v>451</v>
      </c>
      <c r="E829" t="s">
        <v>714</v>
      </c>
      <c r="F829" t="s">
        <v>187</v>
      </c>
      <c r="G829" s="1">
        <v>45852</v>
      </c>
      <c r="H829" s="1">
        <v>45852</v>
      </c>
      <c r="I829" s="2">
        <v>273</v>
      </c>
      <c r="J829" t="s">
        <v>779</v>
      </c>
      <c r="K829" t="s">
        <v>783</v>
      </c>
      <c r="L829" t="s">
        <v>823</v>
      </c>
      <c r="M829" t="s">
        <v>830</v>
      </c>
      <c r="N829" t="str">
        <f t="shared" si="36"/>
        <v>T-3</v>
      </c>
      <c r="O829">
        <f t="shared" si="37"/>
        <v>2025</v>
      </c>
      <c r="P829" t="str">
        <f t="shared" si="38"/>
        <v>7. julio</v>
      </c>
    </row>
    <row r="830" spans="1:16" x14ac:dyDescent="0.35">
      <c r="A830">
        <v>709950</v>
      </c>
      <c r="B830" t="s">
        <v>62</v>
      </c>
      <c r="C830" t="s">
        <v>138</v>
      </c>
      <c r="D830" t="s">
        <v>452</v>
      </c>
      <c r="E830" t="s">
        <v>740</v>
      </c>
      <c r="F830" t="s">
        <v>187</v>
      </c>
      <c r="G830" s="1">
        <v>45840</v>
      </c>
      <c r="H830" s="1">
        <v>45846</v>
      </c>
      <c r="I830" s="2">
        <v>1200</v>
      </c>
      <c r="J830" t="s">
        <v>779</v>
      </c>
      <c r="K830" t="s">
        <v>783</v>
      </c>
      <c r="L830" t="s">
        <v>823</v>
      </c>
      <c r="M830" t="s">
        <v>828</v>
      </c>
      <c r="N830" t="str">
        <f t="shared" si="36"/>
        <v>T-3</v>
      </c>
      <c r="O830">
        <f t="shared" si="37"/>
        <v>2025</v>
      </c>
      <c r="P830" t="str">
        <f t="shared" si="38"/>
        <v>7. julio</v>
      </c>
    </row>
    <row r="831" spans="1:16" x14ac:dyDescent="0.35">
      <c r="A831">
        <v>750047</v>
      </c>
      <c r="B831" t="s">
        <v>31</v>
      </c>
      <c r="C831" t="s">
        <v>138</v>
      </c>
      <c r="D831" t="s">
        <v>452</v>
      </c>
      <c r="E831" t="s">
        <v>740</v>
      </c>
      <c r="F831" t="s">
        <v>187</v>
      </c>
      <c r="G831" s="1">
        <v>45840</v>
      </c>
      <c r="H831" s="1">
        <v>45846</v>
      </c>
      <c r="I831" s="2">
        <v>208</v>
      </c>
      <c r="J831" t="s">
        <v>779</v>
      </c>
      <c r="K831" t="s">
        <v>783</v>
      </c>
      <c r="L831" t="s">
        <v>823</v>
      </c>
      <c r="M831" t="s">
        <v>828</v>
      </c>
      <c r="N831" t="str">
        <f t="shared" si="36"/>
        <v>T-3</v>
      </c>
      <c r="O831">
        <f t="shared" si="37"/>
        <v>2025</v>
      </c>
      <c r="P831" t="str">
        <f t="shared" si="38"/>
        <v>7. julio</v>
      </c>
    </row>
    <row r="832" spans="1:16" x14ac:dyDescent="0.35">
      <c r="A832">
        <v>751600</v>
      </c>
      <c r="B832" t="s">
        <v>31</v>
      </c>
      <c r="C832" t="s">
        <v>136</v>
      </c>
      <c r="D832" t="s">
        <v>452</v>
      </c>
      <c r="E832" t="s">
        <v>740</v>
      </c>
      <c r="F832" t="s">
        <v>187</v>
      </c>
      <c r="G832" s="1">
        <v>45840</v>
      </c>
      <c r="H832" s="1">
        <v>45846</v>
      </c>
      <c r="I832" s="2">
        <v>208</v>
      </c>
      <c r="J832" t="s">
        <v>779</v>
      </c>
      <c r="K832" t="s">
        <v>808</v>
      </c>
      <c r="L832" t="s">
        <v>823</v>
      </c>
      <c r="M832" t="s">
        <v>829</v>
      </c>
      <c r="N832" t="str">
        <f t="shared" si="36"/>
        <v>T-3</v>
      </c>
      <c r="O832">
        <f t="shared" si="37"/>
        <v>2025</v>
      </c>
      <c r="P832" t="str">
        <f t="shared" si="38"/>
        <v>7. julio</v>
      </c>
    </row>
    <row r="833" spans="1:16" x14ac:dyDescent="0.35">
      <c r="A833">
        <v>110767</v>
      </c>
      <c r="B833" t="s">
        <v>76</v>
      </c>
      <c r="C833" t="s">
        <v>139</v>
      </c>
      <c r="D833" t="s">
        <v>452</v>
      </c>
      <c r="E833" t="s">
        <v>740</v>
      </c>
      <c r="F833" t="s">
        <v>187</v>
      </c>
      <c r="G833" s="1">
        <v>45840</v>
      </c>
      <c r="H833" s="1">
        <v>45846</v>
      </c>
      <c r="I833" s="2">
        <v>208</v>
      </c>
      <c r="J833" t="s">
        <v>779</v>
      </c>
      <c r="K833" t="s">
        <v>783</v>
      </c>
      <c r="L833" t="s">
        <v>824</v>
      </c>
      <c r="M833" t="s">
        <v>830</v>
      </c>
      <c r="N833" t="str">
        <f t="shared" si="36"/>
        <v>T-3</v>
      </c>
      <c r="O833">
        <f t="shared" si="37"/>
        <v>2025</v>
      </c>
      <c r="P833" t="str">
        <f t="shared" si="38"/>
        <v>7. julio</v>
      </c>
    </row>
    <row r="834" spans="1:16" x14ac:dyDescent="0.35">
      <c r="A834">
        <v>499669</v>
      </c>
      <c r="B834" t="s">
        <v>24</v>
      </c>
      <c r="C834" t="s">
        <v>138</v>
      </c>
      <c r="D834" t="s">
        <v>164</v>
      </c>
      <c r="E834" t="s">
        <v>675</v>
      </c>
      <c r="F834" t="s">
        <v>187</v>
      </c>
      <c r="G834" s="1">
        <v>45847</v>
      </c>
      <c r="H834" s="1">
        <v>45853</v>
      </c>
      <c r="I834" s="2">
        <v>1463.54</v>
      </c>
      <c r="J834" t="s">
        <v>779</v>
      </c>
      <c r="K834" t="s">
        <v>783</v>
      </c>
      <c r="L834" t="s">
        <v>823</v>
      </c>
      <c r="M834" t="s">
        <v>830</v>
      </c>
      <c r="N834" t="str">
        <f t="shared" si="36"/>
        <v>T-3</v>
      </c>
      <c r="O834">
        <f t="shared" si="37"/>
        <v>2025</v>
      </c>
      <c r="P834" t="str">
        <f t="shared" si="38"/>
        <v>7. julio</v>
      </c>
    </row>
    <row r="835" spans="1:16" x14ac:dyDescent="0.35">
      <c r="A835">
        <v>391020</v>
      </c>
      <c r="B835" t="s">
        <v>13</v>
      </c>
      <c r="C835" t="s">
        <v>138</v>
      </c>
      <c r="D835" t="s">
        <v>164</v>
      </c>
      <c r="E835" t="s">
        <v>675</v>
      </c>
      <c r="F835" t="s">
        <v>187</v>
      </c>
      <c r="G835" s="1">
        <v>45847</v>
      </c>
      <c r="H835" s="1">
        <v>45853</v>
      </c>
      <c r="I835" s="2">
        <v>208</v>
      </c>
      <c r="J835" t="s">
        <v>779</v>
      </c>
      <c r="K835" t="s">
        <v>783</v>
      </c>
      <c r="L835" t="s">
        <v>823</v>
      </c>
      <c r="M835" t="s">
        <v>828</v>
      </c>
      <c r="N835" t="str">
        <f t="shared" ref="N835:N898" si="39">"T-" &amp; ROUNDUP((MONTH(G835)/3), 0)</f>
        <v>T-3</v>
      </c>
      <c r="O835">
        <f t="shared" ref="O835:O898" si="40">YEAR(G835)</f>
        <v>2025</v>
      </c>
      <c r="P835" t="str">
        <f t="shared" ref="P835:P898" si="41">MONTH(G835) &amp; ". " &amp; TEXT(G835, "MMMM")</f>
        <v>7. julio</v>
      </c>
    </row>
    <row r="836" spans="1:16" x14ac:dyDescent="0.35">
      <c r="A836">
        <v>564863</v>
      </c>
      <c r="B836" t="s">
        <v>45</v>
      </c>
      <c r="C836" t="s">
        <v>140</v>
      </c>
      <c r="D836" t="s">
        <v>164</v>
      </c>
      <c r="E836" t="s">
        <v>675</v>
      </c>
      <c r="F836" t="s">
        <v>187</v>
      </c>
      <c r="G836" s="1">
        <v>45840</v>
      </c>
      <c r="H836" s="1">
        <v>45853</v>
      </c>
      <c r="I836" s="2">
        <v>208</v>
      </c>
      <c r="J836" t="s">
        <v>779</v>
      </c>
      <c r="K836" t="s">
        <v>796</v>
      </c>
      <c r="L836" t="s">
        <v>823</v>
      </c>
      <c r="M836" t="s">
        <v>830</v>
      </c>
      <c r="N836" t="str">
        <f t="shared" si="39"/>
        <v>T-3</v>
      </c>
      <c r="O836">
        <f t="shared" si="40"/>
        <v>2025</v>
      </c>
      <c r="P836" t="str">
        <f t="shared" si="41"/>
        <v>7. julio</v>
      </c>
    </row>
    <row r="837" spans="1:16" x14ac:dyDescent="0.35">
      <c r="A837">
        <v>496586</v>
      </c>
      <c r="B837" t="s">
        <v>25</v>
      </c>
      <c r="C837" t="s">
        <v>139</v>
      </c>
      <c r="D837" t="s">
        <v>164</v>
      </c>
      <c r="E837" t="s">
        <v>675</v>
      </c>
      <c r="F837" t="s">
        <v>187</v>
      </c>
      <c r="G837" s="1">
        <v>45840</v>
      </c>
      <c r="H837" s="1">
        <v>45846</v>
      </c>
      <c r="I837" s="2">
        <v>416</v>
      </c>
      <c r="J837" t="s">
        <v>779</v>
      </c>
      <c r="K837" t="s">
        <v>783</v>
      </c>
      <c r="L837" t="s">
        <v>823</v>
      </c>
      <c r="M837" t="s">
        <v>829</v>
      </c>
      <c r="N837" t="str">
        <f t="shared" si="39"/>
        <v>T-3</v>
      </c>
      <c r="O837">
        <f t="shared" si="40"/>
        <v>2025</v>
      </c>
      <c r="P837" t="str">
        <f t="shared" si="41"/>
        <v>7. julio</v>
      </c>
    </row>
    <row r="838" spans="1:16" x14ac:dyDescent="0.35">
      <c r="A838">
        <v>705538</v>
      </c>
      <c r="B838" t="s">
        <v>89</v>
      </c>
      <c r="C838" t="s">
        <v>138</v>
      </c>
      <c r="D838" t="s">
        <v>164</v>
      </c>
      <c r="E838" t="s">
        <v>675</v>
      </c>
      <c r="F838" t="s">
        <v>187</v>
      </c>
      <c r="G838" s="1">
        <v>45840</v>
      </c>
      <c r="H838" s="1">
        <v>45853</v>
      </c>
      <c r="I838" s="2">
        <v>1040</v>
      </c>
      <c r="J838" t="s">
        <v>779</v>
      </c>
      <c r="K838" t="s">
        <v>783</v>
      </c>
      <c r="L838" t="s">
        <v>823</v>
      </c>
      <c r="M838" t="s">
        <v>830</v>
      </c>
      <c r="N838" t="str">
        <f t="shared" si="39"/>
        <v>T-3</v>
      </c>
      <c r="O838">
        <f t="shared" si="40"/>
        <v>2025</v>
      </c>
      <c r="P838" t="str">
        <f t="shared" si="41"/>
        <v>7. julio</v>
      </c>
    </row>
    <row r="839" spans="1:16" x14ac:dyDescent="0.35">
      <c r="A839">
        <v>463399</v>
      </c>
      <c r="B839" t="s">
        <v>17</v>
      </c>
      <c r="C839" t="s">
        <v>139</v>
      </c>
      <c r="D839" t="s">
        <v>164</v>
      </c>
      <c r="E839" t="s">
        <v>675</v>
      </c>
      <c r="F839" t="s">
        <v>187</v>
      </c>
      <c r="G839" s="1">
        <v>45840</v>
      </c>
      <c r="H839" s="1">
        <v>45853</v>
      </c>
      <c r="I839" s="2">
        <v>208</v>
      </c>
      <c r="J839" t="s">
        <v>779</v>
      </c>
      <c r="K839" t="s">
        <v>790</v>
      </c>
      <c r="L839" t="s">
        <v>823</v>
      </c>
      <c r="M839" t="s">
        <v>830</v>
      </c>
      <c r="N839" t="str">
        <f t="shared" si="39"/>
        <v>T-3</v>
      </c>
      <c r="O839">
        <f t="shared" si="40"/>
        <v>2025</v>
      </c>
      <c r="P839" t="str">
        <f t="shared" si="41"/>
        <v>7. julio</v>
      </c>
    </row>
    <row r="840" spans="1:16" x14ac:dyDescent="0.35">
      <c r="A840">
        <v>603962</v>
      </c>
      <c r="B840" t="s">
        <v>13</v>
      </c>
      <c r="C840" t="s">
        <v>138</v>
      </c>
      <c r="D840" t="s">
        <v>156</v>
      </c>
      <c r="E840" t="s">
        <v>673</v>
      </c>
      <c r="F840" t="s">
        <v>187</v>
      </c>
      <c r="G840" s="1">
        <v>45817</v>
      </c>
      <c r="H840" s="1">
        <v>45817</v>
      </c>
      <c r="I840" s="2">
        <v>2875</v>
      </c>
      <c r="J840" t="s">
        <v>779</v>
      </c>
      <c r="K840" t="s">
        <v>790</v>
      </c>
      <c r="L840" t="s">
        <v>823</v>
      </c>
      <c r="M840" t="s">
        <v>828</v>
      </c>
      <c r="N840" t="str">
        <f t="shared" si="39"/>
        <v>T-2</v>
      </c>
      <c r="O840">
        <f t="shared" si="40"/>
        <v>2025</v>
      </c>
      <c r="P840" t="str">
        <f t="shared" si="41"/>
        <v>6. junio</v>
      </c>
    </row>
    <row r="841" spans="1:16" x14ac:dyDescent="0.35">
      <c r="A841">
        <v>151445</v>
      </c>
      <c r="B841" t="s">
        <v>23</v>
      </c>
      <c r="C841" t="s">
        <v>139</v>
      </c>
      <c r="D841" t="s">
        <v>156</v>
      </c>
      <c r="E841" t="s">
        <v>673</v>
      </c>
      <c r="F841" t="s">
        <v>187</v>
      </c>
      <c r="G841" s="1">
        <v>45818</v>
      </c>
      <c r="H841" s="1">
        <v>45818</v>
      </c>
      <c r="I841" s="2">
        <v>2500</v>
      </c>
      <c r="J841" t="s">
        <v>779</v>
      </c>
      <c r="K841" t="s">
        <v>807</v>
      </c>
      <c r="L841" t="s">
        <v>824</v>
      </c>
      <c r="M841" t="s">
        <v>828</v>
      </c>
      <c r="N841" t="str">
        <f t="shared" si="39"/>
        <v>T-2</v>
      </c>
      <c r="O841">
        <f t="shared" si="40"/>
        <v>2025</v>
      </c>
      <c r="P841" t="str">
        <f t="shared" si="41"/>
        <v>6. junio</v>
      </c>
    </row>
    <row r="842" spans="1:16" x14ac:dyDescent="0.35">
      <c r="A842">
        <v>567485</v>
      </c>
      <c r="B842" t="s">
        <v>24</v>
      </c>
      <c r="C842" t="s">
        <v>138</v>
      </c>
      <c r="D842" t="s">
        <v>453</v>
      </c>
      <c r="E842" t="s">
        <v>741</v>
      </c>
      <c r="F842" t="s">
        <v>187</v>
      </c>
      <c r="G842" s="1">
        <v>45811</v>
      </c>
      <c r="H842" s="1">
        <v>45818</v>
      </c>
      <c r="I842" s="2">
        <v>4500</v>
      </c>
      <c r="J842" t="s">
        <v>778</v>
      </c>
      <c r="K842" t="s">
        <v>807</v>
      </c>
      <c r="L842" t="s">
        <v>823</v>
      </c>
      <c r="M842" t="s">
        <v>830</v>
      </c>
      <c r="N842" t="str">
        <f t="shared" si="39"/>
        <v>T-2</v>
      </c>
      <c r="O842">
        <f t="shared" si="40"/>
        <v>2025</v>
      </c>
      <c r="P842" t="str">
        <f t="shared" si="41"/>
        <v>6. junio</v>
      </c>
    </row>
    <row r="843" spans="1:16" x14ac:dyDescent="0.35">
      <c r="A843">
        <v>723963</v>
      </c>
      <c r="B843" t="s">
        <v>63</v>
      </c>
      <c r="C843" t="s">
        <v>136</v>
      </c>
      <c r="D843" t="s">
        <v>454</v>
      </c>
      <c r="E843" t="s">
        <v>678</v>
      </c>
      <c r="F843" t="s">
        <v>187</v>
      </c>
      <c r="G843" s="1">
        <v>45838</v>
      </c>
      <c r="H843" s="1">
        <v>45841</v>
      </c>
      <c r="I843" s="2">
        <v>260</v>
      </c>
      <c r="J843" t="s">
        <v>776</v>
      </c>
      <c r="K843" t="s">
        <v>789</v>
      </c>
      <c r="L843" t="s">
        <v>823</v>
      </c>
      <c r="M843" t="s">
        <v>829</v>
      </c>
      <c r="N843" t="str">
        <f t="shared" si="39"/>
        <v>T-2</v>
      </c>
      <c r="O843">
        <f t="shared" si="40"/>
        <v>2025</v>
      </c>
      <c r="P843" t="str">
        <f t="shared" si="41"/>
        <v>6. junio</v>
      </c>
    </row>
    <row r="844" spans="1:16" x14ac:dyDescent="0.35">
      <c r="A844">
        <v>712810</v>
      </c>
      <c r="B844" t="s">
        <v>8</v>
      </c>
      <c r="C844" t="s">
        <v>137</v>
      </c>
      <c r="D844" t="s">
        <v>455</v>
      </c>
      <c r="E844" t="s">
        <v>678</v>
      </c>
      <c r="F844" t="s">
        <v>187</v>
      </c>
      <c r="G844" s="1">
        <v>45845</v>
      </c>
      <c r="H844" s="1">
        <v>45849</v>
      </c>
      <c r="I844" s="2">
        <v>390</v>
      </c>
      <c r="J844" t="s">
        <v>776</v>
      </c>
      <c r="K844" t="s">
        <v>790</v>
      </c>
      <c r="L844" t="s">
        <v>823</v>
      </c>
      <c r="M844" t="s">
        <v>830</v>
      </c>
      <c r="N844" t="str">
        <f t="shared" si="39"/>
        <v>T-3</v>
      </c>
      <c r="O844">
        <f t="shared" si="40"/>
        <v>2025</v>
      </c>
      <c r="P844" t="str">
        <f t="shared" si="41"/>
        <v>7. julio</v>
      </c>
    </row>
    <row r="845" spans="1:16" x14ac:dyDescent="0.35">
      <c r="A845">
        <v>713914</v>
      </c>
      <c r="B845" t="s">
        <v>33</v>
      </c>
      <c r="C845" t="s">
        <v>138</v>
      </c>
      <c r="D845" t="s">
        <v>181</v>
      </c>
      <c r="E845" t="s">
        <v>678</v>
      </c>
      <c r="F845" t="s">
        <v>187</v>
      </c>
      <c r="G845" s="1">
        <v>45849</v>
      </c>
      <c r="H845" s="1">
        <v>45853</v>
      </c>
      <c r="I845" s="2">
        <v>390</v>
      </c>
      <c r="J845" t="s">
        <v>776</v>
      </c>
      <c r="K845" t="s">
        <v>807</v>
      </c>
      <c r="L845" t="s">
        <v>823</v>
      </c>
      <c r="M845" t="s">
        <v>830</v>
      </c>
      <c r="N845" t="str">
        <f t="shared" si="39"/>
        <v>T-3</v>
      </c>
      <c r="O845">
        <f t="shared" si="40"/>
        <v>2025</v>
      </c>
      <c r="P845" t="str">
        <f t="shared" si="41"/>
        <v>7. julio</v>
      </c>
    </row>
    <row r="846" spans="1:16" x14ac:dyDescent="0.35">
      <c r="A846">
        <v>364075</v>
      </c>
      <c r="B846" t="s">
        <v>19</v>
      </c>
      <c r="C846" t="s">
        <v>138</v>
      </c>
      <c r="D846" t="s">
        <v>457</v>
      </c>
      <c r="E846" t="s">
        <v>678</v>
      </c>
      <c r="F846" t="s">
        <v>187</v>
      </c>
      <c r="G846" s="1">
        <v>45838</v>
      </c>
      <c r="H846" s="1">
        <v>45842</v>
      </c>
      <c r="I846" s="2">
        <v>3575</v>
      </c>
      <c r="J846" t="s">
        <v>776</v>
      </c>
      <c r="K846" t="s">
        <v>796</v>
      </c>
      <c r="L846" t="s">
        <v>823</v>
      </c>
      <c r="M846" t="s">
        <v>828</v>
      </c>
      <c r="N846" t="str">
        <f t="shared" si="39"/>
        <v>T-2</v>
      </c>
      <c r="O846">
        <f t="shared" si="40"/>
        <v>2025</v>
      </c>
      <c r="P846" t="str">
        <f t="shared" si="41"/>
        <v>6. junio</v>
      </c>
    </row>
    <row r="847" spans="1:16" x14ac:dyDescent="0.35">
      <c r="A847">
        <v>110726</v>
      </c>
      <c r="B847" t="s">
        <v>81</v>
      </c>
      <c r="C847" t="s">
        <v>138</v>
      </c>
      <c r="D847" t="s">
        <v>455</v>
      </c>
      <c r="E847" t="s">
        <v>678</v>
      </c>
      <c r="F847" t="s">
        <v>187</v>
      </c>
      <c r="G847" s="1">
        <v>45838</v>
      </c>
      <c r="H847" s="1">
        <v>45842</v>
      </c>
      <c r="I847" s="2">
        <v>4290</v>
      </c>
      <c r="J847" t="s">
        <v>776</v>
      </c>
      <c r="K847" t="s">
        <v>790</v>
      </c>
      <c r="L847" t="s">
        <v>824</v>
      </c>
      <c r="M847" t="s">
        <v>828</v>
      </c>
      <c r="N847" t="str">
        <f t="shared" si="39"/>
        <v>T-2</v>
      </c>
      <c r="O847">
        <f t="shared" si="40"/>
        <v>2025</v>
      </c>
      <c r="P847" t="str">
        <f t="shared" si="41"/>
        <v>6. junio</v>
      </c>
    </row>
    <row r="848" spans="1:16" x14ac:dyDescent="0.35">
      <c r="A848">
        <v>478416</v>
      </c>
      <c r="B848" t="s">
        <v>62</v>
      </c>
      <c r="C848" t="s">
        <v>138</v>
      </c>
      <c r="D848" t="s">
        <v>455</v>
      </c>
      <c r="E848" t="s">
        <v>678</v>
      </c>
      <c r="F848" t="s">
        <v>187</v>
      </c>
      <c r="G848" s="1">
        <v>45845</v>
      </c>
      <c r="H848" s="1">
        <v>45849</v>
      </c>
      <c r="I848" s="2">
        <v>2340</v>
      </c>
      <c r="J848" t="s">
        <v>776</v>
      </c>
      <c r="K848" t="s">
        <v>783</v>
      </c>
      <c r="L848" t="s">
        <v>823</v>
      </c>
      <c r="M848" t="s">
        <v>829</v>
      </c>
      <c r="N848" t="str">
        <f t="shared" si="39"/>
        <v>T-3</v>
      </c>
      <c r="O848">
        <f t="shared" si="40"/>
        <v>2025</v>
      </c>
      <c r="P848" t="str">
        <f t="shared" si="41"/>
        <v>7. julio</v>
      </c>
    </row>
    <row r="849" spans="1:16" x14ac:dyDescent="0.35">
      <c r="A849">
        <v>601230</v>
      </c>
      <c r="B849" t="s">
        <v>13</v>
      </c>
      <c r="C849" t="s">
        <v>136</v>
      </c>
      <c r="D849" t="s">
        <v>458</v>
      </c>
      <c r="E849" t="s">
        <v>678</v>
      </c>
      <c r="F849" t="s">
        <v>187</v>
      </c>
      <c r="G849" s="1">
        <v>45833</v>
      </c>
      <c r="H849" s="1">
        <v>45835</v>
      </c>
      <c r="I849" s="2">
        <v>1755</v>
      </c>
      <c r="J849" t="s">
        <v>776</v>
      </c>
      <c r="K849" t="s">
        <v>788</v>
      </c>
      <c r="L849" t="s">
        <v>823</v>
      </c>
      <c r="M849" t="s">
        <v>830</v>
      </c>
      <c r="N849" t="str">
        <f t="shared" si="39"/>
        <v>T-2</v>
      </c>
      <c r="O849">
        <f t="shared" si="40"/>
        <v>2025</v>
      </c>
      <c r="P849" t="str">
        <f t="shared" si="41"/>
        <v>6. junio</v>
      </c>
    </row>
    <row r="850" spans="1:16" x14ac:dyDescent="0.35">
      <c r="A850">
        <v>588254</v>
      </c>
      <c r="B850" t="s">
        <v>31</v>
      </c>
      <c r="C850" t="s">
        <v>139</v>
      </c>
      <c r="D850" t="s">
        <v>459</v>
      </c>
      <c r="E850" t="s">
        <v>678</v>
      </c>
      <c r="F850" t="s">
        <v>187</v>
      </c>
      <c r="G850" s="1">
        <v>45834</v>
      </c>
      <c r="H850" s="1">
        <v>45835</v>
      </c>
      <c r="I850" s="2">
        <v>260</v>
      </c>
      <c r="J850" t="s">
        <v>776</v>
      </c>
      <c r="K850" t="s">
        <v>785</v>
      </c>
      <c r="L850" t="s">
        <v>823</v>
      </c>
      <c r="M850" t="s">
        <v>830</v>
      </c>
      <c r="N850" t="str">
        <f t="shared" si="39"/>
        <v>T-2</v>
      </c>
      <c r="O850">
        <f t="shared" si="40"/>
        <v>2025</v>
      </c>
      <c r="P850" t="str">
        <f t="shared" si="41"/>
        <v>6. junio</v>
      </c>
    </row>
    <row r="851" spans="1:16" x14ac:dyDescent="0.35">
      <c r="A851">
        <v>717867</v>
      </c>
      <c r="B851" t="s">
        <v>2</v>
      </c>
      <c r="C851" t="s">
        <v>137</v>
      </c>
      <c r="D851" t="s">
        <v>457</v>
      </c>
      <c r="E851" t="s">
        <v>678</v>
      </c>
      <c r="F851" t="s">
        <v>187</v>
      </c>
      <c r="G851" s="1">
        <v>45838</v>
      </c>
      <c r="H851" s="1">
        <v>45842</v>
      </c>
      <c r="I851" s="2">
        <v>650</v>
      </c>
      <c r="J851" t="s">
        <v>776</v>
      </c>
      <c r="K851" t="s">
        <v>788</v>
      </c>
      <c r="L851" t="s">
        <v>823</v>
      </c>
      <c r="M851" t="s">
        <v>828</v>
      </c>
      <c r="N851" t="str">
        <f t="shared" si="39"/>
        <v>T-2</v>
      </c>
      <c r="O851">
        <f t="shared" si="40"/>
        <v>2025</v>
      </c>
      <c r="P851" t="str">
        <f t="shared" si="41"/>
        <v>6. junio</v>
      </c>
    </row>
    <row r="852" spans="1:16" x14ac:dyDescent="0.35">
      <c r="A852">
        <v>717013</v>
      </c>
      <c r="B852" t="s">
        <v>2</v>
      </c>
      <c r="C852" t="s">
        <v>137</v>
      </c>
      <c r="D852" t="s">
        <v>460</v>
      </c>
      <c r="E852" t="s">
        <v>678</v>
      </c>
      <c r="F852" t="s">
        <v>187</v>
      </c>
      <c r="G852" s="1">
        <v>45838</v>
      </c>
      <c r="H852" s="1">
        <v>45840</v>
      </c>
      <c r="I852" s="2">
        <v>624</v>
      </c>
      <c r="J852" t="s">
        <v>776</v>
      </c>
      <c r="K852" t="s">
        <v>783</v>
      </c>
      <c r="L852" t="s">
        <v>823</v>
      </c>
      <c r="M852" t="s">
        <v>830</v>
      </c>
      <c r="N852" t="str">
        <f t="shared" si="39"/>
        <v>T-2</v>
      </c>
      <c r="O852">
        <f t="shared" si="40"/>
        <v>2025</v>
      </c>
      <c r="P852" t="str">
        <f t="shared" si="41"/>
        <v>6. junio</v>
      </c>
    </row>
    <row r="853" spans="1:16" x14ac:dyDescent="0.35">
      <c r="A853">
        <v>701096</v>
      </c>
      <c r="B853" t="s">
        <v>19</v>
      </c>
      <c r="C853" t="s">
        <v>138</v>
      </c>
      <c r="D853" t="s">
        <v>455</v>
      </c>
      <c r="E853" t="s">
        <v>678</v>
      </c>
      <c r="F853" t="s">
        <v>187</v>
      </c>
      <c r="G853" s="1">
        <v>45838</v>
      </c>
      <c r="H853" s="1">
        <v>45842</v>
      </c>
      <c r="I853" s="2">
        <v>390</v>
      </c>
      <c r="J853" t="s">
        <v>776</v>
      </c>
      <c r="K853" t="s">
        <v>783</v>
      </c>
      <c r="L853" t="s">
        <v>823</v>
      </c>
      <c r="M853" t="s">
        <v>829</v>
      </c>
      <c r="N853" t="str">
        <f t="shared" si="39"/>
        <v>T-2</v>
      </c>
      <c r="O853">
        <f t="shared" si="40"/>
        <v>2025</v>
      </c>
      <c r="P853" t="str">
        <f t="shared" si="41"/>
        <v>6. junio</v>
      </c>
    </row>
    <row r="854" spans="1:16" x14ac:dyDescent="0.35">
      <c r="A854">
        <v>607279</v>
      </c>
      <c r="B854" t="s">
        <v>13</v>
      </c>
      <c r="C854" t="s">
        <v>138</v>
      </c>
      <c r="D854" t="s">
        <v>461</v>
      </c>
      <c r="E854" t="s">
        <v>678</v>
      </c>
      <c r="F854" t="s">
        <v>187</v>
      </c>
      <c r="G854" s="1">
        <v>45841</v>
      </c>
      <c r="H854" s="1">
        <v>45842</v>
      </c>
      <c r="I854" s="2">
        <v>832</v>
      </c>
      <c r="J854" t="s">
        <v>776</v>
      </c>
      <c r="K854" t="s">
        <v>783</v>
      </c>
      <c r="L854" t="s">
        <v>824</v>
      </c>
      <c r="M854" t="s">
        <v>830</v>
      </c>
      <c r="N854" t="str">
        <f t="shared" si="39"/>
        <v>T-3</v>
      </c>
      <c r="O854">
        <f t="shared" si="40"/>
        <v>2025</v>
      </c>
      <c r="P854" t="str">
        <f t="shared" si="41"/>
        <v>7. julio</v>
      </c>
    </row>
    <row r="855" spans="1:16" x14ac:dyDescent="0.35">
      <c r="A855">
        <v>611173</v>
      </c>
      <c r="B855" t="s">
        <v>13</v>
      </c>
      <c r="C855" t="s">
        <v>136</v>
      </c>
      <c r="D855" t="s">
        <v>462</v>
      </c>
      <c r="E855" t="s">
        <v>678</v>
      </c>
      <c r="F855" t="s">
        <v>187</v>
      </c>
      <c r="G855" s="1">
        <v>45845</v>
      </c>
      <c r="H855" s="1">
        <v>45853</v>
      </c>
      <c r="I855" s="2">
        <v>1040</v>
      </c>
      <c r="J855" t="s">
        <v>776</v>
      </c>
      <c r="K855" t="s">
        <v>783</v>
      </c>
      <c r="L855" t="s">
        <v>823</v>
      </c>
      <c r="M855" t="s">
        <v>830</v>
      </c>
      <c r="N855" t="str">
        <f t="shared" si="39"/>
        <v>T-3</v>
      </c>
      <c r="O855">
        <f t="shared" si="40"/>
        <v>2025</v>
      </c>
      <c r="P855" t="str">
        <f t="shared" si="41"/>
        <v>7. julio</v>
      </c>
    </row>
    <row r="856" spans="1:16" x14ac:dyDescent="0.35">
      <c r="A856">
        <v>700315</v>
      </c>
      <c r="B856" t="s">
        <v>85</v>
      </c>
      <c r="C856" t="s">
        <v>138</v>
      </c>
      <c r="D856" t="s">
        <v>463</v>
      </c>
      <c r="E856" t="s">
        <v>678</v>
      </c>
      <c r="F856" t="s">
        <v>187</v>
      </c>
      <c r="G856" s="1">
        <v>45845</v>
      </c>
      <c r="H856" s="1">
        <v>45847</v>
      </c>
      <c r="I856" s="2">
        <v>312</v>
      </c>
      <c r="J856" t="s">
        <v>776</v>
      </c>
      <c r="K856" t="s">
        <v>785</v>
      </c>
      <c r="L856" t="s">
        <v>823</v>
      </c>
      <c r="M856" t="s">
        <v>828</v>
      </c>
      <c r="N856" t="str">
        <f t="shared" si="39"/>
        <v>T-3</v>
      </c>
      <c r="O856">
        <f t="shared" si="40"/>
        <v>2025</v>
      </c>
      <c r="P856" t="str">
        <f t="shared" si="41"/>
        <v>7. julio</v>
      </c>
    </row>
    <row r="857" spans="1:16" x14ac:dyDescent="0.35">
      <c r="A857">
        <v>713650</v>
      </c>
      <c r="B857" t="s">
        <v>30</v>
      </c>
      <c r="C857" t="s">
        <v>137</v>
      </c>
      <c r="D857" t="s">
        <v>464</v>
      </c>
      <c r="E857" t="s">
        <v>678</v>
      </c>
      <c r="F857" t="s">
        <v>187</v>
      </c>
      <c r="G857" s="1">
        <v>45845</v>
      </c>
      <c r="H857" s="1">
        <v>45849</v>
      </c>
      <c r="I857" s="2">
        <v>975</v>
      </c>
      <c r="J857" t="s">
        <v>776</v>
      </c>
      <c r="K857" t="s">
        <v>783</v>
      </c>
      <c r="L857" t="s">
        <v>823</v>
      </c>
      <c r="M857" t="s">
        <v>828</v>
      </c>
      <c r="N857" t="str">
        <f t="shared" si="39"/>
        <v>T-3</v>
      </c>
      <c r="O857">
        <f t="shared" si="40"/>
        <v>2025</v>
      </c>
      <c r="P857" t="str">
        <f t="shared" si="41"/>
        <v>7. julio</v>
      </c>
    </row>
    <row r="858" spans="1:16" x14ac:dyDescent="0.35">
      <c r="A858">
        <v>712610</v>
      </c>
      <c r="B858" t="s">
        <v>24</v>
      </c>
      <c r="C858" t="s">
        <v>138</v>
      </c>
      <c r="D858" t="s">
        <v>465</v>
      </c>
      <c r="E858" t="s">
        <v>678</v>
      </c>
      <c r="F858" t="s">
        <v>187</v>
      </c>
      <c r="G858" s="1">
        <v>45845</v>
      </c>
      <c r="H858" s="1">
        <v>45848</v>
      </c>
      <c r="I858" s="2">
        <v>1300</v>
      </c>
      <c r="J858" t="s">
        <v>776</v>
      </c>
      <c r="K858" t="s">
        <v>785</v>
      </c>
      <c r="L858" t="s">
        <v>823</v>
      </c>
      <c r="M858" t="s">
        <v>830</v>
      </c>
      <c r="N858" t="str">
        <f t="shared" si="39"/>
        <v>T-3</v>
      </c>
      <c r="O858">
        <f t="shared" si="40"/>
        <v>2025</v>
      </c>
      <c r="P858" t="str">
        <f t="shared" si="41"/>
        <v>7. julio</v>
      </c>
    </row>
    <row r="859" spans="1:16" x14ac:dyDescent="0.35">
      <c r="A859">
        <v>722394</v>
      </c>
      <c r="B859" t="s">
        <v>7</v>
      </c>
      <c r="C859" t="s">
        <v>138</v>
      </c>
      <c r="D859" t="s">
        <v>466</v>
      </c>
      <c r="E859" t="s">
        <v>678</v>
      </c>
      <c r="F859" t="s">
        <v>187</v>
      </c>
      <c r="G859" s="1">
        <v>45838</v>
      </c>
      <c r="H859" s="1">
        <v>45842</v>
      </c>
      <c r="I859" s="2">
        <v>4160</v>
      </c>
      <c r="J859" t="s">
        <v>776</v>
      </c>
      <c r="K859" t="s">
        <v>791</v>
      </c>
      <c r="L859" t="s">
        <v>823</v>
      </c>
      <c r="M859" t="s">
        <v>829</v>
      </c>
      <c r="N859" t="str">
        <f t="shared" si="39"/>
        <v>T-2</v>
      </c>
      <c r="O859">
        <f t="shared" si="40"/>
        <v>2025</v>
      </c>
      <c r="P859" t="str">
        <f t="shared" si="41"/>
        <v>6. junio</v>
      </c>
    </row>
    <row r="860" spans="1:16" x14ac:dyDescent="0.35">
      <c r="A860">
        <v>420939</v>
      </c>
      <c r="B860" t="s">
        <v>5</v>
      </c>
      <c r="C860" t="s">
        <v>138</v>
      </c>
      <c r="D860" t="s">
        <v>455</v>
      </c>
      <c r="E860" t="s">
        <v>678</v>
      </c>
      <c r="F860" t="s">
        <v>187</v>
      </c>
      <c r="G860" s="1">
        <v>45845</v>
      </c>
      <c r="H860" s="1">
        <v>45849</v>
      </c>
      <c r="I860" s="2">
        <v>780</v>
      </c>
      <c r="J860" t="s">
        <v>776</v>
      </c>
      <c r="K860" t="s">
        <v>783</v>
      </c>
      <c r="L860" t="s">
        <v>823</v>
      </c>
      <c r="M860" t="s">
        <v>830</v>
      </c>
      <c r="N860" t="str">
        <f t="shared" si="39"/>
        <v>T-3</v>
      </c>
      <c r="O860">
        <f t="shared" si="40"/>
        <v>2025</v>
      </c>
      <c r="P860" t="str">
        <f t="shared" si="41"/>
        <v>7. julio</v>
      </c>
    </row>
    <row r="861" spans="1:16" x14ac:dyDescent="0.35">
      <c r="A861">
        <v>724106</v>
      </c>
      <c r="B861" t="s">
        <v>29</v>
      </c>
      <c r="C861" t="s">
        <v>136</v>
      </c>
      <c r="D861" t="s">
        <v>459</v>
      </c>
      <c r="E861" t="s">
        <v>678</v>
      </c>
      <c r="F861" t="s">
        <v>187</v>
      </c>
      <c r="G861" s="1">
        <v>45848</v>
      </c>
      <c r="H861" s="1">
        <v>45849</v>
      </c>
      <c r="I861" s="2">
        <v>390</v>
      </c>
      <c r="J861" t="s">
        <v>776</v>
      </c>
      <c r="K861" t="s">
        <v>783</v>
      </c>
      <c r="L861" t="s">
        <v>823</v>
      </c>
      <c r="M861" t="s">
        <v>830</v>
      </c>
      <c r="N861" t="str">
        <f t="shared" si="39"/>
        <v>T-3</v>
      </c>
      <c r="O861">
        <f t="shared" si="40"/>
        <v>2025</v>
      </c>
      <c r="P861" t="str">
        <f t="shared" si="41"/>
        <v>7. julio</v>
      </c>
    </row>
    <row r="862" spans="1:16" x14ac:dyDescent="0.35">
      <c r="A862">
        <v>420065</v>
      </c>
      <c r="B862" t="s">
        <v>33</v>
      </c>
      <c r="C862" t="s">
        <v>136</v>
      </c>
      <c r="D862" t="s">
        <v>181</v>
      </c>
      <c r="E862" t="s">
        <v>678</v>
      </c>
      <c r="F862" t="s">
        <v>187</v>
      </c>
      <c r="G862" s="1">
        <v>45849</v>
      </c>
      <c r="H862" s="1">
        <v>45853</v>
      </c>
      <c r="I862" s="2">
        <v>1365</v>
      </c>
      <c r="J862" t="s">
        <v>776</v>
      </c>
      <c r="K862" t="s">
        <v>783</v>
      </c>
      <c r="L862" t="s">
        <v>824</v>
      </c>
      <c r="M862" t="s">
        <v>828</v>
      </c>
      <c r="N862" t="str">
        <f t="shared" si="39"/>
        <v>T-3</v>
      </c>
      <c r="O862">
        <f t="shared" si="40"/>
        <v>2025</v>
      </c>
      <c r="P862" t="str">
        <f t="shared" si="41"/>
        <v>7. julio</v>
      </c>
    </row>
    <row r="863" spans="1:16" x14ac:dyDescent="0.35">
      <c r="A863">
        <v>717523</v>
      </c>
      <c r="B863" t="s">
        <v>32</v>
      </c>
      <c r="C863" t="s">
        <v>137</v>
      </c>
      <c r="D863" t="s">
        <v>461</v>
      </c>
      <c r="E863" t="s">
        <v>678</v>
      </c>
      <c r="F863" t="s">
        <v>187</v>
      </c>
      <c r="G863" s="1">
        <v>45852</v>
      </c>
      <c r="H863" s="1">
        <v>45853</v>
      </c>
      <c r="I863" s="2">
        <v>1144</v>
      </c>
      <c r="J863" t="s">
        <v>776</v>
      </c>
      <c r="K863" t="s">
        <v>783</v>
      </c>
      <c r="L863" t="s">
        <v>823</v>
      </c>
      <c r="M863" t="s">
        <v>828</v>
      </c>
      <c r="N863" t="str">
        <f t="shared" si="39"/>
        <v>T-3</v>
      </c>
      <c r="O863">
        <f t="shared" si="40"/>
        <v>2025</v>
      </c>
      <c r="P863" t="str">
        <f t="shared" si="41"/>
        <v>7. julio</v>
      </c>
    </row>
    <row r="864" spans="1:16" x14ac:dyDescent="0.35">
      <c r="A864">
        <v>565802</v>
      </c>
      <c r="B864" t="s">
        <v>4</v>
      </c>
      <c r="C864" t="s">
        <v>138</v>
      </c>
      <c r="D864" t="s">
        <v>456</v>
      </c>
      <c r="E864" t="s">
        <v>678</v>
      </c>
      <c r="F864" t="s">
        <v>187</v>
      </c>
      <c r="G864" s="1">
        <v>45838</v>
      </c>
      <c r="H864" s="1">
        <v>45842</v>
      </c>
      <c r="I864" s="2">
        <v>1040</v>
      </c>
      <c r="J864" t="s">
        <v>776</v>
      </c>
      <c r="K864" t="s">
        <v>787</v>
      </c>
      <c r="L864" t="s">
        <v>823</v>
      </c>
      <c r="M864" t="s">
        <v>829</v>
      </c>
      <c r="N864" t="str">
        <f t="shared" si="39"/>
        <v>T-2</v>
      </c>
      <c r="O864">
        <f t="shared" si="40"/>
        <v>2025</v>
      </c>
      <c r="P864" t="str">
        <f t="shared" si="41"/>
        <v>6. junio</v>
      </c>
    </row>
    <row r="865" spans="1:16" x14ac:dyDescent="0.35">
      <c r="A865">
        <v>751549</v>
      </c>
      <c r="B865" t="s">
        <v>31</v>
      </c>
      <c r="C865" t="s">
        <v>136</v>
      </c>
      <c r="D865" t="s">
        <v>467</v>
      </c>
      <c r="E865" t="s">
        <v>695</v>
      </c>
      <c r="F865" t="s">
        <v>187</v>
      </c>
      <c r="G865" s="1">
        <v>45838</v>
      </c>
      <c r="H865" s="1">
        <v>45841</v>
      </c>
      <c r="I865" s="2">
        <v>416</v>
      </c>
      <c r="J865" t="s">
        <v>776</v>
      </c>
      <c r="K865" t="s">
        <v>787</v>
      </c>
      <c r="L865" t="s">
        <v>823</v>
      </c>
      <c r="M865" t="s">
        <v>830</v>
      </c>
      <c r="N865" t="str">
        <f t="shared" si="39"/>
        <v>T-2</v>
      </c>
      <c r="O865">
        <f t="shared" si="40"/>
        <v>2025</v>
      </c>
      <c r="P865" t="str">
        <f t="shared" si="41"/>
        <v>6. junio</v>
      </c>
    </row>
    <row r="866" spans="1:16" x14ac:dyDescent="0.35">
      <c r="A866">
        <v>752015</v>
      </c>
      <c r="B866" t="s">
        <v>31</v>
      </c>
      <c r="C866" t="s">
        <v>139</v>
      </c>
      <c r="D866" t="s">
        <v>468</v>
      </c>
      <c r="E866" t="s">
        <v>652</v>
      </c>
      <c r="F866" t="s">
        <v>187</v>
      </c>
      <c r="G866" s="1">
        <v>45838</v>
      </c>
      <c r="H866" s="1">
        <v>45841</v>
      </c>
      <c r="I866" s="2">
        <v>416</v>
      </c>
      <c r="J866" t="s">
        <v>776</v>
      </c>
      <c r="K866" t="s">
        <v>787</v>
      </c>
      <c r="L866" t="s">
        <v>823</v>
      </c>
      <c r="M866" t="s">
        <v>830</v>
      </c>
      <c r="N866" t="str">
        <f t="shared" si="39"/>
        <v>T-2</v>
      </c>
      <c r="O866">
        <f t="shared" si="40"/>
        <v>2025</v>
      </c>
      <c r="P866" t="str">
        <f t="shared" si="41"/>
        <v>6. junio</v>
      </c>
    </row>
    <row r="867" spans="1:16" x14ac:dyDescent="0.35">
      <c r="A867">
        <v>476545</v>
      </c>
      <c r="B867" t="s">
        <v>31</v>
      </c>
      <c r="C867" t="s">
        <v>138</v>
      </c>
      <c r="D867" t="s">
        <v>468</v>
      </c>
      <c r="E867" t="s">
        <v>652</v>
      </c>
      <c r="F867" t="s">
        <v>187</v>
      </c>
      <c r="G867" s="1">
        <v>45845</v>
      </c>
      <c r="H867" s="1">
        <v>45848</v>
      </c>
      <c r="I867" s="2">
        <v>208</v>
      </c>
      <c r="J867" t="s">
        <v>776</v>
      </c>
      <c r="K867" t="s">
        <v>787</v>
      </c>
      <c r="L867" t="s">
        <v>823</v>
      </c>
      <c r="M867" t="s">
        <v>828</v>
      </c>
      <c r="N867" t="str">
        <f t="shared" si="39"/>
        <v>T-3</v>
      </c>
      <c r="O867">
        <f t="shared" si="40"/>
        <v>2025</v>
      </c>
      <c r="P867" t="str">
        <f t="shared" si="41"/>
        <v>7. julio</v>
      </c>
    </row>
    <row r="868" spans="1:16" x14ac:dyDescent="0.35">
      <c r="A868">
        <v>750049</v>
      </c>
      <c r="B868" t="s">
        <v>31</v>
      </c>
      <c r="C868" t="s">
        <v>138</v>
      </c>
      <c r="D868" t="s">
        <v>378</v>
      </c>
      <c r="E868" t="s">
        <v>652</v>
      </c>
      <c r="F868" t="s">
        <v>187</v>
      </c>
      <c r="G868" s="1">
        <v>45845</v>
      </c>
      <c r="H868" s="1">
        <v>45848</v>
      </c>
      <c r="I868" s="2">
        <v>356.99</v>
      </c>
      <c r="J868" t="s">
        <v>776</v>
      </c>
      <c r="K868" t="s">
        <v>783</v>
      </c>
      <c r="L868" t="s">
        <v>824</v>
      </c>
      <c r="M868" t="s">
        <v>830</v>
      </c>
      <c r="N868" t="str">
        <f t="shared" si="39"/>
        <v>T-3</v>
      </c>
      <c r="O868">
        <f t="shared" si="40"/>
        <v>2025</v>
      </c>
      <c r="P868" t="str">
        <f t="shared" si="41"/>
        <v>7. julio</v>
      </c>
    </row>
    <row r="869" spans="1:16" x14ac:dyDescent="0.35">
      <c r="A869">
        <v>709416</v>
      </c>
      <c r="B869" t="s">
        <v>6</v>
      </c>
      <c r="C869" t="s">
        <v>136</v>
      </c>
      <c r="D869" t="s">
        <v>378</v>
      </c>
      <c r="E869" t="s">
        <v>652</v>
      </c>
      <c r="F869" t="s">
        <v>187</v>
      </c>
      <c r="G869" s="1">
        <v>45838</v>
      </c>
      <c r="H869" s="1">
        <v>45841</v>
      </c>
      <c r="I869" s="2">
        <v>416</v>
      </c>
      <c r="J869" t="s">
        <v>776</v>
      </c>
      <c r="K869" t="s">
        <v>783</v>
      </c>
      <c r="L869" t="s">
        <v>823</v>
      </c>
      <c r="M869" t="s">
        <v>829</v>
      </c>
      <c r="N869" t="str">
        <f t="shared" si="39"/>
        <v>T-2</v>
      </c>
      <c r="O869">
        <f t="shared" si="40"/>
        <v>2025</v>
      </c>
      <c r="P869" t="str">
        <f t="shared" si="41"/>
        <v>6. junio</v>
      </c>
    </row>
    <row r="870" spans="1:16" x14ac:dyDescent="0.35">
      <c r="A870">
        <v>497347</v>
      </c>
      <c r="B870" t="s">
        <v>24</v>
      </c>
      <c r="C870" t="s">
        <v>138</v>
      </c>
      <c r="D870" t="s">
        <v>469</v>
      </c>
      <c r="E870" t="s">
        <v>678</v>
      </c>
      <c r="F870" t="s">
        <v>187</v>
      </c>
      <c r="G870" s="1">
        <v>45831</v>
      </c>
      <c r="H870" s="1">
        <v>45833</v>
      </c>
      <c r="I870" s="2">
        <v>3510</v>
      </c>
      <c r="J870" t="s">
        <v>776</v>
      </c>
      <c r="K870" t="s">
        <v>783</v>
      </c>
      <c r="L870" t="s">
        <v>823</v>
      </c>
      <c r="M870" t="s">
        <v>830</v>
      </c>
      <c r="N870" t="str">
        <f t="shared" si="39"/>
        <v>T-2</v>
      </c>
      <c r="O870">
        <f t="shared" si="40"/>
        <v>2025</v>
      </c>
      <c r="P870" t="str">
        <f t="shared" si="41"/>
        <v>6. junio</v>
      </c>
    </row>
    <row r="871" spans="1:16" x14ac:dyDescent="0.35">
      <c r="A871">
        <v>721288</v>
      </c>
      <c r="B871" t="s">
        <v>4</v>
      </c>
      <c r="C871" t="s">
        <v>137</v>
      </c>
      <c r="D871" t="s">
        <v>458</v>
      </c>
      <c r="E871" t="s">
        <v>678</v>
      </c>
      <c r="F871" t="s">
        <v>187</v>
      </c>
      <c r="G871" s="1">
        <v>45833</v>
      </c>
      <c r="H871" s="1">
        <v>45835</v>
      </c>
      <c r="I871" s="2">
        <v>1560</v>
      </c>
      <c r="J871" t="s">
        <v>776</v>
      </c>
      <c r="K871" t="s">
        <v>783</v>
      </c>
      <c r="L871" t="s">
        <v>823</v>
      </c>
      <c r="M871" t="s">
        <v>830</v>
      </c>
      <c r="N871" t="str">
        <f t="shared" si="39"/>
        <v>T-2</v>
      </c>
      <c r="O871">
        <f t="shared" si="40"/>
        <v>2025</v>
      </c>
      <c r="P871" t="str">
        <f t="shared" si="41"/>
        <v>6. junio</v>
      </c>
    </row>
    <row r="872" spans="1:16" x14ac:dyDescent="0.35">
      <c r="A872">
        <v>711882</v>
      </c>
      <c r="B872" t="s">
        <v>19</v>
      </c>
      <c r="C872" t="s">
        <v>139</v>
      </c>
      <c r="D872" t="s">
        <v>459</v>
      </c>
      <c r="E872" t="s">
        <v>678</v>
      </c>
      <c r="F872" t="s">
        <v>187</v>
      </c>
      <c r="G872" s="1">
        <v>45834</v>
      </c>
      <c r="H872" s="1">
        <v>45835</v>
      </c>
      <c r="I872" s="2">
        <v>2210</v>
      </c>
      <c r="J872" t="s">
        <v>776</v>
      </c>
      <c r="K872" t="s">
        <v>794</v>
      </c>
      <c r="L872" t="s">
        <v>823</v>
      </c>
      <c r="M872" t="s">
        <v>828</v>
      </c>
      <c r="N872" t="str">
        <f t="shared" si="39"/>
        <v>T-2</v>
      </c>
      <c r="O872">
        <f t="shared" si="40"/>
        <v>2025</v>
      </c>
      <c r="P872" t="str">
        <f t="shared" si="41"/>
        <v>6. junio</v>
      </c>
    </row>
    <row r="873" spans="1:16" x14ac:dyDescent="0.35">
      <c r="A873">
        <v>503065</v>
      </c>
      <c r="B873" t="s">
        <v>104</v>
      </c>
      <c r="C873" t="s">
        <v>138</v>
      </c>
      <c r="D873" t="s">
        <v>457</v>
      </c>
      <c r="E873" t="s">
        <v>678</v>
      </c>
      <c r="F873" t="s">
        <v>187</v>
      </c>
      <c r="G873" s="1">
        <v>45838</v>
      </c>
      <c r="H873" s="1">
        <v>45842</v>
      </c>
      <c r="I873" s="2">
        <v>3575</v>
      </c>
      <c r="J873" t="s">
        <v>776</v>
      </c>
      <c r="K873" t="s">
        <v>787</v>
      </c>
      <c r="L873" t="s">
        <v>823</v>
      </c>
      <c r="M873" t="s">
        <v>828</v>
      </c>
      <c r="N873" t="str">
        <f t="shared" si="39"/>
        <v>T-2</v>
      </c>
      <c r="O873">
        <f t="shared" si="40"/>
        <v>2025</v>
      </c>
      <c r="P873" t="str">
        <f t="shared" si="41"/>
        <v>6. junio</v>
      </c>
    </row>
    <row r="874" spans="1:16" x14ac:dyDescent="0.35">
      <c r="A874">
        <v>709955</v>
      </c>
      <c r="B874" t="s">
        <v>3</v>
      </c>
      <c r="C874" t="s">
        <v>138</v>
      </c>
      <c r="D874" t="s">
        <v>454</v>
      </c>
      <c r="E874" t="s">
        <v>678</v>
      </c>
      <c r="F874" t="s">
        <v>187</v>
      </c>
      <c r="G874" s="1">
        <v>45838</v>
      </c>
      <c r="H874" s="1">
        <v>45841</v>
      </c>
      <c r="I874" s="2">
        <v>4160</v>
      </c>
      <c r="J874" t="s">
        <v>776</v>
      </c>
      <c r="K874" t="s">
        <v>783</v>
      </c>
      <c r="L874" t="s">
        <v>823</v>
      </c>
      <c r="M874" t="s">
        <v>830</v>
      </c>
      <c r="N874" t="str">
        <f t="shared" si="39"/>
        <v>T-2</v>
      </c>
      <c r="O874">
        <f t="shared" si="40"/>
        <v>2025</v>
      </c>
      <c r="P874" t="str">
        <f t="shared" si="41"/>
        <v>6. junio</v>
      </c>
    </row>
    <row r="875" spans="1:16" x14ac:dyDescent="0.35">
      <c r="A875">
        <v>722244</v>
      </c>
      <c r="B875" t="s">
        <v>23</v>
      </c>
      <c r="C875" t="s">
        <v>137</v>
      </c>
      <c r="D875" t="s">
        <v>185</v>
      </c>
      <c r="E875" t="s">
        <v>678</v>
      </c>
      <c r="F875" t="s">
        <v>187</v>
      </c>
      <c r="G875" s="1">
        <v>45838</v>
      </c>
      <c r="H875" s="1">
        <v>45841</v>
      </c>
      <c r="I875" s="2">
        <v>3120</v>
      </c>
      <c r="J875" t="s">
        <v>776</v>
      </c>
      <c r="K875" t="s">
        <v>804</v>
      </c>
      <c r="L875" t="s">
        <v>824</v>
      </c>
      <c r="M875" t="s">
        <v>829</v>
      </c>
      <c r="N875" t="str">
        <f t="shared" si="39"/>
        <v>T-2</v>
      </c>
      <c r="O875">
        <f t="shared" si="40"/>
        <v>2025</v>
      </c>
      <c r="P875" t="str">
        <f t="shared" si="41"/>
        <v>6. junio</v>
      </c>
    </row>
    <row r="876" spans="1:16" x14ac:dyDescent="0.35">
      <c r="A876">
        <v>711309</v>
      </c>
      <c r="B876" t="s">
        <v>26</v>
      </c>
      <c r="C876" t="s">
        <v>138</v>
      </c>
      <c r="D876" t="s">
        <v>460</v>
      </c>
      <c r="E876" t="s">
        <v>678</v>
      </c>
      <c r="F876" t="s">
        <v>187</v>
      </c>
      <c r="G876" s="1">
        <v>45838</v>
      </c>
      <c r="H876" s="1">
        <v>45840</v>
      </c>
      <c r="I876" s="2">
        <v>4992</v>
      </c>
      <c r="J876" t="s">
        <v>776</v>
      </c>
      <c r="K876" t="s">
        <v>783</v>
      </c>
      <c r="L876" t="s">
        <v>823</v>
      </c>
      <c r="M876" t="s">
        <v>830</v>
      </c>
      <c r="N876" t="str">
        <f t="shared" si="39"/>
        <v>T-2</v>
      </c>
      <c r="O876">
        <f t="shared" si="40"/>
        <v>2025</v>
      </c>
      <c r="P876" t="str">
        <f t="shared" si="41"/>
        <v>6. junio</v>
      </c>
    </row>
    <row r="877" spans="1:16" x14ac:dyDescent="0.35">
      <c r="A877">
        <v>717787</v>
      </c>
      <c r="B877" t="s">
        <v>56</v>
      </c>
      <c r="C877" t="s">
        <v>138</v>
      </c>
      <c r="D877" t="s">
        <v>463</v>
      </c>
      <c r="E877" t="s">
        <v>678</v>
      </c>
      <c r="F877" t="s">
        <v>187</v>
      </c>
      <c r="G877" s="1">
        <v>45845</v>
      </c>
      <c r="H877" s="1">
        <v>45847</v>
      </c>
      <c r="I877" s="2">
        <v>413</v>
      </c>
      <c r="J877" t="s">
        <v>776</v>
      </c>
      <c r="K877" t="s">
        <v>807</v>
      </c>
      <c r="L877" t="s">
        <v>823</v>
      </c>
      <c r="M877" t="s">
        <v>830</v>
      </c>
      <c r="N877" t="str">
        <f t="shared" si="39"/>
        <v>T-3</v>
      </c>
      <c r="O877">
        <f t="shared" si="40"/>
        <v>2025</v>
      </c>
      <c r="P877" t="str">
        <f t="shared" si="41"/>
        <v>7. julio</v>
      </c>
    </row>
    <row r="878" spans="1:16" x14ac:dyDescent="0.35">
      <c r="A878">
        <v>151549</v>
      </c>
      <c r="B878" t="s">
        <v>50</v>
      </c>
      <c r="C878" t="s">
        <v>139</v>
      </c>
      <c r="D878" t="s">
        <v>468</v>
      </c>
      <c r="E878" t="s">
        <v>652</v>
      </c>
      <c r="F878" t="s">
        <v>187</v>
      </c>
      <c r="G878" s="1">
        <v>45838</v>
      </c>
      <c r="H878" s="1">
        <v>45841</v>
      </c>
      <c r="I878" s="2">
        <v>2912</v>
      </c>
      <c r="J878" t="s">
        <v>776</v>
      </c>
      <c r="K878" t="s">
        <v>786</v>
      </c>
      <c r="L878" t="s">
        <v>823</v>
      </c>
      <c r="M878" t="s">
        <v>828</v>
      </c>
      <c r="N878" t="str">
        <f t="shared" si="39"/>
        <v>T-2</v>
      </c>
      <c r="O878">
        <f t="shared" si="40"/>
        <v>2025</v>
      </c>
      <c r="P878" t="str">
        <f t="shared" si="41"/>
        <v>6. junio</v>
      </c>
    </row>
    <row r="879" spans="1:16" x14ac:dyDescent="0.35">
      <c r="A879">
        <v>608660</v>
      </c>
      <c r="B879" t="s">
        <v>13</v>
      </c>
      <c r="C879" t="s">
        <v>138</v>
      </c>
      <c r="D879" t="s">
        <v>468</v>
      </c>
      <c r="E879" t="s">
        <v>652</v>
      </c>
      <c r="F879" t="s">
        <v>187</v>
      </c>
      <c r="G879" s="1">
        <v>45845</v>
      </c>
      <c r="H879" s="1">
        <v>45848</v>
      </c>
      <c r="I879" s="2">
        <v>1248</v>
      </c>
      <c r="J879" t="s">
        <v>776</v>
      </c>
      <c r="K879" t="s">
        <v>783</v>
      </c>
      <c r="L879" t="s">
        <v>823</v>
      </c>
      <c r="M879" t="s">
        <v>828</v>
      </c>
      <c r="N879" t="str">
        <f t="shared" si="39"/>
        <v>T-3</v>
      </c>
      <c r="O879">
        <f t="shared" si="40"/>
        <v>2025</v>
      </c>
      <c r="P879" t="str">
        <f t="shared" si="41"/>
        <v>7. julio</v>
      </c>
    </row>
    <row r="880" spans="1:16" x14ac:dyDescent="0.35">
      <c r="A880">
        <v>440110</v>
      </c>
      <c r="B880" t="s">
        <v>25</v>
      </c>
      <c r="C880" t="s">
        <v>138</v>
      </c>
      <c r="D880" t="s">
        <v>470</v>
      </c>
      <c r="E880" t="s">
        <v>652</v>
      </c>
      <c r="F880" t="s">
        <v>187</v>
      </c>
      <c r="G880" s="1">
        <v>45845</v>
      </c>
      <c r="H880" s="1">
        <v>45848</v>
      </c>
      <c r="I880" s="2">
        <v>1820</v>
      </c>
      <c r="J880" t="s">
        <v>776</v>
      </c>
      <c r="K880" t="s">
        <v>786</v>
      </c>
      <c r="L880" t="s">
        <v>823</v>
      </c>
      <c r="M880" t="s">
        <v>829</v>
      </c>
      <c r="N880" t="str">
        <f t="shared" si="39"/>
        <v>T-3</v>
      </c>
      <c r="O880">
        <f t="shared" si="40"/>
        <v>2025</v>
      </c>
      <c r="P880" t="str">
        <f t="shared" si="41"/>
        <v>7. julio</v>
      </c>
    </row>
    <row r="881" spans="1:16" x14ac:dyDescent="0.35">
      <c r="A881">
        <v>588201</v>
      </c>
      <c r="B881" t="s">
        <v>31</v>
      </c>
      <c r="C881" t="s">
        <v>138</v>
      </c>
      <c r="D881" t="s">
        <v>378</v>
      </c>
      <c r="E881" t="s">
        <v>652</v>
      </c>
      <c r="F881" t="s">
        <v>187</v>
      </c>
      <c r="G881" s="1">
        <v>45845</v>
      </c>
      <c r="H881" s="1">
        <v>45848</v>
      </c>
      <c r="I881" s="2">
        <v>285.52</v>
      </c>
      <c r="J881" t="s">
        <v>776</v>
      </c>
      <c r="K881" t="s">
        <v>783</v>
      </c>
      <c r="L881" t="s">
        <v>823</v>
      </c>
      <c r="M881" t="s">
        <v>830</v>
      </c>
      <c r="N881" t="str">
        <f t="shared" si="39"/>
        <v>T-3</v>
      </c>
      <c r="O881">
        <f t="shared" si="40"/>
        <v>2025</v>
      </c>
      <c r="P881" t="str">
        <f t="shared" si="41"/>
        <v>7. julio</v>
      </c>
    </row>
    <row r="882" spans="1:16" x14ac:dyDescent="0.35">
      <c r="A882">
        <v>399977</v>
      </c>
      <c r="B882" t="s">
        <v>13</v>
      </c>
      <c r="C882" t="s">
        <v>136</v>
      </c>
      <c r="D882" t="s">
        <v>177</v>
      </c>
      <c r="E882" t="s">
        <v>651</v>
      </c>
      <c r="F882" t="s">
        <v>187</v>
      </c>
      <c r="G882" s="1">
        <v>45831</v>
      </c>
      <c r="H882" s="1">
        <v>45833</v>
      </c>
      <c r="I882" s="2">
        <v>1091.18</v>
      </c>
      <c r="J882" t="s">
        <v>776</v>
      </c>
      <c r="K882" t="s">
        <v>783</v>
      </c>
      <c r="L882" t="s">
        <v>823</v>
      </c>
      <c r="M882" t="s">
        <v>830</v>
      </c>
      <c r="N882" t="str">
        <f t="shared" si="39"/>
        <v>T-2</v>
      </c>
      <c r="O882">
        <f t="shared" si="40"/>
        <v>2025</v>
      </c>
      <c r="P882" t="str">
        <f t="shared" si="41"/>
        <v>6. junio</v>
      </c>
    </row>
    <row r="883" spans="1:16" x14ac:dyDescent="0.35">
      <c r="A883">
        <v>493124</v>
      </c>
      <c r="B883" t="s">
        <v>30</v>
      </c>
      <c r="C883" t="s">
        <v>138</v>
      </c>
      <c r="D883" t="s">
        <v>177</v>
      </c>
      <c r="E883" t="s">
        <v>651</v>
      </c>
      <c r="F883" t="s">
        <v>187</v>
      </c>
      <c r="G883" s="1">
        <v>45838</v>
      </c>
      <c r="H883" s="1">
        <v>45840</v>
      </c>
      <c r="I883" s="2">
        <v>697.37</v>
      </c>
      <c r="J883" t="s">
        <v>776</v>
      </c>
      <c r="K883" t="s">
        <v>785</v>
      </c>
      <c r="L883" t="s">
        <v>824</v>
      </c>
      <c r="M883" t="s">
        <v>828</v>
      </c>
      <c r="N883" t="str">
        <f t="shared" si="39"/>
        <v>T-2</v>
      </c>
      <c r="O883">
        <f t="shared" si="40"/>
        <v>2025</v>
      </c>
      <c r="P883" t="str">
        <f t="shared" si="41"/>
        <v>6. junio</v>
      </c>
    </row>
    <row r="884" spans="1:16" x14ac:dyDescent="0.35">
      <c r="A884">
        <v>714816</v>
      </c>
      <c r="B884" t="s">
        <v>4</v>
      </c>
      <c r="C884" t="s">
        <v>138</v>
      </c>
      <c r="D884" t="s">
        <v>177</v>
      </c>
      <c r="E884" t="s">
        <v>651</v>
      </c>
      <c r="F884" t="s">
        <v>187</v>
      </c>
      <c r="G884" s="1">
        <v>45838</v>
      </c>
      <c r="H884" s="1">
        <v>45840</v>
      </c>
      <c r="I884" s="2">
        <v>697.37</v>
      </c>
      <c r="J884" t="s">
        <v>776</v>
      </c>
      <c r="K884" t="s">
        <v>804</v>
      </c>
      <c r="L884" t="s">
        <v>823</v>
      </c>
      <c r="M884" t="s">
        <v>830</v>
      </c>
      <c r="N884" t="str">
        <f t="shared" si="39"/>
        <v>T-2</v>
      </c>
      <c r="O884">
        <f t="shared" si="40"/>
        <v>2025</v>
      </c>
      <c r="P884" t="str">
        <f t="shared" si="41"/>
        <v>6. junio</v>
      </c>
    </row>
    <row r="885" spans="1:16" x14ac:dyDescent="0.35">
      <c r="A885">
        <v>560295</v>
      </c>
      <c r="B885" t="s">
        <v>5</v>
      </c>
      <c r="C885" t="s">
        <v>138</v>
      </c>
      <c r="D885" t="s">
        <v>177</v>
      </c>
      <c r="E885" t="s">
        <v>651</v>
      </c>
      <c r="F885" t="s">
        <v>187</v>
      </c>
      <c r="G885" s="1">
        <v>45831</v>
      </c>
      <c r="H885" s="1">
        <v>45833</v>
      </c>
      <c r="I885" s="2">
        <v>235.01</v>
      </c>
      <c r="J885" t="s">
        <v>776</v>
      </c>
      <c r="K885" t="s">
        <v>783</v>
      </c>
      <c r="L885" t="s">
        <v>823</v>
      </c>
      <c r="M885" t="s">
        <v>829</v>
      </c>
      <c r="N885" t="str">
        <f t="shared" si="39"/>
        <v>T-2</v>
      </c>
      <c r="O885">
        <f t="shared" si="40"/>
        <v>2025</v>
      </c>
      <c r="P885" t="str">
        <f t="shared" si="41"/>
        <v>6. junio</v>
      </c>
    </row>
    <row r="886" spans="1:16" x14ac:dyDescent="0.35">
      <c r="A886">
        <v>452902</v>
      </c>
      <c r="B886" t="s">
        <v>8</v>
      </c>
      <c r="C886" t="s">
        <v>138</v>
      </c>
      <c r="D886" t="s">
        <v>177</v>
      </c>
      <c r="E886" t="s">
        <v>651</v>
      </c>
      <c r="F886" t="s">
        <v>187</v>
      </c>
      <c r="G886" s="1">
        <v>45831</v>
      </c>
      <c r="H886" s="1">
        <v>45833</v>
      </c>
      <c r="I886" s="2">
        <v>232.63</v>
      </c>
      <c r="J886" t="s">
        <v>776</v>
      </c>
      <c r="K886" t="s">
        <v>783</v>
      </c>
      <c r="L886" t="s">
        <v>823</v>
      </c>
      <c r="M886" t="s">
        <v>830</v>
      </c>
      <c r="N886" t="str">
        <f t="shared" si="39"/>
        <v>T-2</v>
      </c>
      <c r="O886">
        <f t="shared" si="40"/>
        <v>2025</v>
      </c>
      <c r="P886" t="str">
        <f t="shared" si="41"/>
        <v>6. junio</v>
      </c>
    </row>
    <row r="887" spans="1:16" x14ac:dyDescent="0.35">
      <c r="A887">
        <v>707576</v>
      </c>
      <c r="B887" t="s">
        <v>30</v>
      </c>
      <c r="C887" t="s">
        <v>138</v>
      </c>
      <c r="D887" t="s">
        <v>177</v>
      </c>
      <c r="E887" t="s">
        <v>651</v>
      </c>
      <c r="F887" t="s">
        <v>187</v>
      </c>
      <c r="G887" s="1">
        <v>45831</v>
      </c>
      <c r="H887" s="1">
        <v>45833</v>
      </c>
      <c r="I887" s="2">
        <v>1091.18</v>
      </c>
      <c r="J887" t="s">
        <v>776</v>
      </c>
      <c r="K887" t="s">
        <v>804</v>
      </c>
      <c r="L887" t="s">
        <v>823</v>
      </c>
      <c r="M887" t="s">
        <v>830</v>
      </c>
      <c r="N887" t="str">
        <f t="shared" si="39"/>
        <v>T-2</v>
      </c>
      <c r="O887">
        <f t="shared" si="40"/>
        <v>2025</v>
      </c>
      <c r="P887" t="str">
        <f t="shared" si="41"/>
        <v>6. junio</v>
      </c>
    </row>
    <row r="888" spans="1:16" x14ac:dyDescent="0.35">
      <c r="A888">
        <v>561294</v>
      </c>
      <c r="B888" t="s">
        <v>5</v>
      </c>
      <c r="C888" t="s">
        <v>138</v>
      </c>
      <c r="D888" t="s">
        <v>177</v>
      </c>
      <c r="E888" t="s">
        <v>651</v>
      </c>
      <c r="F888" t="s">
        <v>187</v>
      </c>
      <c r="G888" s="1">
        <v>45838</v>
      </c>
      <c r="H888" s="1">
        <v>45840</v>
      </c>
      <c r="I888" s="2">
        <v>1255.26</v>
      </c>
      <c r="J888" t="s">
        <v>776</v>
      </c>
      <c r="K888" t="s">
        <v>804</v>
      </c>
      <c r="L888" t="s">
        <v>823</v>
      </c>
      <c r="M888" t="s">
        <v>828</v>
      </c>
      <c r="N888" t="str">
        <f t="shared" si="39"/>
        <v>T-2</v>
      </c>
      <c r="O888">
        <f t="shared" si="40"/>
        <v>2025</v>
      </c>
      <c r="P888" t="str">
        <f t="shared" si="41"/>
        <v>6. junio</v>
      </c>
    </row>
    <row r="889" spans="1:16" x14ac:dyDescent="0.35">
      <c r="A889">
        <v>706955</v>
      </c>
      <c r="B889" t="s">
        <v>20</v>
      </c>
      <c r="C889" t="s">
        <v>136</v>
      </c>
      <c r="D889" t="s">
        <v>199</v>
      </c>
      <c r="E889" t="s">
        <v>651</v>
      </c>
      <c r="F889" t="s">
        <v>187</v>
      </c>
      <c r="G889" s="1">
        <v>45831</v>
      </c>
      <c r="H889" s="1">
        <v>45838</v>
      </c>
      <c r="I889" s="2">
        <v>1245.31</v>
      </c>
      <c r="J889" t="s">
        <v>776</v>
      </c>
      <c r="K889" t="s">
        <v>783</v>
      </c>
      <c r="L889" t="s">
        <v>824</v>
      </c>
      <c r="M889" t="s">
        <v>828</v>
      </c>
      <c r="N889" t="str">
        <f t="shared" si="39"/>
        <v>T-2</v>
      </c>
      <c r="O889">
        <f t="shared" si="40"/>
        <v>2025</v>
      </c>
      <c r="P889" t="str">
        <f t="shared" si="41"/>
        <v>6. junio</v>
      </c>
    </row>
    <row r="890" spans="1:16" x14ac:dyDescent="0.35">
      <c r="A890">
        <v>717784</v>
      </c>
      <c r="B890" t="s">
        <v>22</v>
      </c>
      <c r="C890" t="s">
        <v>138</v>
      </c>
      <c r="D890" t="s">
        <v>199</v>
      </c>
      <c r="E890" t="s">
        <v>651</v>
      </c>
      <c r="F890" t="s">
        <v>187</v>
      </c>
      <c r="G890" s="1">
        <v>45831</v>
      </c>
      <c r="H890" s="1">
        <v>45838</v>
      </c>
      <c r="I890" s="2">
        <v>2739.69</v>
      </c>
      <c r="J890" t="s">
        <v>776</v>
      </c>
      <c r="K890" t="s">
        <v>783</v>
      </c>
      <c r="L890" t="s">
        <v>823</v>
      </c>
      <c r="M890" t="s">
        <v>830</v>
      </c>
      <c r="N890" t="str">
        <f t="shared" si="39"/>
        <v>T-2</v>
      </c>
      <c r="O890">
        <f t="shared" si="40"/>
        <v>2025</v>
      </c>
      <c r="P890" t="str">
        <f t="shared" si="41"/>
        <v>6. junio</v>
      </c>
    </row>
    <row r="891" spans="1:16" x14ac:dyDescent="0.35">
      <c r="A891">
        <v>713052</v>
      </c>
      <c r="B891" t="s">
        <v>30</v>
      </c>
      <c r="C891" t="s">
        <v>138</v>
      </c>
      <c r="D891" t="s">
        <v>167</v>
      </c>
      <c r="E891" t="s">
        <v>717</v>
      </c>
      <c r="F891" t="s">
        <v>773</v>
      </c>
      <c r="G891" s="1">
        <v>46371</v>
      </c>
      <c r="H891" s="1">
        <v>46371</v>
      </c>
      <c r="I891" s="2">
        <v>384.75</v>
      </c>
      <c r="J891" t="s">
        <v>774</v>
      </c>
      <c r="K891" t="s">
        <v>783</v>
      </c>
      <c r="L891" t="s">
        <v>823</v>
      </c>
      <c r="M891" t="s">
        <v>829</v>
      </c>
      <c r="N891" t="str">
        <f t="shared" si="39"/>
        <v>T-4</v>
      </c>
      <c r="O891">
        <f t="shared" si="40"/>
        <v>2026</v>
      </c>
      <c r="P891" t="str">
        <f t="shared" si="41"/>
        <v>12. diciembre</v>
      </c>
    </row>
    <row r="892" spans="1:16" x14ac:dyDescent="0.35">
      <c r="A892">
        <v>610040</v>
      </c>
      <c r="B892" t="s">
        <v>13</v>
      </c>
      <c r="C892" t="s">
        <v>138</v>
      </c>
      <c r="D892" t="s">
        <v>147</v>
      </c>
      <c r="E892" t="s">
        <v>677</v>
      </c>
      <c r="F892" t="s">
        <v>187</v>
      </c>
      <c r="G892" s="1">
        <v>45799</v>
      </c>
      <c r="H892" s="1">
        <v>45799</v>
      </c>
      <c r="I892" s="2">
        <v>1396.5</v>
      </c>
      <c r="J892" t="s">
        <v>779</v>
      </c>
      <c r="K892" t="s">
        <v>808</v>
      </c>
      <c r="L892" t="s">
        <v>823</v>
      </c>
      <c r="M892" t="s">
        <v>830</v>
      </c>
      <c r="N892" t="str">
        <f t="shared" si="39"/>
        <v>T-2</v>
      </c>
      <c r="O892">
        <f t="shared" si="40"/>
        <v>2025</v>
      </c>
      <c r="P892" t="str">
        <f t="shared" si="41"/>
        <v>5. mayo</v>
      </c>
    </row>
    <row r="893" spans="1:16" x14ac:dyDescent="0.35">
      <c r="A893">
        <v>706391</v>
      </c>
      <c r="B893" t="s">
        <v>71</v>
      </c>
      <c r="C893" t="s">
        <v>138</v>
      </c>
      <c r="D893" t="s">
        <v>281</v>
      </c>
      <c r="E893" t="s">
        <v>677</v>
      </c>
      <c r="F893" t="s">
        <v>187</v>
      </c>
      <c r="G893" s="1">
        <v>45820</v>
      </c>
      <c r="H893" s="1">
        <v>45820</v>
      </c>
      <c r="I893" s="2">
        <v>1396.5</v>
      </c>
      <c r="J893" t="s">
        <v>779</v>
      </c>
      <c r="K893" t="s">
        <v>783</v>
      </c>
      <c r="L893" t="s">
        <v>823</v>
      </c>
      <c r="M893" t="s">
        <v>830</v>
      </c>
      <c r="N893" t="str">
        <f t="shared" si="39"/>
        <v>T-2</v>
      </c>
      <c r="O893">
        <f t="shared" si="40"/>
        <v>2025</v>
      </c>
      <c r="P893" t="str">
        <f t="shared" si="41"/>
        <v>6. junio</v>
      </c>
    </row>
    <row r="894" spans="1:16" x14ac:dyDescent="0.35">
      <c r="A894">
        <v>470144</v>
      </c>
      <c r="B894" t="s">
        <v>5</v>
      </c>
      <c r="C894" t="s">
        <v>138</v>
      </c>
      <c r="D894" t="s">
        <v>471</v>
      </c>
      <c r="E894" t="s">
        <v>681</v>
      </c>
      <c r="F894" t="s">
        <v>187</v>
      </c>
      <c r="G894" s="1">
        <v>45818</v>
      </c>
      <c r="H894" s="1">
        <v>45821</v>
      </c>
      <c r="I894" s="2">
        <v>1334.38</v>
      </c>
      <c r="J894" t="s">
        <v>779</v>
      </c>
      <c r="K894" t="s">
        <v>783</v>
      </c>
      <c r="L894" t="s">
        <v>823</v>
      </c>
      <c r="M894" t="s">
        <v>828</v>
      </c>
      <c r="N894" t="str">
        <f t="shared" si="39"/>
        <v>T-2</v>
      </c>
      <c r="O894">
        <f t="shared" si="40"/>
        <v>2025</v>
      </c>
      <c r="P894" t="str">
        <f t="shared" si="41"/>
        <v>6. junio</v>
      </c>
    </row>
    <row r="895" spans="1:16" x14ac:dyDescent="0.35">
      <c r="A895">
        <v>465885</v>
      </c>
      <c r="B895" t="s">
        <v>5</v>
      </c>
      <c r="C895" t="s">
        <v>138</v>
      </c>
      <c r="D895" t="s">
        <v>471</v>
      </c>
      <c r="E895" t="s">
        <v>681</v>
      </c>
      <c r="F895" t="s">
        <v>187</v>
      </c>
      <c r="G895" s="1">
        <v>45818</v>
      </c>
      <c r="H895" s="1">
        <v>45821</v>
      </c>
      <c r="I895" s="2">
        <v>1334.38</v>
      </c>
      <c r="J895" t="s">
        <v>779</v>
      </c>
      <c r="K895" t="s">
        <v>783</v>
      </c>
      <c r="L895" t="s">
        <v>823</v>
      </c>
      <c r="M895" t="s">
        <v>828</v>
      </c>
      <c r="N895" t="str">
        <f t="shared" si="39"/>
        <v>T-2</v>
      </c>
      <c r="O895">
        <f t="shared" si="40"/>
        <v>2025</v>
      </c>
      <c r="P895" t="str">
        <f t="shared" si="41"/>
        <v>6. junio</v>
      </c>
    </row>
    <row r="896" spans="1:16" x14ac:dyDescent="0.35">
      <c r="A896">
        <v>567526</v>
      </c>
      <c r="B896" t="s">
        <v>20</v>
      </c>
      <c r="C896" t="s">
        <v>136</v>
      </c>
      <c r="D896" t="s">
        <v>472</v>
      </c>
      <c r="E896" t="s">
        <v>681</v>
      </c>
      <c r="F896" t="s">
        <v>187</v>
      </c>
      <c r="G896" s="1">
        <v>45825</v>
      </c>
      <c r="H896" s="1">
        <v>45828</v>
      </c>
      <c r="I896" s="2">
        <v>1334.38</v>
      </c>
      <c r="J896" t="s">
        <v>779</v>
      </c>
      <c r="K896" t="s">
        <v>783</v>
      </c>
      <c r="L896" t="s">
        <v>824</v>
      </c>
      <c r="M896" t="s">
        <v>829</v>
      </c>
      <c r="N896" t="str">
        <f t="shared" si="39"/>
        <v>T-2</v>
      </c>
      <c r="O896">
        <f t="shared" si="40"/>
        <v>2025</v>
      </c>
      <c r="P896" t="str">
        <f t="shared" si="41"/>
        <v>6. junio</v>
      </c>
    </row>
    <row r="897" spans="1:16" x14ac:dyDescent="0.35">
      <c r="A897">
        <v>361291</v>
      </c>
      <c r="B897" t="s">
        <v>71</v>
      </c>
      <c r="C897" t="s">
        <v>138</v>
      </c>
      <c r="D897" t="s">
        <v>472</v>
      </c>
      <c r="E897" t="s">
        <v>681</v>
      </c>
      <c r="F897" t="s">
        <v>187</v>
      </c>
      <c r="G897" s="1">
        <v>45825</v>
      </c>
      <c r="H897" s="1">
        <v>45828</v>
      </c>
      <c r="I897" s="2">
        <v>1334.38</v>
      </c>
      <c r="J897" t="s">
        <v>779</v>
      </c>
      <c r="K897" t="s">
        <v>783</v>
      </c>
      <c r="L897" t="s">
        <v>823</v>
      </c>
      <c r="M897" t="s">
        <v>830</v>
      </c>
      <c r="N897" t="str">
        <f t="shared" si="39"/>
        <v>T-2</v>
      </c>
      <c r="O897">
        <f t="shared" si="40"/>
        <v>2025</v>
      </c>
      <c r="P897" t="str">
        <f t="shared" si="41"/>
        <v>6. junio</v>
      </c>
    </row>
    <row r="898" spans="1:16" x14ac:dyDescent="0.35">
      <c r="A898">
        <v>718824</v>
      </c>
      <c r="B898" t="s">
        <v>39</v>
      </c>
      <c r="C898" t="s">
        <v>139</v>
      </c>
      <c r="D898" t="s">
        <v>473</v>
      </c>
      <c r="E898" t="s">
        <v>681</v>
      </c>
      <c r="F898" t="s">
        <v>187</v>
      </c>
      <c r="G898" s="1">
        <v>45835</v>
      </c>
      <c r="H898" s="1">
        <v>45845</v>
      </c>
      <c r="I898" s="2">
        <v>1334.37</v>
      </c>
      <c r="J898" t="s">
        <v>779</v>
      </c>
      <c r="K898" t="s">
        <v>789</v>
      </c>
      <c r="L898" t="s">
        <v>823</v>
      </c>
      <c r="M898" t="s">
        <v>830</v>
      </c>
      <c r="N898" t="str">
        <f t="shared" si="39"/>
        <v>T-2</v>
      </c>
      <c r="O898">
        <f t="shared" si="40"/>
        <v>2025</v>
      </c>
      <c r="P898" t="str">
        <f t="shared" si="41"/>
        <v>6. junio</v>
      </c>
    </row>
    <row r="899" spans="1:16" x14ac:dyDescent="0.35">
      <c r="A899">
        <v>706948</v>
      </c>
      <c r="B899" t="s">
        <v>24</v>
      </c>
      <c r="C899" t="s">
        <v>138</v>
      </c>
      <c r="D899" t="s">
        <v>474</v>
      </c>
      <c r="E899" t="s">
        <v>681</v>
      </c>
      <c r="F899" t="s">
        <v>187</v>
      </c>
      <c r="G899" s="1">
        <v>45839</v>
      </c>
      <c r="H899" s="1">
        <v>45846</v>
      </c>
      <c r="I899" s="2">
        <v>1334.37</v>
      </c>
      <c r="J899" t="s">
        <v>779</v>
      </c>
      <c r="K899" t="s">
        <v>783</v>
      </c>
      <c r="L899" t="s">
        <v>823</v>
      </c>
      <c r="M899" t="s">
        <v>828</v>
      </c>
      <c r="N899" t="str">
        <f t="shared" ref="N899:N962" si="42">"T-" &amp; ROUNDUP((MONTH(G899)/3), 0)</f>
        <v>T-3</v>
      </c>
      <c r="O899">
        <f t="shared" ref="O899:O962" si="43">YEAR(G899)</f>
        <v>2025</v>
      </c>
      <c r="P899" t="str">
        <f t="shared" ref="P899:P962" si="44">MONTH(G899) &amp; ". " &amp; TEXT(G899, "MMMM")</f>
        <v>7. julio</v>
      </c>
    </row>
    <row r="900" spans="1:16" x14ac:dyDescent="0.35">
      <c r="A900">
        <v>448772</v>
      </c>
      <c r="B900" t="s">
        <v>78</v>
      </c>
      <c r="C900" t="s">
        <v>141</v>
      </c>
      <c r="D900" t="s">
        <v>474</v>
      </c>
      <c r="E900" t="s">
        <v>681</v>
      </c>
      <c r="F900" t="s">
        <v>187</v>
      </c>
      <c r="G900" s="1">
        <v>45839</v>
      </c>
      <c r="H900" s="1">
        <v>45846</v>
      </c>
      <c r="I900" s="2">
        <v>1334.37</v>
      </c>
      <c r="J900" t="s">
        <v>779</v>
      </c>
      <c r="K900" t="s">
        <v>783</v>
      </c>
      <c r="L900" t="s">
        <v>823</v>
      </c>
      <c r="M900" t="s">
        <v>830</v>
      </c>
      <c r="N900" t="str">
        <f t="shared" si="42"/>
        <v>T-3</v>
      </c>
      <c r="O900">
        <f t="shared" si="43"/>
        <v>2025</v>
      </c>
      <c r="P900" t="str">
        <f t="shared" si="44"/>
        <v>7. julio</v>
      </c>
    </row>
    <row r="901" spans="1:16" x14ac:dyDescent="0.35">
      <c r="A901">
        <v>717497</v>
      </c>
      <c r="B901" t="s">
        <v>30</v>
      </c>
      <c r="C901" t="s">
        <v>138</v>
      </c>
      <c r="D901" t="s">
        <v>473</v>
      </c>
      <c r="E901" t="s">
        <v>681</v>
      </c>
      <c r="F901" t="s">
        <v>187</v>
      </c>
      <c r="G901" s="1">
        <v>45835</v>
      </c>
      <c r="H901" s="1">
        <v>45845</v>
      </c>
      <c r="I901" s="2">
        <v>1334.37</v>
      </c>
      <c r="J901" t="s">
        <v>779</v>
      </c>
      <c r="K901" t="s">
        <v>783</v>
      </c>
      <c r="L901" t="s">
        <v>823</v>
      </c>
      <c r="M901" t="s">
        <v>829</v>
      </c>
      <c r="N901" t="str">
        <f t="shared" si="42"/>
        <v>T-2</v>
      </c>
      <c r="O901">
        <f t="shared" si="43"/>
        <v>2025</v>
      </c>
      <c r="P901" t="str">
        <f t="shared" si="44"/>
        <v>6. junio</v>
      </c>
    </row>
    <row r="902" spans="1:16" x14ac:dyDescent="0.35">
      <c r="A902">
        <v>722072</v>
      </c>
      <c r="B902" t="s">
        <v>5</v>
      </c>
      <c r="C902" t="s">
        <v>138</v>
      </c>
      <c r="D902" t="s">
        <v>237</v>
      </c>
      <c r="E902" t="s">
        <v>681</v>
      </c>
      <c r="F902" t="s">
        <v>187</v>
      </c>
      <c r="G902" s="1">
        <v>45845</v>
      </c>
      <c r="H902" s="1">
        <v>45845</v>
      </c>
      <c r="I902" s="2">
        <v>1050</v>
      </c>
      <c r="J902" t="s">
        <v>779</v>
      </c>
      <c r="K902" t="s">
        <v>783</v>
      </c>
      <c r="L902" t="s">
        <v>823</v>
      </c>
      <c r="M902" t="s">
        <v>830</v>
      </c>
      <c r="N902" t="str">
        <f t="shared" si="42"/>
        <v>T-3</v>
      </c>
      <c r="O902">
        <f t="shared" si="43"/>
        <v>2025</v>
      </c>
      <c r="P902" t="str">
        <f t="shared" si="44"/>
        <v>7. julio</v>
      </c>
    </row>
    <row r="903" spans="1:16" x14ac:dyDescent="0.35">
      <c r="A903">
        <v>706266</v>
      </c>
      <c r="B903" t="s">
        <v>5</v>
      </c>
      <c r="C903" t="s">
        <v>138</v>
      </c>
      <c r="D903" t="s">
        <v>237</v>
      </c>
      <c r="E903" t="s">
        <v>681</v>
      </c>
      <c r="F903" t="s">
        <v>187</v>
      </c>
      <c r="G903" s="1">
        <v>45845</v>
      </c>
      <c r="H903" s="1">
        <v>45845</v>
      </c>
      <c r="I903" s="2">
        <v>1050</v>
      </c>
      <c r="J903" t="s">
        <v>779</v>
      </c>
      <c r="K903" t="s">
        <v>783</v>
      </c>
      <c r="L903" t="s">
        <v>823</v>
      </c>
      <c r="M903" t="s">
        <v>830</v>
      </c>
      <c r="N903" t="str">
        <f t="shared" si="42"/>
        <v>T-3</v>
      </c>
      <c r="O903">
        <f t="shared" si="43"/>
        <v>2025</v>
      </c>
      <c r="P903" t="str">
        <f t="shared" si="44"/>
        <v>7. julio</v>
      </c>
    </row>
    <row r="904" spans="1:16" x14ac:dyDescent="0.35">
      <c r="A904">
        <v>704512</v>
      </c>
      <c r="B904" t="s">
        <v>4</v>
      </c>
      <c r="C904" t="s">
        <v>138</v>
      </c>
      <c r="D904" t="s">
        <v>468</v>
      </c>
      <c r="E904" t="s">
        <v>652</v>
      </c>
      <c r="F904" t="s">
        <v>187</v>
      </c>
      <c r="G904" s="1">
        <v>45845</v>
      </c>
      <c r="H904" s="1">
        <v>45848</v>
      </c>
      <c r="I904" s="2">
        <v>309.42</v>
      </c>
      <c r="J904" t="s">
        <v>776</v>
      </c>
      <c r="K904" t="s">
        <v>783</v>
      </c>
      <c r="L904" t="s">
        <v>824</v>
      </c>
      <c r="M904" t="s">
        <v>828</v>
      </c>
      <c r="N904" t="str">
        <f t="shared" si="42"/>
        <v>T-3</v>
      </c>
      <c r="O904">
        <f t="shared" si="43"/>
        <v>2025</v>
      </c>
      <c r="P904" t="str">
        <f t="shared" si="44"/>
        <v>7. julio</v>
      </c>
    </row>
    <row r="905" spans="1:16" x14ac:dyDescent="0.35">
      <c r="A905">
        <v>716932</v>
      </c>
      <c r="B905" t="s">
        <v>55</v>
      </c>
      <c r="C905" t="s">
        <v>138</v>
      </c>
      <c r="D905" t="s">
        <v>447</v>
      </c>
      <c r="E905" t="s">
        <v>740</v>
      </c>
      <c r="F905" t="s">
        <v>187</v>
      </c>
      <c r="G905" s="1">
        <v>45847</v>
      </c>
      <c r="H905" s="1">
        <v>45853</v>
      </c>
      <c r="I905" s="2">
        <v>1040</v>
      </c>
      <c r="J905" t="s">
        <v>779</v>
      </c>
      <c r="K905" t="s">
        <v>783</v>
      </c>
      <c r="L905" t="s">
        <v>823</v>
      </c>
      <c r="M905" t="s">
        <v>828</v>
      </c>
      <c r="N905" t="str">
        <f t="shared" si="42"/>
        <v>T-3</v>
      </c>
      <c r="O905">
        <f t="shared" si="43"/>
        <v>2025</v>
      </c>
      <c r="P905" t="str">
        <f t="shared" si="44"/>
        <v>7. julio</v>
      </c>
    </row>
    <row r="906" spans="1:16" x14ac:dyDescent="0.35">
      <c r="A906">
        <v>488261</v>
      </c>
      <c r="B906" t="s">
        <v>4</v>
      </c>
      <c r="C906" t="s">
        <v>138</v>
      </c>
      <c r="D906" t="s">
        <v>447</v>
      </c>
      <c r="E906" t="s">
        <v>740</v>
      </c>
      <c r="F906" t="s">
        <v>187</v>
      </c>
      <c r="G906" s="1">
        <v>45847</v>
      </c>
      <c r="H906" s="1">
        <v>45853</v>
      </c>
      <c r="I906" s="2">
        <v>832</v>
      </c>
      <c r="J906" t="s">
        <v>779</v>
      </c>
      <c r="K906" t="s">
        <v>783</v>
      </c>
      <c r="L906" t="s">
        <v>823</v>
      </c>
      <c r="M906" t="s">
        <v>830</v>
      </c>
      <c r="N906" t="str">
        <f t="shared" si="42"/>
        <v>T-3</v>
      </c>
      <c r="O906">
        <f t="shared" si="43"/>
        <v>2025</v>
      </c>
      <c r="P906" t="str">
        <f t="shared" si="44"/>
        <v>7. julio</v>
      </c>
    </row>
    <row r="907" spans="1:16" x14ac:dyDescent="0.35">
      <c r="A907">
        <v>431729</v>
      </c>
      <c r="B907" t="s">
        <v>34</v>
      </c>
      <c r="C907" t="s">
        <v>141</v>
      </c>
      <c r="D907" t="s">
        <v>447</v>
      </c>
      <c r="E907" t="s">
        <v>740</v>
      </c>
      <c r="F907" t="s">
        <v>187</v>
      </c>
      <c r="G907" s="1">
        <v>45847</v>
      </c>
      <c r="H907" s="1">
        <v>45853</v>
      </c>
      <c r="I907" s="2">
        <v>3328</v>
      </c>
      <c r="J907" t="s">
        <v>779</v>
      </c>
      <c r="K907" t="s">
        <v>800</v>
      </c>
      <c r="L907" t="s">
        <v>823</v>
      </c>
      <c r="M907" t="s">
        <v>829</v>
      </c>
      <c r="N907" t="str">
        <f t="shared" si="42"/>
        <v>T-3</v>
      </c>
      <c r="O907">
        <f t="shared" si="43"/>
        <v>2025</v>
      </c>
      <c r="P907" t="str">
        <f t="shared" si="44"/>
        <v>7. julio</v>
      </c>
    </row>
    <row r="908" spans="1:16" x14ac:dyDescent="0.35">
      <c r="A908">
        <v>721976</v>
      </c>
      <c r="B908" t="s">
        <v>24</v>
      </c>
      <c r="C908" t="s">
        <v>138</v>
      </c>
      <c r="D908" t="s">
        <v>447</v>
      </c>
      <c r="E908" t="s">
        <v>740</v>
      </c>
      <c r="F908" t="s">
        <v>187</v>
      </c>
      <c r="G908" s="1">
        <v>45847</v>
      </c>
      <c r="H908" s="1">
        <v>45853</v>
      </c>
      <c r="I908" s="2">
        <v>208</v>
      </c>
      <c r="J908" t="s">
        <v>779</v>
      </c>
      <c r="K908" t="s">
        <v>783</v>
      </c>
      <c r="L908" t="s">
        <v>823</v>
      </c>
      <c r="M908" t="s">
        <v>830</v>
      </c>
      <c r="N908" t="str">
        <f t="shared" si="42"/>
        <v>T-3</v>
      </c>
      <c r="O908">
        <f t="shared" si="43"/>
        <v>2025</v>
      </c>
      <c r="P908" t="str">
        <f t="shared" si="44"/>
        <v>7. julio</v>
      </c>
    </row>
    <row r="909" spans="1:16" x14ac:dyDescent="0.35">
      <c r="A909">
        <v>705060</v>
      </c>
      <c r="B909" t="s">
        <v>39</v>
      </c>
      <c r="C909" t="s">
        <v>139</v>
      </c>
      <c r="D909" t="s">
        <v>452</v>
      </c>
      <c r="E909" t="s">
        <v>740</v>
      </c>
      <c r="F909" t="s">
        <v>187</v>
      </c>
      <c r="G909" s="1">
        <v>45847</v>
      </c>
      <c r="H909" s="1">
        <v>45853</v>
      </c>
      <c r="I909" s="2">
        <v>208</v>
      </c>
      <c r="J909" t="s">
        <v>779</v>
      </c>
      <c r="K909" t="s">
        <v>789</v>
      </c>
      <c r="L909" t="s">
        <v>823</v>
      </c>
      <c r="M909" t="s">
        <v>830</v>
      </c>
      <c r="N909" t="str">
        <f t="shared" si="42"/>
        <v>T-3</v>
      </c>
      <c r="O909">
        <f t="shared" si="43"/>
        <v>2025</v>
      </c>
      <c r="P909" t="str">
        <f t="shared" si="44"/>
        <v>7. julio</v>
      </c>
    </row>
    <row r="910" spans="1:16" x14ac:dyDescent="0.35">
      <c r="A910">
        <v>507741</v>
      </c>
      <c r="B910" t="s">
        <v>5</v>
      </c>
      <c r="C910" t="s">
        <v>138</v>
      </c>
      <c r="D910" t="s">
        <v>452</v>
      </c>
      <c r="E910" t="s">
        <v>740</v>
      </c>
      <c r="F910" t="s">
        <v>187</v>
      </c>
      <c r="G910" s="1">
        <v>45847</v>
      </c>
      <c r="H910" s="1">
        <v>45853</v>
      </c>
      <c r="I910" s="2">
        <v>1248</v>
      </c>
      <c r="J910" t="s">
        <v>779</v>
      </c>
      <c r="K910" t="s">
        <v>783</v>
      </c>
      <c r="L910" t="s">
        <v>824</v>
      </c>
      <c r="M910" t="s">
        <v>828</v>
      </c>
      <c r="N910" t="str">
        <f t="shared" si="42"/>
        <v>T-3</v>
      </c>
      <c r="O910">
        <f t="shared" si="43"/>
        <v>2025</v>
      </c>
      <c r="P910" t="str">
        <f t="shared" si="44"/>
        <v>7. julio</v>
      </c>
    </row>
    <row r="911" spans="1:16" x14ac:dyDescent="0.35">
      <c r="A911">
        <v>496791</v>
      </c>
      <c r="B911" t="s">
        <v>30</v>
      </c>
      <c r="C911" t="s">
        <v>138</v>
      </c>
      <c r="D911" t="s">
        <v>452</v>
      </c>
      <c r="E911" t="s">
        <v>740</v>
      </c>
      <c r="F911" t="s">
        <v>187</v>
      </c>
      <c r="G911" s="1">
        <v>45847</v>
      </c>
      <c r="H911" s="1">
        <v>45853</v>
      </c>
      <c r="I911" s="2">
        <v>3536</v>
      </c>
      <c r="J911" t="s">
        <v>779</v>
      </c>
      <c r="K911" t="s">
        <v>783</v>
      </c>
      <c r="L911" t="s">
        <v>823</v>
      </c>
      <c r="M911" t="s">
        <v>828</v>
      </c>
      <c r="N911" t="str">
        <f t="shared" si="42"/>
        <v>T-3</v>
      </c>
      <c r="O911">
        <f t="shared" si="43"/>
        <v>2025</v>
      </c>
      <c r="P911" t="str">
        <f t="shared" si="44"/>
        <v>7. julio</v>
      </c>
    </row>
    <row r="912" spans="1:16" x14ac:dyDescent="0.35">
      <c r="A912">
        <v>606807</v>
      </c>
      <c r="B912" t="s">
        <v>13</v>
      </c>
      <c r="C912" t="s">
        <v>138</v>
      </c>
      <c r="D912" t="s">
        <v>452</v>
      </c>
      <c r="E912" t="s">
        <v>740</v>
      </c>
      <c r="F912" t="s">
        <v>187</v>
      </c>
      <c r="G912" s="1">
        <v>45847</v>
      </c>
      <c r="H912" s="1">
        <v>45853</v>
      </c>
      <c r="I912" s="2">
        <v>208</v>
      </c>
      <c r="J912" t="s">
        <v>779</v>
      </c>
      <c r="K912" t="s">
        <v>783</v>
      </c>
      <c r="L912" t="s">
        <v>823</v>
      </c>
      <c r="M912" t="s">
        <v>829</v>
      </c>
      <c r="N912" t="str">
        <f t="shared" si="42"/>
        <v>T-3</v>
      </c>
      <c r="O912">
        <f t="shared" si="43"/>
        <v>2025</v>
      </c>
      <c r="P912" t="str">
        <f t="shared" si="44"/>
        <v>7. julio</v>
      </c>
    </row>
    <row r="913" spans="1:16" x14ac:dyDescent="0.35">
      <c r="A913">
        <v>752136</v>
      </c>
      <c r="B913" t="s">
        <v>31</v>
      </c>
      <c r="C913" t="s">
        <v>137</v>
      </c>
      <c r="D913" t="s">
        <v>448</v>
      </c>
      <c r="E913" t="s">
        <v>740</v>
      </c>
      <c r="F913" t="s">
        <v>187</v>
      </c>
      <c r="G913" s="1">
        <v>45847</v>
      </c>
      <c r="H913" s="1">
        <v>45853</v>
      </c>
      <c r="I913" s="2">
        <v>624</v>
      </c>
      <c r="J913" t="s">
        <v>779</v>
      </c>
      <c r="K913" t="s">
        <v>783</v>
      </c>
      <c r="L913" t="s">
        <v>823</v>
      </c>
      <c r="M913" t="s">
        <v>830</v>
      </c>
      <c r="N913" t="str">
        <f t="shared" si="42"/>
        <v>T-3</v>
      </c>
      <c r="O913">
        <f t="shared" si="43"/>
        <v>2025</v>
      </c>
      <c r="P913" t="str">
        <f t="shared" si="44"/>
        <v>7. julio</v>
      </c>
    </row>
    <row r="914" spans="1:16" x14ac:dyDescent="0.35">
      <c r="A914">
        <v>720822</v>
      </c>
      <c r="B914" t="s">
        <v>24</v>
      </c>
      <c r="C914" t="s">
        <v>137</v>
      </c>
      <c r="D914" t="s">
        <v>448</v>
      </c>
      <c r="E914" t="s">
        <v>740</v>
      </c>
      <c r="F914" t="s">
        <v>187</v>
      </c>
      <c r="G914" s="1">
        <v>45847</v>
      </c>
      <c r="H914" s="1">
        <v>45853</v>
      </c>
      <c r="I914" s="2">
        <v>1040</v>
      </c>
      <c r="J914" t="s">
        <v>779</v>
      </c>
      <c r="K914" t="s">
        <v>783</v>
      </c>
      <c r="L914" t="s">
        <v>823</v>
      </c>
      <c r="M914" t="s">
        <v>830</v>
      </c>
      <c r="N914" t="str">
        <f t="shared" si="42"/>
        <v>T-3</v>
      </c>
      <c r="O914">
        <f t="shared" si="43"/>
        <v>2025</v>
      </c>
      <c r="P914" t="str">
        <f t="shared" si="44"/>
        <v>7. julio</v>
      </c>
    </row>
    <row r="915" spans="1:16" x14ac:dyDescent="0.35">
      <c r="A915">
        <v>560831</v>
      </c>
      <c r="B915" t="s">
        <v>4</v>
      </c>
      <c r="C915" t="s">
        <v>138</v>
      </c>
      <c r="D915" t="s">
        <v>448</v>
      </c>
      <c r="E915" t="s">
        <v>740</v>
      </c>
      <c r="F915" t="s">
        <v>187</v>
      </c>
      <c r="G915" s="1">
        <v>45847</v>
      </c>
      <c r="H915" s="1">
        <v>45853</v>
      </c>
      <c r="I915" s="2">
        <v>1664</v>
      </c>
      <c r="J915" t="s">
        <v>779</v>
      </c>
      <c r="K915" t="s">
        <v>789</v>
      </c>
      <c r="L915" t="s">
        <v>823</v>
      </c>
      <c r="M915" t="s">
        <v>828</v>
      </c>
      <c r="N915" t="str">
        <f t="shared" si="42"/>
        <v>T-3</v>
      </c>
      <c r="O915">
        <f t="shared" si="43"/>
        <v>2025</v>
      </c>
      <c r="P915" t="str">
        <f t="shared" si="44"/>
        <v>7. julio</v>
      </c>
    </row>
    <row r="916" spans="1:16" x14ac:dyDescent="0.35">
      <c r="A916">
        <v>610339</v>
      </c>
      <c r="B916" t="s">
        <v>13</v>
      </c>
      <c r="C916" t="s">
        <v>136</v>
      </c>
      <c r="D916" t="s">
        <v>164</v>
      </c>
      <c r="E916" t="s">
        <v>675</v>
      </c>
      <c r="F916" t="s">
        <v>187</v>
      </c>
      <c r="G916" s="1">
        <v>45840</v>
      </c>
      <c r="H916" s="1">
        <v>45853</v>
      </c>
      <c r="I916" s="2">
        <v>447.2</v>
      </c>
      <c r="J916" t="s">
        <v>779</v>
      </c>
      <c r="K916" t="s">
        <v>783</v>
      </c>
      <c r="L916" t="s">
        <v>823</v>
      </c>
      <c r="M916" t="s">
        <v>830</v>
      </c>
      <c r="N916" t="str">
        <f t="shared" si="42"/>
        <v>T-3</v>
      </c>
      <c r="O916">
        <f t="shared" si="43"/>
        <v>2025</v>
      </c>
      <c r="P916" t="str">
        <f t="shared" si="44"/>
        <v>7. julio</v>
      </c>
    </row>
    <row r="917" spans="1:16" x14ac:dyDescent="0.35">
      <c r="A917">
        <v>530627</v>
      </c>
      <c r="B917" t="s">
        <v>5</v>
      </c>
      <c r="C917" t="s">
        <v>138</v>
      </c>
      <c r="D917" t="s">
        <v>475</v>
      </c>
      <c r="E917" t="s">
        <v>714</v>
      </c>
      <c r="F917" t="s">
        <v>187</v>
      </c>
      <c r="G917" s="1">
        <v>45852</v>
      </c>
      <c r="H917" s="1">
        <v>45855</v>
      </c>
      <c r="I917" s="2">
        <v>364</v>
      </c>
      <c r="J917" t="s">
        <v>779</v>
      </c>
      <c r="K917" t="s">
        <v>783</v>
      </c>
      <c r="L917" t="s">
        <v>824</v>
      </c>
      <c r="M917" t="s">
        <v>829</v>
      </c>
      <c r="N917" t="str">
        <f t="shared" si="42"/>
        <v>T-3</v>
      </c>
      <c r="O917">
        <f t="shared" si="43"/>
        <v>2025</v>
      </c>
      <c r="P917" t="str">
        <f t="shared" si="44"/>
        <v>7. julio</v>
      </c>
    </row>
    <row r="918" spans="1:16" x14ac:dyDescent="0.35">
      <c r="A918">
        <v>715308</v>
      </c>
      <c r="B918" t="s">
        <v>69</v>
      </c>
      <c r="C918" t="s">
        <v>137</v>
      </c>
      <c r="D918" t="s">
        <v>475</v>
      </c>
      <c r="E918" t="s">
        <v>714</v>
      </c>
      <c r="F918" t="s">
        <v>187</v>
      </c>
      <c r="G918" s="1">
        <v>45852</v>
      </c>
      <c r="H918" s="1">
        <v>45855</v>
      </c>
      <c r="I918" s="2">
        <v>1001</v>
      </c>
      <c r="J918" t="s">
        <v>779</v>
      </c>
      <c r="K918" t="s">
        <v>783</v>
      </c>
      <c r="L918" t="s">
        <v>823</v>
      </c>
      <c r="M918" t="s">
        <v>830</v>
      </c>
      <c r="N918" t="str">
        <f t="shared" si="42"/>
        <v>T-3</v>
      </c>
      <c r="O918">
        <f t="shared" si="43"/>
        <v>2025</v>
      </c>
      <c r="P918" t="str">
        <f t="shared" si="44"/>
        <v>7. julio</v>
      </c>
    </row>
    <row r="919" spans="1:16" x14ac:dyDescent="0.35">
      <c r="A919">
        <v>255430</v>
      </c>
      <c r="B919" t="s">
        <v>13</v>
      </c>
      <c r="C919" t="s">
        <v>136</v>
      </c>
      <c r="D919" t="s">
        <v>475</v>
      </c>
      <c r="E919" t="s">
        <v>714</v>
      </c>
      <c r="F919" t="s">
        <v>187</v>
      </c>
      <c r="G919" s="1">
        <v>45852</v>
      </c>
      <c r="H919" s="1">
        <v>45855</v>
      </c>
      <c r="I919" s="2">
        <v>1183</v>
      </c>
      <c r="J919" t="s">
        <v>779</v>
      </c>
      <c r="K919" t="s">
        <v>783</v>
      </c>
      <c r="L919" t="s">
        <v>823</v>
      </c>
      <c r="M919" t="s">
        <v>830</v>
      </c>
      <c r="N919" t="str">
        <f t="shared" si="42"/>
        <v>T-3</v>
      </c>
      <c r="O919">
        <f t="shared" si="43"/>
        <v>2025</v>
      </c>
      <c r="P919" t="str">
        <f t="shared" si="44"/>
        <v>7. julio</v>
      </c>
    </row>
    <row r="920" spans="1:16" x14ac:dyDescent="0.35">
      <c r="A920">
        <v>720898</v>
      </c>
      <c r="B920" t="s">
        <v>5</v>
      </c>
      <c r="C920" t="s">
        <v>138</v>
      </c>
      <c r="D920" t="s">
        <v>476</v>
      </c>
      <c r="E920" t="s">
        <v>714</v>
      </c>
      <c r="F920" t="s">
        <v>187</v>
      </c>
      <c r="G920" s="1">
        <v>45848</v>
      </c>
      <c r="H920" s="1">
        <v>45854</v>
      </c>
      <c r="I920" s="2">
        <v>2366</v>
      </c>
      <c r="J920" t="s">
        <v>779</v>
      </c>
      <c r="K920" t="s">
        <v>786</v>
      </c>
      <c r="L920" t="s">
        <v>823</v>
      </c>
      <c r="M920" t="s">
        <v>828</v>
      </c>
      <c r="N920" t="str">
        <f t="shared" si="42"/>
        <v>T-3</v>
      </c>
      <c r="O920">
        <f t="shared" si="43"/>
        <v>2025</v>
      </c>
      <c r="P920" t="str">
        <f t="shared" si="44"/>
        <v>7. julio</v>
      </c>
    </row>
    <row r="921" spans="1:16" x14ac:dyDescent="0.35">
      <c r="A921">
        <v>488031</v>
      </c>
      <c r="B921" t="s">
        <v>2</v>
      </c>
      <c r="C921" t="s">
        <v>138</v>
      </c>
      <c r="D921" t="s">
        <v>476</v>
      </c>
      <c r="E921" t="s">
        <v>714</v>
      </c>
      <c r="F921" t="s">
        <v>187</v>
      </c>
      <c r="G921" s="1">
        <v>45848</v>
      </c>
      <c r="H921" s="1">
        <v>45854</v>
      </c>
      <c r="I921" s="2">
        <v>1456</v>
      </c>
      <c r="J921" t="s">
        <v>779</v>
      </c>
      <c r="K921" t="s">
        <v>786</v>
      </c>
      <c r="L921" t="s">
        <v>823</v>
      </c>
      <c r="M921" t="s">
        <v>828</v>
      </c>
      <c r="N921" t="str">
        <f t="shared" si="42"/>
        <v>T-3</v>
      </c>
      <c r="O921">
        <f t="shared" si="43"/>
        <v>2025</v>
      </c>
      <c r="P921" t="str">
        <f t="shared" si="44"/>
        <v>7. julio</v>
      </c>
    </row>
    <row r="922" spans="1:16" x14ac:dyDescent="0.35">
      <c r="A922">
        <v>466035</v>
      </c>
      <c r="B922" t="s">
        <v>31</v>
      </c>
      <c r="C922" t="s">
        <v>138</v>
      </c>
      <c r="D922" t="s">
        <v>477</v>
      </c>
      <c r="E922" t="s">
        <v>714</v>
      </c>
      <c r="F922" t="s">
        <v>187</v>
      </c>
      <c r="G922" s="1">
        <v>45853</v>
      </c>
      <c r="H922" s="1">
        <v>45853</v>
      </c>
      <c r="I922" s="2">
        <v>624</v>
      </c>
      <c r="J922" t="s">
        <v>779</v>
      </c>
      <c r="K922" t="s">
        <v>786</v>
      </c>
      <c r="L922" t="s">
        <v>823</v>
      </c>
      <c r="M922" t="s">
        <v>830</v>
      </c>
      <c r="N922" t="str">
        <f t="shared" si="42"/>
        <v>T-3</v>
      </c>
      <c r="O922">
        <f t="shared" si="43"/>
        <v>2025</v>
      </c>
      <c r="P922" t="str">
        <f t="shared" si="44"/>
        <v>7. julio</v>
      </c>
    </row>
    <row r="923" spans="1:16" x14ac:dyDescent="0.35">
      <c r="A923">
        <v>493981</v>
      </c>
      <c r="B923" t="s">
        <v>30</v>
      </c>
      <c r="C923" t="s">
        <v>138</v>
      </c>
      <c r="D923" t="s">
        <v>477</v>
      </c>
      <c r="E923" t="s">
        <v>714</v>
      </c>
      <c r="F923" t="s">
        <v>187</v>
      </c>
      <c r="G923" s="1">
        <v>45853</v>
      </c>
      <c r="H923" s="1">
        <v>45853</v>
      </c>
      <c r="I923" s="2">
        <v>351</v>
      </c>
      <c r="J923" t="s">
        <v>779</v>
      </c>
      <c r="K923" t="s">
        <v>786</v>
      </c>
      <c r="L923" t="s">
        <v>823</v>
      </c>
      <c r="M923" t="s">
        <v>829</v>
      </c>
      <c r="N923" t="str">
        <f t="shared" si="42"/>
        <v>T-3</v>
      </c>
      <c r="O923">
        <f t="shared" si="43"/>
        <v>2025</v>
      </c>
      <c r="P923" t="str">
        <f t="shared" si="44"/>
        <v>7. julio</v>
      </c>
    </row>
    <row r="924" spans="1:16" x14ac:dyDescent="0.35">
      <c r="A924">
        <v>714185</v>
      </c>
      <c r="B924" t="s">
        <v>4</v>
      </c>
      <c r="C924" t="s">
        <v>138</v>
      </c>
      <c r="D924" t="s">
        <v>451</v>
      </c>
      <c r="E924" t="s">
        <v>714</v>
      </c>
      <c r="F924" t="s">
        <v>187</v>
      </c>
      <c r="G924" s="1">
        <v>45849</v>
      </c>
      <c r="H924" s="1">
        <v>45849</v>
      </c>
      <c r="I924" s="2">
        <v>546</v>
      </c>
      <c r="J924" t="s">
        <v>779</v>
      </c>
      <c r="K924" t="s">
        <v>786</v>
      </c>
      <c r="L924" t="s">
        <v>823</v>
      </c>
      <c r="M924" t="s">
        <v>830</v>
      </c>
      <c r="N924" t="str">
        <f t="shared" si="42"/>
        <v>T-3</v>
      </c>
      <c r="O924">
        <f t="shared" si="43"/>
        <v>2025</v>
      </c>
      <c r="P924" t="str">
        <f t="shared" si="44"/>
        <v>7. julio</v>
      </c>
    </row>
    <row r="925" spans="1:16" x14ac:dyDescent="0.35">
      <c r="A925">
        <v>361733</v>
      </c>
      <c r="B925" t="s">
        <v>39</v>
      </c>
      <c r="C925" t="s">
        <v>139</v>
      </c>
      <c r="D925" t="s">
        <v>451</v>
      </c>
      <c r="E925" t="s">
        <v>714</v>
      </c>
      <c r="F925" t="s">
        <v>187</v>
      </c>
      <c r="G925" s="1">
        <v>45849</v>
      </c>
      <c r="H925" s="1">
        <v>45849</v>
      </c>
      <c r="I925" s="2">
        <v>273</v>
      </c>
      <c r="J925" t="s">
        <v>779</v>
      </c>
      <c r="K925" t="s">
        <v>786</v>
      </c>
      <c r="L925" t="s">
        <v>824</v>
      </c>
      <c r="M925" t="s">
        <v>830</v>
      </c>
      <c r="N925" t="str">
        <f t="shared" si="42"/>
        <v>T-3</v>
      </c>
      <c r="O925">
        <f t="shared" si="43"/>
        <v>2025</v>
      </c>
      <c r="P925" t="str">
        <f t="shared" si="44"/>
        <v>7. julio</v>
      </c>
    </row>
    <row r="926" spans="1:16" x14ac:dyDescent="0.35">
      <c r="A926">
        <v>440373</v>
      </c>
      <c r="B926" t="s">
        <v>30</v>
      </c>
      <c r="C926" t="s">
        <v>138</v>
      </c>
      <c r="D926" t="s">
        <v>478</v>
      </c>
      <c r="E926" t="s">
        <v>714</v>
      </c>
      <c r="F926" t="s">
        <v>187</v>
      </c>
      <c r="G926" s="1">
        <v>45853</v>
      </c>
      <c r="H926" s="1">
        <v>45854</v>
      </c>
      <c r="I926" s="2">
        <v>1274</v>
      </c>
      <c r="J926" t="s">
        <v>779</v>
      </c>
      <c r="K926" t="s">
        <v>786</v>
      </c>
      <c r="L926" t="s">
        <v>823</v>
      </c>
      <c r="M926" t="s">
        <v>828</v>
      </c>
      <c r="N926" t="str">
        <f t="shared" si="42"/>
        <v>T-3</v>
      </c>
      <c r="O926">
        <f t="shared" si="43"/>
        <v>2025</v>
      </c>
      <c r="P926" t="str">
        <f t="shared" si="44"/>
        <v>7. julio</v>
      </c>
    </row>
    <row r="927" spans="1:16" x14ac:dyDescent="0.35">
      <c r="A927">
        <v>713768</v>
      </c>
      <c r="B927" t="s">
        <v>36</v>
      </c>
      <c r="C927" t="s">
        <v>136</v>
      </c>
      <c r="D927" t="s">
        <v>478</v>
      </c>
      <c r="E927" t="s">
        <v>714</v>
      </c>
      <c r="F927" t="s">
        <v>187</v>
      </c>
      <c r="G927" s="1">
        <v>45853</v>
      </c>
      <c r="H927" s="1">
        <v>45854</v>
      </c>
      <c r="I927" s="2">
        <v>546</v>
      </c>
      <c r="J927" t="s">
        <v>779</v>
      </c>
      <c r="K927" t="s">
        <v>786</v>
      </c>
      <c r="L927" t="s">
        <v>823</v>
      </c>
      <c r="M927" t="s">
        <v>828</v>
      </c>
      <c r="N927" t="str">
        <f t="shared" si="42"/>
        <v>T-3</v>
      </c>
      <c r="O927">
        <f t="shared" si="43"/>
        <v>2025</v>
      </c>
      <c r="P927" t="str">
        <f t="shared" si="44"/>
        <v>7. julio</v>
      </c>
    </row>
    <row r="928" spans="1:16" x14ac:dyDescent="0.35">
      <c r="A928">
        <v>609176</v>
      </c>
      <c r="B928" t="s">
        <v>13</v>
      </c>
      <c r="C928" t="s">
        <v>138</v>
      </c>
      <c r="D928" t="s">
        <v>447</v>
      </c>
      <c r="E928" t="s">
        <v>740</v>
      </c>
      <c r="F928" t="s">
        <v>187</v>
      </c>
      <c r="G928" s="1">
        <v>45840</v>
      </c>
      <c r="H928" s="1">
        <v>45846</v>
      </c>
      <c r="I928" s="2">
        <v>208</v>
      </c>
      <c r="J928" t="s">
        <v>779</v>
      </c>
      <c r="K928" t="s">
        <v>786</v>
      </c>
      <c r="L928" t="s">
        <v>823</v>
      </c>
      <c r="M928" t="s">
        <v>829</v>
      </c>
      <c r="N928" t="str">
        <f t="shared" si="42"/>
        <v>T-3</v>
      </c>
      <c r="O928">
        <f t="shared" si="43"/>
        <v>2025</v>
      </c>
      <c r="P928" t="str">
        <f t="shared" si="44"/>
        <v>7. julio</v>
      </c>
    </row>
    <row r="929" spans="1:16" x14ac:dyDescent="0.35">
      <c r="A929">
        <v>718310</v>
      </c>
      <c r="B929" t="s">
        <v>30</v>
      </c>
      <c r="C929" t="s">
        <v>138</v>
      </c>
      <c r="D929" t="s">
        <v>479</v>
      </c>
      <c r="E929" t="s">
        <v>740</v>
      </c>
      <c r="F929" t="s">
        <v>187</v>
      </c>
      <c r="G929" s="1">
        <v>45847</v>
      </c>
      <c r="H929" s="1">
        <v>45849</v>
      </c>
      <c r="I929" s="2">
        <v>312</v>
      </c>
      <c r="J929" t="s">
        <v>779</v>
      </c>
      <c r="K929" t="s">
        <v>797</v>
      </c>
      <c r="L929" t="s">
        <v>823</v>
      </c>
      <c r="M929" t="s">
        <v>830</v>
      </c>
      <c r="N929" t="str">
        <f t="shared" si="42"/>
        <v>T-3</v>
      </c>
      <c r="O929">
        <f t="shared" si="43"/>
        <v>2025</v>
      </c>
      <c r="P929" t="str">
        <f t="shared" si="44"/>
        <v>7. julio</v>
      </c>
    </row>
    <row r="930" spans="1:16" x14ac:dyDescent="0.35">
      <c r="A930">
        <v>609600</v>
      </c>
      <c r="B930" t="s">
        <v>13</v>
      </c>
      <c r="C930" t="s">
        <v>138</v>
      </c>
      <c r="D930" t="s">
        <v>479</v>
      </c>
      <c r="E930" t="s">
        <v>740</v>
      </c>
      <c r="F930" t="s">
        <v>187</v>
      </c>
      <c r="G930" s="1">
        <v>45847</v>
      </c>
      <c r="H930" s="1">
        <v>45849</v>
      </c>
      <c r="I930" s="2">
        <v>624</v>
      </c>
      <c r="J930" t="s">
        <v>779</v>
      </c>
      <c r="K930" t="s">
        <v>786</v>
      </c>
      <c r="L930" t="s">
        <v>823</v>
      </c>
      <c r="M930" t="s">
        <v>830</v>
      </c>
      <c r="N930" t="str">
        <f t="shared" si="42"/>
        <v>T-3</v>
      </c>
      <c r="O930">
        <f t="shared" si="43"/>
        <v>2025</v>
      </c>
      <c r="P930" t="str">
        <f t="shared" si="44"/>
        <v>7. julio</v>
      </c>
    </row>
    <row r="931" spans="1:16" x14ac:dyDescent="0.35">
      <c r="A931">
        <v>471785</v>
      </c>
      <c r="B931" t="s">
        <v>46</v>
      </c>
      <c r="C931" t="s">
        <v>139</v>
      </c>
      <c r="D931" t="s">
        <v>479</v>
      </c>
      <c r="E931" t="s">
        <v>740</v>
      </c>
      <c r="F931" t="s">
        <v>187</v>
      </c>
      <c r="G931" s="1">
        <v>45847</v>
      </c>
      <c r="H931" s="1">
        <v>45849</v>
      </c>
      <c r="I931" s="2">
        <v>1092</v>
      </c>
      <c r="J931" t="s">
        <v>779</v>
      </c>
      <c r="K931" t="s">
        <v>789</v>
      </c>
      <c r="L931" t="s">
        <v>824</v>
      </c>
      <c r="M931" t="s">
        <v>828</v>
      </c>
      <c r="N931" t="str">
        <f t="shared" si="42"/>
        <v>T-3</v>
      </c>
      <c r="O931">
        <f t="shared" si="43"/>
        <v>2025</v>
      </c>
      <c r="P931" t="str">
        <f t="shared" si="44"/>
        <v>7. julio</v>
      </c>
    </row>
    <row r="932" spans="1:16" x14ac:dyDescent="0.35">
      <c r="A932">
        <v>710753</v>
      </c>
      <c r="B932" t="s">
        <v>30</v>
      </c>
      <c r="C932" t="s">
        <v>138</v>
      </c>
      <c r="D932" t="s">
        <v>460</v>
      </c>
      <c r="E932" t="s">
        <v>678</v>
      </c>
      <c r="F932" t="s">
        <v>187</v>
      </c>
      <c r="G932" s="1">
        <v>45847</v>
      </c>
      <c r="H932" s="1">
        <v>45849</v>
      </c>
      <c r="I932" s="2">
        <v>208</v>
      </c>
      <c r="J932" t="s">
        <v>776</v>
      </c>
      <c r="K932" t="s">
        <v>786</v>
      </c>
      <c r="L932" t="s">
        <v>823</v>
      </c>
      <c r="M932" t="s">
        <v>830</v>
      </c>
      <c r="N932" t="str">
        <f t="shared" si="42"/>
        <v>T-3</v>
      </c>
      <c r="O932">
        <f t="shared" si="43"/>
        <v>2025</v>
      </c>
      <c r="P932" t="str">
        <f t="shared" si="44"/>
        <v>7. julio</v>
      </c>
    </row>
    <row r="933" spans="1:16" x14ac:dyDescent="0.35">
      <c r="A933">
        <v>402136</v>
      </c>
      <c r="B933" t="s">
        <v>34</v>
      </c>
      <c r="C933" t="s">
        <v>139</v>
      </c>
      <c r="D933" t="s">
        <v>460</v>
      </c>
      <c r="E933" t="s">
        <v>678</v>
      </c>
      <c r="F933" t="s">
        <v>187</v>
      </c>
      <c r="G933" s="1">
        <v>45847</v>
      </c>
      <c r="H933" s="1">
        <v>45849</v>
      </c>
      <c r="I933" s="2">
        <v>1248</v>
      </c>
      <c r="J933" t="s">
        <v>776</v>
      </c>
      <c r="K933" t="s">
        <v>783</v>
      </c>
      <c r="L933" t="s">
        <v>823</v>
      </c>
      <c r="M933" t="s">
        <v>829</v>
      </c>
      <c r="N933" t="str">
        <f t="shared" si="42"/>
        <v>T-3</v>
      </c>
      <c r="O933">
        <f t="shared" si="43"/>
        <v>2025</v>
      </c>
      <c r="P933" t="str">
        <f t="shared" si="44"/>
        <v>7. julio</v>
      </c>
    </row>
    <row r="934" spans="1:16" x14ac:dyDescent="0.35">
      <c r="A934">
        <v>457426</v>
      </c>
      <c r="B934" t="s">
        <v>5</v>
      </c>
      <c r="C934" t="s">
        <v>138</v>
      </c>
      <c r="D934" t="s">
        <v>460</v>
      </c>
      <c r="E934" t="s">
        <v>678</v>
      </c>
      <c r="F934" t="s">
        <v>187</v>
      </c>
      <c r="G934" s="1">
        <v>45847</v>
      </c>
      <c r="H934" s="1">
        <v>45849</v>
      </c>
      <c r="I934" s="2">
        <v>2288</v>
      </c>
      <c r="J934" t="s">
        <v>776</v>
      </c>
      <c r="K934" t="s">
        <v>786</v>
      </c>
      <c r="L934" t="s">
        <v>823</v>
      </c>
      <c r="M934" t="s">
        <v>830</v>
      </c>
      <c r="N934" t="str">
        <f t="shared" si="42"/>
        <v>T-3</v>
      </c>
      <c r="O934">
        <f t="shared" si="43"/>
        <v>2025</v>
      </c>
      <c r="P934" t="str">
        <f t="shared" si="44"/>
        <v>7. julio</v>
      </c>
    </row>
    <row r="935" spans="1:16" x14ac:dyDescent="0.35">
      <c r="A935">
        <v>720963</v>
      </c>
      <c r="B935" t="s">
        <v>32</v>
      </c>
      <c r="C935" t="s">
        <v>136</v>
      </c>
      <c r="D935" t="s">
        <v>171</v>
      </c>
      <c r="E935" t="s">
        <v>669</v>
      </c>
      <c r="F935" t="s">
        <v>187</v>
      </c>
      <c r="G935" s="1">
        <v>45852</v>
      </c>
      <c r="H935" s="1">
        <v>45853</v>
      </c>
      <c r="I935" s="2">
        <v>802.63</v>
      </c>
      <c r="J935" t="s">
        <v>776</v>
      </c>
      <c r="K935" t="s">
        <v>786</v>
      </c>
      <c r="L935" t="s">
        <v>823</v>
      </c>
      <c r="M935" t="s">
        <v>830</v>
      </c>
      <c r="N935" t="str">
        <f t="shared" si="42"/>
        <v>T-3</v>
      </c>
      <c r="O935">
        <f t="shared" si="43"/>
        <v>2025</v>
      </c>
      <c r="P935" t="str">
        <f t="shared" si="44"/>
        <v>7. julio</v>
      </c>
    </row>
    <row r="936" spans="1:16" x14ac:dyDescent="0.35">
      <c r="A936">
        <v>365246</v>
      </c>
      <c r="B936" t="s">
        <v>30</v>
      </c>
      <c r="C936" t="s">
        <v>138</v>
      </c>
      <c r="D936" t="s">
        <v>171</v>
      </c>
      <c r="E936" t="s">
        <v>669</v>
      </c>
      <c r="F936" t="s">
        <v>187</v>
      </c>
      <c r="G936" s="1">
        <v>45852</v>
      </c>
      <c r="H936" s="1">
        <v>45853</v>
      </c>
      <c r="I936" s="2">
        <v>561.84</v>
      </c>
      <c r="J936" t="s">
        <v>776</v>
      </c>
      <c r="K936" t="s">
        <v>797</v>
      </c>
      <c r="L936" t="s">
        <v>823</v>
      </c>
      <c r="M936" t="s">
        <v>828</v>
      </c>
      <c r="N936" t="str">
        <f t="shared" si="42"/>
        <v>T-3</v>
      </c>
      <c r="O936">
        <f t="shared" si="43"/>
        <v>2025</v>
      </c>
      <c r="P936" t="str">
        <f t="shared" si="44"/>
        <v>7. julio</v>
      </c>
    </row>
    <row r="937" spans="1:16" x14ac:dyDescent="0.35">
      <c r="A937">
        <v>601756</v>
      </c>
      <c r="B937" t="s">
        <v>13</v>
      </c>
      <c r="C937" t="s">
        <v>138</v>
      </c>
      <c r="D937" t="s">
        <v>171</v>
      </c>
      <c r="E937" t="s">
        <v>669</v>
      </c>
      <c r="F937" t="s">
        <v>187</v>
      </c>
      <c r="G937" s="1">
        <v>45854</v>
      </c>
      <c r="H937" s="1">
        <v>45855</v>
      </c>
      <c r="I937" s="2">
        <v>508.33</v>
      </c>
      <c r="J937" t="s">
        <v>776</v>
      </c>
      <c r="K937" t="s">
        <v>783</v>
      </c>
      <c r="L937" t="s">
        <v>823</v>
      </c>
      <c r="M937" t="s">
        <v>828</v>
      </c>
      <c r="N937" t="str">
        <f t="shared" si="42"/>
        <v>T-3</v>
      </c>
      <c r="O937">
        <f t="shared" si="43"/>
        <v>2025</v>
      </c>
      <c r="P937" t="str">
        <f t="shared" si="44"/>
        <v>7. julio</v>
      </c>
    </row>
    <row r="938" spans="1:16" x14ac:dyDescent="0.35">
      <c r="A938">
        <v>721104</v>
      </c>
      <c r="B938" t="s">
        <v>77</v>
      </c>
      <c r="C938" t="s">
        <v>141</v>
      </c>
      <c r="D938" t="s">
        <v>171</v>
      </c>
      <c r="E938" t="s">
        <v>669</v>
      </c>
      <c r="F938" t="s">
        <v>187</v>
      </c>
      <c r="G938" s="1">
        <v>45854</v>
      </c>
      <c r="H938" s="1">
        <v>45855</v>
      </c>
      <c r="I938" s="2">
        <v>290.48</v>
      </c>
      <c r="J938" t="s">
        <v>776</v>
      </c>
      <c r="K938" t="s">
        <v>783</v>
      </c>
      <c r="L938" t="s">
        <v>824</v>
      </c>
      <c r="M938" t="s">
        <v>830</v>
      </c>
      <c r="N938" t="str">
        <f t="shared" si="42"/>
        <v>T-3</v>
      </c>
      <c r="O938">
        <f t="shared" si="43"/>
        <v>2025</v>
      </c>
      <c r="P938" t="str">
        <f t="shared" si="44"/>
        <v>7. julio</v>
      </c>
    </row>
    <row r="939" spans="1:16" x14ac:dyDescent="0.35">
      <c r="A939">
        <v>712046</v>
      </c>
      <c r="B939" t="s">
        <v>4</v>
      </c>
      <c r="C939" t="s">
        <v>136</v>
      </c>
      <c r="D939" t="s">
        <v>171</v>
      </c>
      <c r="E939" t="s">
        <v>669</v>
      </c>
      <c r="F939" t="s">
        <v>187</v>
      </c>
      <c r="G939" s="1">
        <v>45854</v>
      </c>
      <c r="H939" s="1">
        <v>45855</v>
      </c>
      <c r="I939" s="2">
        <v>653.57000000000005</v>
      </c>
      <c r="J939" t="s">
        <v>776</v>
      </c>
      <c r="K939" t="s">
        <v>783</v>
      </c>
      <c r="L939" t="s">
        <v>823</v>
      </c>
      <c r="M939" t="s">
        <v>829</v>
      </c>
      <c r="N939" t="str">
        <f t="shared" si="42"/>
        <v>T-3</v>
      </c>
      <c r="O939">
        <f t="shared" si="43"/>
        <v>2025</v>
      </c>
      <c r="P939" t="str">
        <f t="shared" si="44"/>
        <v>7. julio</v>
      </c>
    </row>
    <row r="940" spans="1:16" x14ac:dyDescent="0.35">
      <c r="A940">
        <v>110999</v>
      </c>
      <c r="B940" t="s">
        <v>105</v>
      </c>
      <c r="C940" t="s">
        <v>139</v>
      </c>
      <c r="D940" t="s">
        <v>446</v>
      </c>
      <c r="E940" t="s">
        <v>740</v>
      </c>
      <c r="F940" t="s">
        <v>187</v>
      </c>
      <c r="G940" s="1">
        <v>45847</v>
      </c>
      <c r="H940" s="1">
        <v>45853</v>
      </c>
      <c r="I940" s="2">
        <v>624</v>
      </c>
      <c r="J940" t="s">
        <v>779</v>
      </c>
      <c r="K940" t="s">
        <v>783</v>
      </c>
      <c r="L940" t="s">
        <v>823</v>
      </c>
      <c r="M940" t="s">
        <v>830</v>
      </c>
      <c r="N940" t="str">
        <f t="shared" si="42"/>
        <v>T-3</v>
      </c>
      <c r="O940">
        <f t="shared" si="43"/>
        <v>2025</v>
      </c>
      <c r="P940" t="str">
        <f t="shared" si="44"/>
        <v>7. julio</v>
      </c>
    </row>
    <row r="941" spans="1:16" x14ac:dyDescent="0.35">
      <c r="A941">
        <v>566445</v>
      </c>
      <c r="B941" t="s">
        <v>24</v>
      </c>
      <c r="C941" t="s">
        <v>138</v>
      </c>
      <c r="D941" t="s">
        <v>446</v>
      </c>
      <c r="E941" t="s">
        <v>740</v>
      </c>
      <c r="F941" t="s">
        <v>187</v>
      </c>
      <c r="G941" s="1">
        <v>45847</v>
      </c>
      <c r="H941" s="1">
        <v>45853</v>
      </c>
      <c r="I941" s="2">
        <v>1040</v>
      </c>
      <c r="J941" t="s">
        <v>779</v>
      </c>
      <c r="K941" t="s">
        <v>783</v>
      </c>
      <c r="L941" t="s">
        <v>823</v>
      </c>
      <c r="M941" t="s">
        <v>830</v>
      </c>
      <c r="N941" t="str">
        <f t="shared" si="42"/>
        <v>T-3</v>
      </c>
      <c r="O941">
        <f t="shared" si="43"/>
        <v>2025</v>
      </c>
      <c r="P941" t="str">
        <f t="shared" si="44"/>
        <v>7. julio</v>
      </c>
    </row>
    <row r="942" spans="1:16" x14ac:dyDescent="0.35">
      <c r="A942">
        <v>703574</v>
      </c>
      <c r="B942" t="s">
        <v>45</v>
      </c>
      <c r="C942" t="s">
        <v>139</v>
      </c>
      <c r="D942" t="s">
        <v>446</v>
      </c>
      <c r="E942" t="s">
        <v>740</v>
      </c>
      <c r="F942" t="s">
        <v>187</v>
      </c>
      <c r="G942" s="1">
        <v>45847</v>
      </c>
      <c r="H942" s="1">
        <v>45853</v>
      </c>
      <c r="I942" s="2">
        <v>3536</v>
      </c>
      <c r="J942" t="s">
        <v>779</v>
      </c>
      <c r="K942" t="s">
        <v>783</v>
      </c>
      <c r="L942" t="s">
        <v>823</v>
      </c>
      <c r="M942" t="s">
        <v>828</v>
      </c>
      <c r="N942" t="str">
        <f t="shared" si="42"/>
        <v>T-3</v>
      </c>
      <c r="O942">
        <f t="shared" si="43"/>
        <v>2025</v>
      </c>
      <c r="P942" t="str">
        <f t="shared" si="44"/>
        <v>7. julio</v>
      </c>
    </row>
    <row r="943" spans="1:16" x14ac:dyDescent="0.35">
      <c r="A943">
        <v>720865</v>
      </c>
      <c r="B943" t="s">
        <v>25</v>
      </c>
      <c r="C943" t="s">
        <v>139</v>
      </c>
      <c r="D943" t="s">
        <v>446</v>
      </c>
      <c r="E943" t="s">
        <v>740</v>
      </c>
      <c r="F943" t="s">
        <v>187</v>
      </c>
      <c r="G943" s="1">
        <v>45847</v>
      </c>
      <c r="H943" s="1">
        <v>45853</v>
      </c>
      <c r="I943" s="2">
        <v>208</v>
      </c>
      <c r="J943" t="s">
        <v>779</v>
      </c>
      <c r="K943" t="s">
        <v>783</v>
      </c>
      <c r="L943" t="s">
        <v>823</v>
      </c>
      <c r="M943" t="s">
        <v>828</v>
      </c>
      <c r="N943" t="str">
        <f t="shared" si="42"/>
        <v>T-3</v>
      </c>
      <c r="O943">
        <f t="shared" si="43"/>
        <v>2025</v>
      </c>
      <c r="P943" t="str">
        <f t="shared" si="44"/>
        <v>7. julio</v>
      </c>
    </row>
    <row r="944" spans="1:16" x14ac:dyDescent="0.35">
      <c r="A944">
        <v>420694</v>
      </c>
      <c r="B944" t="s">
        <v>30</v>
      </c>
      <c r="C944" t="s">
        <v>138</v>
      </c>
      <c r="D944" t="s">
        <v>446</v>
      </c>
      <c r="E944" t="s">
        <v>740</v>
      </c>
      <c r="F944" t="s">
        <v>187</v>
      </c>
      <c r="G944" s="1">
        <v>45847</v>
      </c>
      <c r="H944" s="1">
        <v>45853</v>
      </c>
      <c r="I944" s="2">
        <v>208</v>
      </c>
      <c r="J944" t="s">
        <v>779</v>
      </c>
      <c r="K944" t="s">
        <v>783</v>
      </c>
      <c r="L944" t="s">
        <v>823</v>
      </c>
      <c r="M944" t="s">
        <v>829</v>
      </c>
      <c r="N944" t="str">
        <f t="shared" si="42"/>
        <v>T-3</v>
      </c>
      <c r="O944">
        <f t="shared" si="43"/>
        <v>2025</v>
      </c>
      <c r="P944" t="str">
        <f t="shared" si="44"/>
        <v>7. julio</v>
      </c>
    </row>
    <row r="945" spans="1:16" x14ac:dyDescent="0.35">
      <c r="A945">
        <v>701572</v>
      </c>
      <c r="B945" t="s">
        <v>24</v>
      </c>
      <c r="C945" t="s">
        <v>138</v>
      </c>
      <c r="D945" t="s">
        <v>167</v>
      </c>
      <c r="E945" t="s">
        <v>717</v>
      </c>
      <c r="F945" t="s">
        <v>773</v>
      </c>
      <c r="G945" s="1">
        <v>46006</v>
      </c>
      <c r="H945" s="1">
        <v>46006</v>
      </c>
      <c r="I945" s="2">
        <v>275</v>
      </c>
      <c r="J945" t="s">
        <v>774</v>
      </c>
      <c r="K945" t="s">
        <v>783</v>
      </c>
      <c r="L945" t="s">
        <v>823</v>
      </c>
      <c r="M945" t="s">
        <v>830</v>
      </c>
      <c r="N945" t="str">
        <f t="shared" si="42"/>
        <v>T-4</v>
      </c>
      <c r="O945">
        <f t="shared" si="43"/>
        <v>2025</v>
      </c>
      <c r="P945" t="str">
        <f t="shared" si="44"/>
        <v>12. diciembre</v>
      </c>
    </row>
    <row r="946" spans="1:16" x14ac:dyDescent="0.35">
      <c r="A946">
        <v>610390</v>
      </c>
      <c r="B946" t="s">
        <v>13</v>
      </c>
      <c r="C946" t="s">
        <v>138</v>
      </c>
      <c r="D946" t="s">
        <v>199</v>
      </c>
      <c r="E946" t="s">
        <v>651</v>
      </c>
      <c r="F946" t="s">
        <v>187</v>
      </c>
      <c r="G946" s="1">
        <v>45831</v>
      </c>
      <c r="H946" s="1">
        <v>45838</v>
      </c>
      <c r="I946" s="2">
        <v>2150</v>
      </c>
      <c r="J946" t="s">
        <v>776</v>
      </c>
      <c r="K946" t="s">
        <v>783</v>
      </c>
      <c r="L946" t="s">
        <v>824</v>
      </c>
      <c r="M946" t="s">
        <v>830</v>
      </c>
      <c r="N946" t="str">
        <f t="shared" si="42"/>
        <v>T-2</v>
      </c>
      <c r="O946">
        <f t="shared" si="43"/>
        <v>2025</v>
      </c>
      <c r="P946" t="str">
        <f t="shared" si="44"/>
        <v>6. junio</v>
      </c>
    </row>
    <row r="947" spans="1:16" x14ac:dyDescent="0.35">
      <c r="A947">
        <v>130939</v>
      </c>
      <c r="B947" t="s">
        <v>71</v>
      </c>
      <c r="C947" t="s">
        <v>136</v>
      </c>
      <c r="D947" t="s">
        <v>199</v>
      </c>
      <c r="E947" t="s">
        <v>651</v>
      </c>
      <c r="F947" t="s">
        <v>187</v>
      </c>
      <c r="G947" s="1">
        <v>45839</v>
      </c>
      <c r="H947" s="1">
        <v>45848</v>
      </c>
      <c r="I947" s="2">
        <v>2517</v>
      </c>
      <c r="J947" t="s">
        <v>776</v>
      </c>
      <c r="K947" t="s">
        <v>783</v>
      </c>
      <c r="L947" t="s">
        <v>823</v>
      </c>
      <c r="M947" t="s">
        <v>828</v>
      </c>
      <c r="N947" t="str">
        <f t="shared" si="42"/>
        <v>T-3</v>
      </c>
      <c r="O947">
        <f t="shared" si="43"/>
        <v>2025</v>
      </c>
      <c r="P947" t="str">
        <f t="shared" si="44"/>
        <v>7. julio</v>
      </c>
    </row>
    <row r="948" spans="1:16" x14ac:dyDescent="0.35">
      <c r="A948">
        <v>721796</v>
      </c>
      <c r="B948" t="s">
        <v>30</v>
      </c>
      <c r="C948" t="s">
        <v>138</v>
      </c>
      <c r="D948" t="s">
        <v>199</v>
      </c>
      <c r="E948" t="s">
        <v>651</v>
      </c>
      <c r="F948" t="s">
        <v>187</v>
      </c>
      <c r="G948" s="1">
        <v>45839</v>
      </c>
      <c r="H948" s="1">
        <v>45848</v>
      </c>
      <c r="I948" s="2">
        <v>597.75</v>
      </c>
      <c r="J948" t="s">
        <v>776</v>
      </c>
      <c r="K948" t="s">
        <v>783</v>
      </c>
      <c r="L948" t="s">
        <v>823</v>
      </c>
      <c r="M948" t="s">
        <v>830</v>
      </c>
      <c r="N948" t="str">
        <f t="shared" si="42"/>
        <v>T-3</v>
      </c>
      <c r="O948">
        <f t="shared" si="43"/>
        <v>2025</v>
      </c>
      <c r="P948" t="str">
        <f t="shared" si="44"/>
        <v>7. julio</v>
      </c>
    </row>
    <row r="949" spans="1:16" x14ac:dyDescent="0.35">
      <c r="A949">
        <v>720347</v>
      </c>
      <c r="B949" t="s">
        <v>34</v>
      </c>
      <c r="C949" t="s">
        <v>138</v>
      </c>
      <c r="D949" t="s">
        <v>199</v>
      </c>
      <c r="E949" t="s">
        <v>651</v>
      </c>
      <c r="F949" t="s">
        <v>187</v>
      </c>
      <c r="G949" s="1">
        <v>45831</v>
      </c>
      <c r="H949" s="1">
        <v>45838</v>
      </c>
      <c r="I949" s="2">
        <v>5160</v>
      </c>
      <c r="J949" t="s">
        <v>776</v>
      </c>
      <c r="K949" t="s">
        <v>799</v>
      </c>
      <c r="L949" t="s">
        <v>823</v>
      </c>
      <c r="M949" t="s">
        <v>829</v>
      </c>
      <c r="N949" t="str">
        <f t="shared" si="42"/>
        <v>T-2</v>
      </c>
      <c r="O949">
        <f t="shared" si="43"/>
        <v>2025</v>
      </c>
      <c r="P949" t="str">
        <f t="shared" si="44"/>
        <v>6. junio</v>
      </c>
    </row>
    <row r="950" spans="1:16" x14ac:dyDescent="0.35">
      <c r="A950">
        <v>700787</v>
      </c>
      <c r="B950" t="s">
        <v>30</v>
      </c>
      <c r="C950" t="s">
        <v>138</v>
      </c>
      <c r="D950" t="s">
        <v>199</v>
      </c>
      <c r="E950" t="s">
        <v>651</v>
      </c>
      <c r="F950" t="s">
        <v>187</v>
      </c>
      <c r="G950" s="1">
        <v>45839</v>
      </c>
      <c r="H950" s="1">
        <v>45848</v>
      </c>
      <c r="I950" s="2">
        <v>430</v>
      </c>
      <c r="J950" t="s">
        <v>776</v>
      </c>
      <c r="K950" t="s">
        <v>783</v>
      </c>
      <c r="L950" t="s">
        <v>823</v>
      </c>
      <c r="M950" t="s">
        <v>830</v>
      </c>
      <c r="N950" t="str">
        <f t="shared" si="42"/>
        <v>T-3</v>
      </c>
      <c r="O950">
        <f t="shared" si="43"/>
        <v>2025</v>
      </c>
      <c r="P950" t="str">
        <f t="shared" si="44"/>
        <v>7. julio</v>
      </c>
    </row>
    <row r="951" spans="1:16" x14ac:dyDescent="0.35">
      <c r="A951">
        <v>703425</v>
      </c>
      <c r="B951" t="s">
        <v>30</v>
      </c>
      <c r="C951" t="s">
        <v>138</v>
      </c>
      <c r="D951" t="s">
        <v>199</v>
      </c>
      <c r="E951" t="s">
        <v>651</v>
      </c>
      <c r="F951" t="s">
        <v>187</v>
      </c>
      <c r="G951" s="1">
        <v>45839</v>
      </c>
      <c r="H951" s="1">
        <v>45848</v>
      </c>
      <c r="I951" s="2">
        <v>1290</v>
      </c>
      <c r="J951" t="s">
        <v>776</v>
      </c>
      <c r="K951" t="s">
        <v>785</v>
      </c>
      <c r="L951" t="s">
        <v>823</v>
      </c>
      <c r="M951" t="s">
        <v>830</v>
      </c>
      <c r="N951" t="str">
        <f t="shared" si="42"/>
        <v>T-3</v>
      </c>
      <c r="O951">
        <f t="shared" si="43"/>
        <v>2025</v>
      </c>
      <c r="P951" t="str">
        <f t="shared" si="44"/>
        <v>7. julio</v>
      </c>
    </row>
    <row r="952" spans="1:16" x14ac:dyDescent="0.35">
      <c r="A952">
        <v>718355</v>
      </c>
      <c r="B952" t="s">
        <v>106</v>
      </c>
      <c r="C952" t="s">
        <v>140</v>
      </c>
      <c r="D952" t="s">
        <v>480</v>
      </c>
      <c r="E952" t="s">
        <v>714</v>
      </c>
      <c r="F952" t="s">
        <v>187</v>
      </c>
      <c r="G952" s="1">
        <v>45856</v>
      </c>
      <c r="H952" s="1">
        <v>45860</v>
      </c>
      <c r="I952" s="2">
        <v>910.01</v>
      </c>
      <c r="J952" t="s">
        <v>779</v>
      </c>
      <c r="K952" t="s">
        <v>787</v>
      </c>
      <c r="L952" t="s">
        <v>824</v>
      </c>
      <c r="M952" t="s">
        <v>828</v>
      </c>
      <c r="N952" t="str">
        <f t="shared" si="42"/>
        <v>T-3</v>
      </c>
      <c r="O952">
        <f t="shared" si="43"/>
        <v>2025</v>
      </c>
      <c r="P952" t="str">
        <f t="shared" si="44"/>
        <v>7. julio</v>
      </c>
    </row>
    <row r="953" spans="1:16" x14ac:dyDescent="0.35">
      <c r="A953">
        <v>404758</v>
      </c>
      <c r="B953" t="s">
        <v>28</v>
      </c>
      <c r="C953" t="s">
        <v>139</v>
      </c>
      <c r="D953" t="s">
        <v>480</v>
      </c>
      <c r="E953" t="s">
        <v>714</v>
      </c>
      <c r="F953" t="s">
        <v>187</v>
      </c>
      <c r="G953" s="1">
        <v>45856</v>
      </c>
      <c r="H953" s="1">
        <v>45860</v>
      </c>
      <c r="I953" s="2">
        <v>744.57</v>
      </c>
      <c r="J953" t="s">
        <v>779</v>
      </c>
      <c r="K953" t="s">
        <v>783</v>
      </c>
      <c r="L953" t="s">
        <v>823</v>
      </c>
      <c r="M953" t="s">
        <v>828</v>
      </c>
      <c r="N953" t="str">
        <f t="shared" si="42"/>
        <v>T-3</v>
      </c>
      <c r="O953">
        <f t="shared" si="43"/>
        <v>2025</v>
      </c>
      <c r="P953" t="str">
        <f t="shared" si="44"/>
        <v>7. julio</v>
      </c>
    </row>
    <row r="954" spans="1:16" x14ac:dyDescent="0.35">
      <c r="A954">
        <v>710927</v>
      </c>
      <c r="B954" t="s">
        <v>33</v>
      </c>
      <c r="C954" t="s">
        <v>136</v>
      </c>
      <c r="D954" t="s">
        <v>451</v>
      </c>
      <c r="E954" t="s">
        <v>714</v>
      </c>
      <c r="F954" t="s">
        <v>187</v>
      </c>
      <c r="G954" s="1">
        <v>45859</v>
      </c>
      <c r="H954" s="1">
        <v>45859</v>
      </c>
      <c r="I954" s="2">
        <v>288.89</v>
      </c>
      <c r="J954" t="s">
        <v>779</v>
      </c>
      <c r="K954" t="s">
        <v>783</v>
      </c>
      <c r="L954" t="s">
        <v>823</v>
      </c>
      <c r="M954" t="s">
        <v>830</v>
      </c>
      <c r="N954" t="str">
        <f t="shared" si="42"/>
        <v>T-3</v>
      </c>
      <c r="O954">
        <f t="shared" si="43"/>
        <v>2025</v>
      </c>
      <c r="P954" t="str">
        <f t="shared" si="44"/>
        <v>7. julio</v>
      </c>
    </row>
    <row r="955" spans="1:16" x14ac:dyDescent="0.35">
      <c r="A955">
        <v>589389</v>
      </c>
      <c r="B955" t="s">
        <v>22</v>
      </c>
      <c r="C955" t="s">
        <v>138</v>
      </c>
      <c r="D955" t="s">
        <v>451</v>
      </c>
      <c r="E955" t="s">
        <v>714</v>
      </c>
      <c r="F955" t="s">
        <v>187</v>
      </c>
      <c r="G955" s="1">
        <v>45859</v>
      </c>
      <c r="H955" s="1">
        <v>45859</v>
      </c>
      <c r="I955" s="2">
        <v>361.11</v>
      </c>
      <c r="J955" t="s">
        <v>779</v>
      </c>
      <c r="K955" t="s">
        <v>783</v>
      </c>
      <c r="L955" t="s">
        <v>823</v>
      </c>
      <c r="M955" t="s">
        <v>829</v>
      </c>
      <c r="N955" t="str">
        <f t="shared" si="42"/>
        <v>T-3</v>
      </c>
      <c r="O955">
        <f t="shared" si="43"/>
        <v>2025</v>
      </c>
      <c r="P955" t="str">
        <f t="shared" si="44"/>
        <v>7. julio</v>
      </c>
    </row>
    <row r="956" spans="1:16" x14ac:dyDescent="0.35">
      <c r="A956">
        <v>718794</v>
      </c>
      <c r="B956" t="s">
        <v>5</v>
      </c>
      <c r="C956" t="s">
        <v>138</v>
      </c>
      <c r="D956" t="s">
        <v>451</v>
      </c>
      <c r="E956" t="s">
        <v>714</v>
      </c>
      <c r="F956" t="s">
        <v>187</v>
      </c>
      <c r="G956" s="1">
        <v>45859</v>
      </c>
      <c r="H956" s="1">
        <v>45859</v>
      </c>
      <c r="I956" s="2">
        <v>252.78</v>
      </c>
      <c r="J956" t="s">
        <v>779</v>
      </c>
      <c r="K956" t="s">
        <v>783</v>
      </c>
      <c r="L956" t="s">
        <v>823</v>
      </c>
      <c r="M956" t="s">
        <v>830</v>
      </c>
      <c r="N956" t="str">
        <f t="shared" si="42"/>
        <v>T-3</v>
      </c>
      <c r="O956">
        <f t="shared" si="43"/>
        <v>2025</v>
      </c>
      <c r="P956" t="str">
        <f t="shared" si="44"/>
        <v>7. julio</v>
      </c>
    </row>
    <row r="957" spans="1:16" x14ac:dyDescent="0.35">
      <c r="A957">
        <v>712310</v>
      </c>
      <c r="B957" t="s">
        <v>30</v>
      </c>
      <c r="C957" t="s">
        <v>138</v>
      </c>
      <c r="D957" t="s">
        <v>478</v>
      </c>
      <c r="E957" t="s">
        <v>714</v>
      </c>
      <c r="F957" t="s">
        <v>187</v>
      </c>
      <c r="G957" s="1">
        <v>45860</v>
      </c>
      <c r="H957" s="1">
        <v>45861</v>
      </c>
      <c r="I957" s="2">
        <v>1213.3</v>
      </c>
      <c r="J957" t="s">
        <v>779</v>
      </c>
      <c r="K957" t="s">
        <v>809</v>
      </c>
      <c r="L957" t="s">
        <v>823</v>
      </c>
      <c r="M957" t="s">
        <v>830</v>
      </c>
      <c r="N957" t="str">
        <f t="shared" si="42"/>
        <v>T-3</v>
      </c>
      <c r="O957">
        <f t="shared" si="43"/>
        <v>2025</v>
      </c>
      <c r="P957" t="str">
        <f t="shared" si="44"/>
        <v>7. julio</v>
      </c>
    </row>
    <row r="958" spans="1:16" x14ac:dyDescent="0.35">
      <c r="A958">
        <v>714808</v>
      </c>
      <c r="B958" t="s">
        <v>23</v>
      </c>
      <c r="C958" t="s">
        <v>138</v>
      </c>
      <c r="D958" t="s">
        <v>478</v>
      </c>
      <c r="E958" t="s">
        <v>714</v>
      </c>
      <c r="F958" t="s">
        <v>187</v>
      </c>
      <c r="G958" s="1">
        <v>45860</v>
      </c>
      <c r="H958" s="1">
        <v>45861</v>
      </c>
      <c r="I958" s="2">
        <v>455</v>
      </c>
      <c r="J958" t="s">
        <v>779</v>
      </c>
      <c r="K958" t="s">
        <v>790</v>
      </c>
      <c r="L958" t="s">
        <v>823</v>
      </c>
      <c r="M958" t="s">
        <v>828</v>
      </c>
      <c r="N958" t="str">
        <f t="shared" si="42"/>
        <v>T-3</v>
      </c>
      <c r="O958">
        <f t="shared" si="43"/>
        <v>2025</v>
      </c>
      <c r="P958" t="str">
        <f t="shared" si="44"/>
        <v>7. julio</v>
      </c>
    </row>
    <row r="959" spans="1:16" x14ac:dyDescent="0.35">
      <c r="A959">
        <v>474384</v>
      </c>
      <c r="B959" t="s">
        <v>27</v>
      </c>
      <c r="C959" t="s">
        <v>139</v>
      </c>
      <c r="D959" t="s">
        <v>477</v>
      </c>
      <c r="E959" t="s">
        <v>714</v>
      </c>
      <c r="F959" t="s">
        <v>187</v>
      </c>
      <c r="G959" s="1">
        <v>45861</v>
      </c>
      <c r="H959" s="1">
        <v>45861</v>
      </c>
      <c r="I959" s="2">
        <v>522.30999999999995</v>
      </c>
      <c r="J959" t="s">
        <v>779</v>
      </c>
      <c r="K959" t="s">
        <v>785</v>
      </c>
      <c r="L959" t="s">
        <v>824</v>
      </c>
      <c r="M959" t="s">
        <v>828</v>
      </c>
      <c r="N959" t="str">
        <f t="shared" si="42"/>
        <v>T-3</v>
      </c>
      <c r="O959">
        <f t="shared" si="43"/>
        <v>2025</v>
      </c>
      <c r="P959" t="str">
        <f t="shared" si="44"/>
        <v>7. julio</v>
      </c>
    </row>
    <row r="960" spans="1:16" x14ac:dyDescent="0.35">
      <c r="A960">
        <v>720145</v>
      </c>
      <c r="B960" t="s">
        <v>23</v>
      </c>
      <c r="C960" t="s">
        <v>138</v>
      </c>
      <c r="D960" t="s">
        <v>477</v>
      </c>
      <c r="E960" t="s">
        <v>714</v>
      </c>
      <c r="F960" t="s">
        <v>187</v>
      </c>
      <c r="G960" s="1">
        <v>45861</v>
      </c>
      <c r="H960" s="1">
        <v>45861</v>
      </c>
      <c r="I960" s="2">
        <v>348.21</v>
      </c>
      <c r="J960" t="s">
        <v>779</v>
      </c>
      <c r="K960" t="s">
        <v>787</v>
      </c>
      <c r="L960" t="s">
        <v>823</v>
      </c>
      <c r="M960" t="s">
        <v>829</v>
      </c>
      <c r="N960" t="str">
        <f t="shared" si="42"/>
        <v>T-3</v>
      </c>
      <c r="O960">
        <f t="shared" si="43"/>
        <v>2025</v>
      </c>
      <c r="P960" t="str">
        <f t="shared" si="44"/>
        <v>7. julio</v>
      </c>
    </row>
    <row r="961" spans="1:16" x14ac:dyDescent="0.35">
      <c r="A961">
        <v>702225</v>
      </c>
      <c r="B961" t="s">
        <v>53</v>
      </c>
      <c r="C961" t="s">
        <v>138</v>
      </c>
      <c r="D961" t="s">
        <v>167</v>
      </c>
      <c r="E961" t="s">
        <v>717</v>
      </c>
      <c r="F961" t="s">
        <v>773</v>
      </c>
      <c r="G961" s="1">
        <v>46267</v>
      </c>
      <c r="H961" s="1">
        <v>46267</v>
      </c>
      <c r="I961" s="2">
        <v>384.75</v>
      </c>
      <c r="J961" t="s">
        <v>774</v>
      </c>
      <c r="K961" t="s">
        <v>783</v>
      </c>
      <c r="L961" t="s">
        <v>823</v>
      </c>
      <c r="M961" t="s">
        <v>830</v>
      </c>
      <c r="N961" t="str">
        <f t="shared" si="42"/>
        <v>T-3</v>
      </c>
      <c r="O961">
        <f t="shared" si="43"/>
        <v>2026</v>
      </c>
      <c r="P961" t="str">
        <f t="shared" si="44"/>
        <v>9. septiembre</v>
      </c>
    </row>
    <row r="962" spans="1:16" x14ac:dyDescent="0.35">
      <c r="A962">
        <v>718635</v>
      </c>
      <c r="B962" t="s">
        <v>37</v>
      </c>
      <c r="C962" t="s">
        <v>137</v>
      </c>
      <c r="D962" t="s">
        <v>167</v>
      </c>
      <c r="E962" t="s">
        <v>717</v>
      </c>
      <c r="F962" t="s">
        <v>773</v>
      </c>
      <c r="G962" s="1">
        <v>46267</v>
      </c>
      <c r="H962" s="1">
        <v>46267</v>
      </c>
      <c r="I962" s="2">
        <v>384.75</v>
      </c>
      <c r="J962" t="s">
        <v>774</v>
      </c>
      <c r="K962" t="s">
        <v>783</v>
      </c>
      <c r="L962" t="s">
        <v>823</v>
      </c>
      <c r="M962" t="s">
        <v>830</v>
      </c>
      <c r="N962" t="str">
        <f t="shared" si="42"/>
        <v>T-3</v>
      </c>
      <c r="O962">
        <f t="shared" si="43"/>
        <v>2026</v>
      </c>
      <c r="P962" t="str">
        <f t="shared" si="44"/>
        <v>9. septiembre</v>
      </c>
    </row>
    <row r="963" spans="1:16" x14ac:dyDescent="0.35">
      <c r="A963">
        <v>607523</v>
      </c>
      <c r="B963" t="s">
        <v>13</v>
      </c>
      <c r="C963" t="s">
        <v>138</v>
      </c>
      <c r="D963" t="s">
        <v>177</v>
      </c>
      <c r="E963" t="s">
        <v>651</v>
      </c>
      <c r="F963" t="s">
        <v>187</v>
      </c>
      <c r="G963" s="1">
        <v>45846</v>
      </c>
      <c r="H963" s="1">
        <v>45848</v>
      </c>
      <c r="I963" s="2">
        <v>779.41</v>
      </c>
      <c r="J963" t="s">
        <v>776</v>
      </c>
      <c r="K963" t="s">
        <v>783</v>
      </c>
      <c r="L963" t="s">
        <v>823</v>
      </c>
      <c r="M963" t="s">
        <v>828</v>
      </c>
      <c r="N963" t="str">
        <f t="shared" ref="N963:N1026" si="45">"T-" &amp; ROUNDUP((MONTH(G963)/3), 0)</f>
        <v>T-3</v>
      </c>
      <c r="O963">
        <f t="shared" ref="O963:O1026" si="46">YEAR(G963)</f>
        <v>2025</v>
      </c>
      <c r="P963" t="str">
        <f t="shared" ref="P963:P1026" si="47">MONTH(G963) &amp; ". " &amp; TEXT(G963, "MMMM")</f>
        <v>7. julio</v>
      </c>
    </row>
    <row r="964" spans="1:16" x14ac:dyDescent="0.35">
      <c r="A964">
        <v>721847</v>
      </c>
      <c r="B964" t="s">
        <v>5</v>
      </c>
      <c r="C964" t="s">
        <v>138</v>
      </c>
      <c r="D964" t="s">
        <v>177</v>
      </c>
      <c r="E964" t="s">
        <v>651</v>
      </c>
      <c r="F964" t="s">
        <v>187</v>
      </c>
      <c r="G964" s="1">
        <v>45846</v>
      </c>
      <c r="H964" s="1">
        <v>45848</v>
      </c>
      <c r="I964" s="2">
        <v>1091.18</v>
      </c>
      <c r="J964" t="s">
        <v>776</v>
      </c>
      <c r="K964" t="s">
        <v>807</v>
      </c>
      <c r="L964" t="s">
        <v>823</v>
      </c>
      <c r="M964" t="s">
        <v>830</v>
      </c>
      <c r="N964" t="str">
        <f t="shared" si="45"/>
        <v>T-3</v>
      </c>
      <c r="O964">
        <f t="shared" si="46"/>
        <v>2025</v>
      </c>
      <c r="P964" t="str">
        <f t="shared" si="47"/>
        <v>7. julio</v>
      </c>
    </row>
    <row r="965" spans="1:16" x14ac:dyDescent="0.35">
      <c r="A965">
        <v>702042</v>
      </c>
      <c r="B965" t="s">
        <v>20</v>
      </c>
      <c r="C965" t="s">
        <v>136</v>
      </c>
      <c r="D965" t="s">
        <v>177</v>
      </c>
      <c r="E965" t="s">
        <v>651</v>
      </c>
      <c r="F965" t="s">
        <v>187</v>
      </c>
      <c r="G965" s="1">
        <v>45846</v>
      </c>
      <c r="H965" s="1">
        <v>45848</v>
      </c>
      <c r="I965" s="2">
        <v>623.53</v>
      </c>
      <c r="J965" t="s">
        <v>776</v>
      </c>
      <c r="K965" t="s">
        <v>783</v>
      </c>
      <c r="L965" t="s">
        <v>823</v>
      </c>
      <c r="M965" t="s">
        <v>829</v>
      </c>
      <c r="N965" t="str">
        <f t="shared" si="45"/>
        <v>T-3</v>
      </c>
      <c r="O965">
        <f t="shared" si="46"/>
        <v>2025</v>
      </c>
      <c r="P965" t="str">
        <f t="shared" si="47"/>
        <v>7. julio</v>
      </c>
    </row>
    <row r="966" spans="1:16" x14ac:dyDescent="0.35">
      <c r="A966">
        <v>706456</v>
      </c>
      <c r="B966" t="s">
        <v>20</v>
      </c>
      <c r="C966" t="s">
        <v>136</v>
      </c>
      <c r="D966" t="s">
        <v>481</v>
      </c>
      <c r="E966" t="s">
        <v>651</v>
      </c>
      <c r="F966" t="s">
        <v>187</v>
      </c>
      <c r="G966" s="1">
        <v>45845</v>
      </c>
      <c r="H966" s="1">
        <v>45849</v>
      </c>
      <c r="I966" s="2">
        <v>1395.79</v>
      </c>
      <c r="J966" t="s">
        <v>776</v>
      </c>
      <c r="K966" t="s">
        <v>783</v>
      </c>
      <c r="L966" t="s">
        <v>823</v>
      </c>
      <c r="M966" t="s">
        <v>830</v>
      </c>
      <c r="N966" t="str">
        <f t="shared" si="45"/>
        <v>T-3</v>
      </c>
      <c r="O966">
        <f t="shared" si="46"/>
        <v>2025</v>
      </c>
      <c r="P966" t="str">
        <f t="shared" si="47"/>
        <v>7. julio</v>
      </c>
    </row>
    <row r="967" spans="1:16" x14ac:dyDescent="0.35">
      <c r="A967">
        <v>702493</v>
      </c>
      <c r="B967" t="s">
        <v>24</v>
      </c>
      <c r="C967" t="s">
        <v>138</v>
      </c>
      <c r="D967" t="s">
        <v>481</v>
      </c>
      <c r="E967" t="s">
        <v>651</v>
      </c>
      <c r="F967" t="s">
        <v>187</v>
      </c>
      <c r="G967" s="1">
        <v>45845</v>
      </c>
      <c r="H967" s="1">
        <v>45849</v>
      </c>
      <c r="I967" s="2">
        <v>930.53</v>
      </c>
      <c r="J967" t="s">
        <v>776</v>
      </c>
      <c r="K967" t="s">
        <v>783</v>
      </c>
      <c r="L967" t="s">
        <v>824</v>
      </c>
      <c r="M967" t="s">
        <v>830</v>
      </c>
      <c r="N967" t="str">
        <f t="shared" si="45"/>
        <v>T-3</v>
      </c>
      <c r="O967">
        <f t="shared" si="46"/>
        <v>2025</v>
      </c>
      <c r="P967" t="str">
        <f t="shared" si="47"/>
        <v>7. julio</v>
      </c>
    </row>
    <row r="968" spans="1:16" x14ac:dyDescent="0.35">
      <c r="A968">
        <v>708782</v>
      </c>
      <c r="B968" t="s">
        <v>30</v>
      </c>
      <c r="C968" t="s">
        <v>138</v>
      </c>
      <c r="D968" t="s">
        <v>481</v>
      </c>
      <c r="E968" t="s">
        <v>651</v>
      </c>
      <c r="F968" t="s">
        <v>187</v>
      </c>
      <c r="G968" s="1">
        <v>45845</v>
      </c>
      <c r="H968" s="1">
        <v>45849</v>
      </c>
      <c r="I968" s="2">
        <v>2093.6799999999998</v>
      </c>
      <c r="J968" t="s">
        <v>776</v>
      </c>
      <c r="K968" t="s">
        <v>783</v>
      </c>
      <c r="L968" t="s">
        <v>823</v>
      </c>
      <c r="M968" t="s">
        <v>828</v>
      </c>
      <c r="N968" t="str">
        <f t="shared" si="45"/>
        <v>T-3</v>
      </c>
      <c r="O968">
        <f t="shared" si="46"/>
        <v>2025</v>
      </c>
      <c r="P968" t="str">
        <f t="shared" si="47"/>
        <v>7. julio</v>
      </c>
    </row>
    <row r="969" spans="1:16" x14ac:dyDescent="0.35">
      <c r="A969">
        <v>719666</v>
      </c>
      <c r="B969" t="s">
        <v>43</v>
      </c>
      <c r="C969" t="s">
        <v>138</v>
      </c>
      <c r="D969" t="s">
        <v>378</v>
      </c>
      <c r="E969" t="s">
        <v>652</v>
      </c>
      <c r="F969" t="s">
        <v>187</v>
      </c>
      <c r="G969" s="1">
        <v>45852</v>
      </c>
      <c r="H969" s="1">
        <v>45854</v>
      </c>
      <c r="I969" s="2">
        <v>1040</v>
      </c>
      <c r="J969" t="s">
        <v>776</v>
      </c>
      <c r="K969" t="s">
        <v>790</v>
      </c>
      <c r="L969" t="s">
        <v>823</v>
      </c>
      <c r="M969" t="s">
        <v>828</v>
      </c>
      <c r="N969" t="str">
        <f t="shared" si="45"/>
        <v>T-3</v>
      </c>
      <c r="O969">
        <f t="shared" si="46"/>
        <v>2025</v>
      </c>
      <c r="P969" t="str">
        <f t="shared" si="47"/>
        <v>7. julio</v>
      </c>
    </row>
    <row r="970" spans="1:16" x14ac:dyDescent="0.35">
      <c r="A970">
        <v>702861</v>
      </c>
      <c r="B970" t="s">
        <v>4</v>
      </c>
      <c r="C970" t="s">
        <v>138</v>
      </c>
      <c r="D970" t="s">
        <v>378</v>
      </c>
      <c r="E970" t="s">
        <v>652</v>
      </c>
      <c r="F970" t="s">
        <v>187</v>
      </c>
      <c r="G970" s="1">
        <v>45852</v>
      </c>
      <c r="H970" s="1">
        <v>45854</v>
      </c>
      <c r="I970" s="2">
        <v>1040</v>
      </c>
      <c r="J970" t="s">
        <v>776</v>
      </c>
      <c r="K970" t="s">
        <v>791</v>
      </c>
      <c r="L970" t="s">
        <v>823</v>
      </c>
      <c r="M970" t="s">
        <v>830</v>
      </c>
      <c r="N970" t="str">
        <f t="shared" si="45"/>
        <v>T-3</v>
      </c>
      <c r="O970">
        <f t="shared" si="46"/>
        <v>2025</v>
      </c>
      <c r="P970" t="str">
        <f t="shared" si="47"/>
        <v>7. julio</v>
      </c>
    </row>
    <row r="971" spans="1:16" x14ac:dyDescent="0.35">
      <c r="A971">
        <v>609407</v>
      </c>
      <c r="B971" t="s">
        <v>13</v>
      </c>
      <c r="C971" t="s">
        <v>138</v>
      </c>
      <c r="D971" t="s">
        <v>378</v>
      </c>
      <c r="E971" t="s">
        <v>652</v>
      </c>
      <c r="F971" t="s">
        <v>187</v>
      </c>
      <c r="G971" s="1">
        <v>45852</v>
      </c>
      <c r="H971" s="1">
        <v>45854</v>
      </c>
      <c r="I971" s="2">
        <v>208</v>
      </c>
      <c r="J971" t="s">
        <v>776</v>
      </c>
      <c r="K971" t="s">
        <v>803</v>
      </c>
      <c r="L971" t="s">
        <v>823</v>
      </c>
      <c r="M971" t="s">
        <v>829</v>
      </c>
      <c r="N971" t="str">
        <f t="shared" si="45"/>
        <v>T-3</v>
      </c>
      <c r="O971">
        <f t="shared" si="46"/>
        <v>2025</v>
      </c>
      <c r="P971" t="str">
        <f t="shared" si="47"/>
        <v>7. julio</v>
      </c>
    </row>
    <row r="972" spans="1:16" x14ac:dyDescent="0.35">
      <c r="A972">
        <v>722508</v>
      </c>
      <c r="B972" t="s">
        <v>63</v>
      </c>
      <c r="C972" t="s">
        <v>136</v>
      </c>
      <c r="D972" t="s">
        <v>223</v>
      </c>
      <c r="E972" t="s">
        <v>674</v>
      </c>
      <c r="F972" t="s">
        <v>187</v>
      </c>
      <c r="G972" s="1">
        <v>45848</v>
      </c>
      <c r="H972" s="1">
        <v>45848</v>
      </c>
      <c r="I972" s="2">
        <v>1229.4000000000001</v>
      </c>
      <c r="J972" t="s">
        <v>777</v>
      </c>
      <c r="K972" t="s">
        <v>783</v>
      </c>
      <c r="L972" t="s">
        <v>823</v>
      </c>
      <c r="M972" t="s">
        <v>830</v>
      </c>
      <c r="N972" t="str">
        <f t="shared" si="45"/>
        <v>T-3</v>
      </c>
      <c r="O972">
        <f t="shared" si="46"/>
        <v>2025</v>
      </c>
      <c r="P972" t="str">
        <f t="shared" si="47"/>
        <v>7. julio</v>
      </c>
    </row>
    <row r="973" spans="1:16" x14ac:dyDescent="0.35">
      <c r="A973">
        <v>29076</v>
      </c>
      <c r="B973" t="s">
        <v>5</v>
      </c>
      <c r="C973" t="s">
        <v>138</v>
      </c>
      <c r="D973" t="s">
        <v>210</v>
      </c>
      <c r="E973" t="s">
        <v>665</v>
      </c>
      <c r="F973" t="s">
        <v>187</v>
      </c>
      <c r="G973" s="1">
        <v>45826</v>
      </c>
      <c r="H973" s="1">
        <v>45854</v>
      </c>
      <c r="I973" s="2">
        <v>1000</v>
      </c>
      <c r="J973" t="s">
        <v>777</v>
      </c>
      <c r="K973" t="s">
        <v>783</v>
      </c>
      <c r="L973" t="s">
        <v>824</v>
      </c>
      <c r="M973" t="s">
        <v>830</v>
      </c>
      <c r="N973" t="str">
        <f t="shared" si="45"/>
        <v>T-2</v>
      </c>
      <c r="O973">
        <f t="shared" si="46"/>
        <v>2025</v>
      </c>
      <c r="P973" t="str">
        <f t="shared" si="47"/>
        <v>6. junio</v>
      </c>
    </row>
    <row r="974" spans="1:16" x14ac:dyDescent="0.35">
      <c r="A974">
        <v>415566</v>
      </c>
      <c r="B974" t="s">
        <v>30</v>
      </c>
      <c r="C974" t="s">
        <v>138</v>
      </c>
      <c r="D974" t="s">
        <v>444</v>
      </c>
      <c r="E974" t="s">
        <v>682</v>
      </c>
      <c r="F974" t="s">
        <v>187</v>
      </c>
      <c r="G974" s="1">
        <v>45845</v>
      </c>
      <c r="H974" s="1">
        <v>45845</v>
      </c>
      <c r="I974" s="2">
        <v>750</v>
      </c>
      <c r="J974" t="s">
        <v>777</v>
      </c>
      <c r="K974" t="s">
        <v>783</v>
      </c>
      <c r="L974" t="s">
        <v>823</v>
      </c>
      <c r="M974" t="s">
        <v>828</v>
      </c>
      <c r="N974" t="str">
        <f t="shared" si="45"/>
        <v>T-3</v>
      </c>
      <c r="O974">
        <f t="shared" si="46"/>
        <v>2025</v>
      </c>
      <c r="P974" t="str">
        <f t="shared" si="47"/>
        <v>7. julio</v>
      </c>
    </row>
    <row r="975" spans="1:16" x14ac:dyDescent="0.35">
      <c r="A975">
        <v>434554</v>
      </c>
      <c r="B975" t="s">
        <v>3</v>
      </c>
      <c r="C975" t="s">
        <v>141</v>
      </c>
      <c r="D975" t="s">
        <v>267</v>
      </c>
      <c r="E975" t="s">
        <v>682</v>
      </c>
      <c r="F975" t="s">
        <v>187</v>
      </c>
      <c r="G975" s="1">
        <v>45846</v>
      </c>
      <c r="H975" s="1">
        <v>45846</v>
      </c>
      <c r="I975" s="2">
        <v>1200</v>
      </c>
      <c r="J975" t="s">
        <v>777</v>
      </c>
      <c r="K975" t="s">
        <v>783</v>
      </c>
      <c r="L975" t="s">
        <v>823</v>
      </c>
      <c r="M975" t="s">
        <v>828</v>
      </c>
      <c r="N975" t="str">
        <f t="shared" si="45"/>
        <v>T-3</v>
      </c>
      <c r="O975">
        <f t="shared" si="46"/>
        <v>2025</v>
      </c>
      <c r="P975" t="str">
        <f t="shared" si="47"/>
        <v>7. julio</v>
      </c>
    </row>
    <row r="976" spans="1:16" x14ac:dyDescent="0.35">
      <c r="A976">
        <v>708219</v>
      </c>
      <c r="B976" t="s">
        <v>20</v>
      </c>
      <c r="C976" t="s">
        <v>136</v>
      </c>
      <c r="D976" t="s">
        <v>433</v>
      </c>
      <c r="E976" t="s">
        <v>682</v>
      </c>
      <c r="F976" t="s">
        <v>187</v>
      </c>
      <c r="G976" s="1">
        <v>45841</v>
      </c>
      <c r="H976" s="1">
        <v>45841</v>
      </c>
      <c r="I976" s="2">
        <v>600</v>
      </c>
      <c r="J976" t="s">
        <v>777</v>
      </c>
      <c r="K976" t="s">
        <v>783</v>
      </c>
      <c r="L976" t="s">
        <v>823</v>
      </c>
      <c r="M976" t="s">
        <v>829</v>
      </c>
      <c r="N976" t="str">
        <f t="shared" si="45"/>
        <v>T-3</v>
      </c>
      <c r="O976">
        <f t="shared" si="46"/>
        <v>2025</v>
      </c>
      <c r="P976" t="str">
        <f t="shared" si="47"/>
        <v>7. julio</v>
      </c>
    </row>
    <row r="977" spans="1:16" x14ac:dyDescent="0.35">
      <c r="A977">
        <v>708672</v>
      </c>
      <c r="B977" t="s">
        <v>20</v>
      </c>
      <c r="C977" t="s">
        <v>136</v>
      </c>
      <c r="D977" t="s">
        <v>307</v>
      </c>
      <c r="E977" t="s">
        <v>669</v>
      </c>
      <c r="F977" t="s">
        <v>187</v>
      </c>
      <c r="G977" s="1">
        <v>45819</v>
      </c>
      <c r="H977" s="1">
        <v>45819</v>
      </c>
      <c r="I977" s="2">
        <v>675</v>
      </c>
      <c r="J977" t="s">
        <v>777</v>
      </c>
      <c r="K977" t="s">
        <v>783</v>
      </c>
      <c r="L977" t="s">
        <v>823</v>
      </c>
      <c r="M977" t="s">
        <v>830</v>
      </c>
      <c r="N977" t="str">
        <f t="shared" si="45"/>
        <v>T-2</v>
      </c>
      <c r="O977">
        <f t="shared" si="46"/>
        <v>2025</v>
      </c>
      <c r="P977" t="str">
        <f t="shared" si="47"/>
        <v>6. junio</v>
      </c>
    </row>
    <row r="978" spans="1:16" x14ac:dyDescent="0.35">
      <c r="A978">
        <v>611255</v>
      </c>
      <c r="B978" t="s">
        <v>13</v>
      </c>
      <c r="C978" t="s">
        <v>138</v>
      </c>
      <c r="D978" t="s">
        <v>307</v>
      </c>
      <c r="E978" t="s">
        <v>669</v>
      </c>
      <c r="F978" t="s">
        <v>187</v>
      </c>
      <c r="G978" s="1">
        <v>45847</v>
      </c>
      <c r="H978" s="1">
        <v>45847</v>
      </c>
      <c r="I978" s="2">
        <v>626.79999999999995</v>
      </c>
      <c r="J978" t="s">
        <v>777</v>
      </c>
      <c r="K978" t="s">
        <v>783</v>
      </c>
      <c r="L978" t="s">
        <v>823</v>
      </c>
      <c r="M978" t="s">
        <v>830</v>
      </c>
      <c r="N978" t="str">
        <f t="shared" si="45"/>
        <v>T-3</v>
      </c>
      <c r="O978">
        <f t="shared" si="46"/>
        <v>2025</v>
      </c>
      <c r="P978" t="str">
        <f t="shared" si="47"/>
        <v>7. julio</v>
      </c>
    </row>
    <row r="979" spans="1:16" x14ac:dyDescent="0.35">
      <c r="A979">
        <v>482305</v>
      </c>
      <c r="B979" t="s">
        <v>22</v>
      </c>
      <c r="C979" t="s">
        <v>138</v>
      </c>
      <c r="D979" t="s">
        <v>307</v>
      </c>
      <c r="E979" t="s">
        <v>669</v>
      </c>
      <c r="F979" t="s">
        <v>187</v>
      </c>
      <c r="G979" s="1">
        <v>45853</v>
      </c>
      <c r="H979" s="1">
        <v>45853</v>
      </c>
      <c r="I979" s="2">
        <v>675</v>
      </c>
      <c r="J979" t="s">
        <v>777</v>
      </c>
      <c r="K979" t="s">
        <v>783</v>
      </c>
      <c r="L979" t="s">
        <v>823</v>
      </c>
      <c r="M979" t="s">
        <v>828</v>
      </c>
      <c r="N979" t="str">
        <f t="shared" si="45"/>
        <v>T-3</v>
      </c>
      <c r="O979">
        <f t="shared" si="46"/>
        <v>2025</v>
      </c>
      <c r="P979" t="str">
        <f t="shared" si="47"/>
        <v>7. julio</v>
      </c>
    </row>
    <row r="980" spans="1:16" x14ac:dyDescent="0.35">
      <c r="A980">
        <v>714492</v>
      </c>
      <c r="B980" t="s">
        <v>107</v>
      </c>
      <c r="C980" t="s">
        <v>137</v>
      </c>
      <c r="D980" t="s">
        <v>307</v>
      </c>
      <c r="E980" t="s">
        <v>669</v>
      </c>
      <c r="F980" t="s">
        <v>187</v>
      </c>
      <c r="G980" s="1">
        <v>45860</v>
      </c>
      <c r="H980" s="1">
        <v>45860</v>
      </c>
      <c r="I980" s="2">
        <v>578.6</v>
      </c>
      <c r="J980" t="s">
        <v>777</v>
      </c>
      <c r="K980" t="s">
        <v>783</v>
      </c>
      <c r="L980" t="s">
        <v>824</v>
      </c>
      <c r="M980" t="s">
        <v>830</v>
      </c>
      <c r="N980" t="str">
        <f t="shared" si="45"/>
        <v>T-3</v>
      </c>
      <c r="O980">
        <f t="shared" si="46"/>
        <v>2025</v>
      </c>
      <c r="P980" t="str">
        <f t="shared" si="47"/>
        <v>7. julio</v>
      </c>
    </row>
    <row r="981" spans="1:16" x14ac:dyDescent="0.35">
      <c r="A981">
        <v>521554</v>
      </c>
      <c r="B981" t="s">
        <v>20</v>
      </c>
      <c r="C981" t="s">
        <v>136</v>
      </c>
      <c r="D981" t="s">
        <v>174</v>
      </c>
      <c r="E981" t="s">
        <v>699</v>
      </c>
      <c r="F981" t="s">
        <v>773</v>
      </c>
      <c r="G981" s="1">
        <v>45959</v>
      </c>
      <c r="H981" s="1">
        <v>45961</v>
      </c>
      <c r="I981" s="2">
        <v>987.7</v>
      </c>
      <c r="J981" t="s">
        <v>774</v>
      </c>
      <c r="K981" t="s">
        <v>783</v>
      </c>
      <c r="L981" t="s">
        <v>823</v>
      </c>
      <c r="M981" t="s">
        <v>829</v>
      </c>
      <c r="N981" t="str">
        <f t="shared" si="45"/>
        <v>T-4</v>
      </c>
      <c r="O981">
        <f t="shared" si="46"/>
        <v>2025</v>
      </c>
      <c r="P981" t="str">
        <f t="shared" si="47"/>
        <v>10. octubre</v>
      </c>
    </row>
    <row r="982" spans="1:16" x14ac:dyDescent="0.35">
      <c r="A982">
        <v>401030</v>
      </c>
      <c r="B982" t="s">
        <v>79</v>
      </c>
      <c r="C982" t="s">
        <v>141</v>
      </c>
      <c r="D982" t="s">
        <v>263</v>
      </c>
      <c r="E982" t="s">
        <v>654</v>
      </c>
      <c r="F982" t="s">
        <v>187</v>
      </c>
      <c r="G982" s="1">
        <v>45852</v>
      </c>
      <c r="H982" s="1">
        <v>45852</v>
      </c>
      <c r="I982" s="2">
        <v>308</v>
      </c>
      <c r="J982" t="s">
        <v>777</v>
      </c>
      <c r="K982" t="s">
        <v>783</v>
      </c>
      <c r="L982" t="s">
        <v>823</v>
      </c>
      <c r="M982" t="s">
        <v>830</v>
      </c>
      <c r="N982" t="str">
        <f t="shared" si="45"/>
        <v>T-3</v>
      </c>
      <c r="O982">
        <f t="shared" si="46"/>
        <v>2025</v>
      </c>
      <c r="P982" t="str">
        <f t="shared" si="47"/>
        <v>7. julio</v>
      </c>
    </row>
    <row r="983" spans="1:16" x14ac:dyDescent="0.35">
      <c r="A983">
        <v>716274</v>
      </c>
      <c r="B983" t="s">
        <v>32</v>
      </c>
      <c r="C983" t="s">
        <v>138</v>
      </c>
      <c r="D983" t="s">
        <v>336</v>
      </c>
      <c r="E983" t="s">
        <v>667</v>
      </c>
      <c r="F983" t="s">
        <v>187</v>
      </c>
      <c r="G983" s="1">
        <v>45805</v>
      </c>
      <c r="H983" s="1">
        <v>45805</v>
      </c>
      <c r="I983" s="2">
        <v>350</v>
      </c>
      <c r="J983" t="s">
        <v>777</v>
      </c>
      <c r="K983" t="s">
        <v>783</v>
      </c>
      <c r="L983" t="s">
        <v>823</v>
      </c>
      <c r="M983" t="s">
        <v>830</v>
      </c>
      <c r="N983" t="str">
        <f t="shared" si="45"/>
        <v>T-2</v>
      </c>
      <c r="O983">
        <f t="shared" si="46"/>
        <v>2025</v>
      </c>
      <c r="P983" t="str">
        <f t="shared" si="47"/>
        <v>5. mayo</v>
      </c>
    </row>
    <row r="984" spans="1:16" x14ac:dyDescent="0.35">
      <c r="A984">
        <v>411901</v>
      </c>
      <c r="B984" t="s">
        <v>108</v>
      </c>
      <c r="C984" t="s">
        <v>139</v>
      </c>
      <c r="D984" t="s">
        <v>143</v>
      </c>
      <c r="E984" t="s">
        <v>660</v>
      </c>
      <c r="F984" t="s">
        <v>773</v>
      </c>
      <c r="G984" s="1">
        <v>46006</v>
      </c>
      <c r="H984" s="1">
        <v>46007</v>
      </c>
      <c r="I984" s="2">
        <v>200</v>
      </c>
      <c r="J984" t="s">
        <v>774</v>
      </c>
      <c r="K984" t="s">
        <v>783</v>
      </c>
      <c r="L984" t="s">
        <v>823</v>
      </c>
      <c r="M984" t="s">
        <v>828</v>
      </c>
      <c r="N984" t="str">
        <f t="shared" si="45"/>
        <v>T-4</v>
      </c>
      <c r="O984">
        <f t="shared" si="46"/>
        <v>2025</v>
      </c>
      <c r="P984" t="str">
        <f t="shared" si="47"/>
        <v>12. diciembre</v>
      </c>
    </row>
    <row r="985" spans="1:16" x14ac:dyDescent="0.35">
      <c r="A985">
        <v>414501</v>
      </c>
      <c r="B985" t="s">
        <v>4</v>
      </c>
      <c r="C985" t="s">
        <v>139</v>
      </c>
      <c r="D985" t="s">
        <v>482</v>
      </c>
      <c r="E985" t="s">
        <v>660</v>
      </c>
      <c r="F985" t="s">
        <v>773</v>
      </c>
      <c r="G985" s="1">
        <v>45894</v>
      </c>
      <c r="H985" s="1">
        <v>45999</v>
      </c>
      <c r="I985" s="2">
        <v>2696.15</v>
      </c>
      <c r="J985" t="s">
        <v>774</v>
      </c>
      <c r="K985" t="s">
        <v>783</v>
      </c>
      <c r="L985" t="s">
        <v>823</v>
      </c>
      <c r="M985" t="s">
        <v>828</v>
      </c>
      <c r="N985" t="str">
        <f t="shared" si="45"/>
        <v>T-3</v>
      </c>
      <c r="O985">
        <f t="shared" si="46"/>
        <v>2025</v>
      </c>
      <c r="P985" t="str">
        <f t="shared" si="47"/>
        <v>8. agosto</v>
      </c>
    </row>
    <row r="986" spans="1:16" x14ac:dyDescent="0.35">
      <c r="A986">
        <v>700101</v>
      </c>
      <c r="B986" t="s">
        <v>24</v>
      </c>
      <c r="C986" t="s">
        <v>138</v>
      </c>
      <c r="D986" t="s">
        <v>148</v>
      </c>
      <c r="E986" t="s">
        <v>651</v>
      </c>
      <c r="F986" t="s">
        <v>773</v>
      </c>
      <c r="G986" s="1">
        <v>45961</v>
      </c>
      <c r="H986" s="1">
        <v>45961</v>
      </c>
      <c r="I986" s="2">
        <v>250</v>
      </c>
      <c r="J986" t="s">
        <v>774</v>
      </c>
      <c r="K986" t="s">
        <v>789</v>
      </c>
      <c r="L986" t="s">
        <v>823</v>
      </c>
      <c r="M986" t="s">
        <v>830</v>
      </c>
      <c r="N986" t="str">
        <f t="shared" si="45"/>
        <v>T-4</v>
      </c>
      <c r="O986">
        <f t="shared" si="46"/>
        <v>2025</v>
      </c>
      <c r="P986" t="str">
        <f t="shared" si="47"/>
        <v>10. octubre</v>
      </c>
    </row>
    <row r="987" spans="1:16" x14ac:dyDescent="0.35">
      <c r="A987">
        <v>413544</v>
      </c>
      <c r="B987" t="s">
        <v>33</v>
      </c>
      <c r="C987" t="s">
        <v>139</v>
      </c>
      <c r="D987" t="s">
        <v>148</v>
      </c>
      <c r="E987" t="s">
        <v>651</v>
      </c>
      <c r="F987" t="s">
        <v>773</v>
      </c>
      <c r="G987" s="1">
        <v>45961</v>
      </c>
      <c r="H987" s="1">
        <v>45961</v>
      </c>
      <c r="I987" s="2">
        <v>250</v>
      </c>
      <c r="J987" t="s">
        <v>774</v>
      </c>
      <c r="K987" t="s">
        <v>783</v>
      </c>
      <c r="L987" t="s">
        <v>823</v>
      </c>
      <c r="M987" t="s">
        <v>829</v>
      </c>
      <c r="N987" t="str">
        <f t="shared" si="45"/>
        <v>T-4</v>
      </c>
      <c r="O987">
        <f t="shared" si="46"/>
        <v>2025</v>
      </c>
      <c r="P987" t="str">
        <f t="shared" si="47"/>
        <v>10. octubre</v>
      </c>
    </row>
    <row r="988" spans="1:16" x14ac:dyDescent="0.35">
      <c r="A988">
        <v>700863</v>
      </c>
      <c r="B988" t="s">
        <v>30</v>
      </c>
      <c r="C988" t="s">
        <v>138</v>
      </c>
      <c r="D988" t="s">
        <v>148</v>
      </c>
      <c r="E988" t="s">
        <v>651</v>
      </c>
      <c r="F988" t="s">
        <v>773</v>
      </c>
      <c r="G988" s="1">
        <v>45986</v>
      </c>
      <c r="H988" s="1">
        <v>45986</v>
      </c>
      <c r="I988" s="2">
        <v>250</v>
      </c>
      <c r="J988" t="s">
        <v>774</v>
      </c>
      <c r="K988" t="s">
        <v>783</v>
      </c>
      <c r="L988" t="s">
        <v>824</v>
      </c>
      <c r="M988" t="s">
        <v>830</v>
      </c>
      <c r="N988" t="str">
        <f t="shared" si="45"/>
        <v>T-4</v>
      </c>
      <c r="O988">
        <f t="shared" si="46"/>
        <v>2025</v>
      </c>
      <c r="P988" t="str">
        <f t="shared" si="47"/>
        <v>11. noviembre</v>
      </c>
    </row>
    <row r="989" spans="1:16" x14ac:dyDescent="0.35">
      <c r="A989">
        <v>567467</v>
      </c>
      <c r="B989" t="s">
        <v>22</v>
      </c>
      <c r="C989" t="s">
        <v>139</v>
      </c>
      <c r="D989" t="s">
        <v>148</v>
      </c>
      <c r="E989" t="s">
        <v>651</v>
      </c>
      <c r="F989" t="s">
        <v>773</v>
      </c>
      <c r="G989" s="1">
        <v>45986</v>
      </c>
      <c r="H989" s="1">
        <v>45986</v>
      </c>
      <c r="I989" s="2">
        <v>250</v>
      </c>
      <c r="J989" t="s">
        <v>774</v>
      </c>
      <c r="K989" t="s">
        <v>783</v>
      </c>
      <c r="L989" t="s">
        <v>823</v>
      </c>
      <c r="M989" t="s">
        <v>830</v>
      </c>
      <c r="N989" t="str">
        <f t="shared" si="45"/>
        <v>T-4</v>
      </c>
      <c r="O989">
        <f t="shared" si="46"/>
        <v>2025</v>
      </c>
      <c r="P989" t="str">
        <f t="shared" si="47"/>
        <v>11. noviembre</v>
      </c>
    </row>
    <row r="990" spans="1:16" x14ac:dyDescent="0.35">
      <c r="A990">
        <v>713916</v>
      </c>
      <c r="B990" t="s">
        <v>23</v>
      </c>
      <c r="C990" t="s">
        <v>138</v>
      </c>
      <c r="D990" t="s">
        <v>148</v>
      </c>
      <c r="E990" t="s">
        <v>651</v>
      </c>
      <c r="F990" t="s">
        <v>773</v>
      </c>
      <c r="G990" s="1">
        <v>45986</v>
      </c>
      <c r="H990" s="1">
        <v>45986</v>
      </c>
      <c r="I990" s="2">
        <v>250</v>
      </c>
      <c r="J990" t="s">
        <v>774</v>
      </c>
      <c r="K990" t="s">
        <v>783</v>
      </c>
      <c r="L990" t="s">
        <v>823</v>
      </c>
      <c r="M990" t="s">
        <v>828</v>
      </c>
      <c r="N990" t="str">
        <f t="shared" si="45"/>
        <v>T-4</v>
      </c>
      <c r="O990">
        <f t="shared" si="46"/>
        <v>2025</v>
      </c>
      <c r="P990" t="str">
        <f t="shared" si="47"/>
        <v>11. noviembre</v>
      </c>
    </row>
    <row r="991" spans="1:16" x14ac:dyDescent="0.35">
      <c r="A991">
        <v>564654</v>
      </c>
      <c r="B991" t="s">
        <v>4</v>
      </c>
      <c r="C991" t="s">
        <v>138</v>
      </c>
      <c r="D991" t="s">
        <v>148</v>
      </c>
      <c r="E991" t="s">
        <v>651</v>
      </c>
      <c r="F991" t="s">
        <v>773</v>
      </c>
      <c r="G991" s="1">
        <v>45986</v>
      </c>
      <c r="H991" s="1">
        <v>45986</v>
      </c>
      <c r="I991" s="2">
        <v>250</v>
      </c>
      <c r="J991" t="s">
        <v>774</v>
      </c>
      <c r="K991" t="s">
        <v>783</v>
      </c>
      <c r="L991" t="s">
        <v>823</v>
      </c>
      <c r="M991" t="s">
        <v>828</v>
      </c>
      <c r="N991" t="str">
        <f t="shared" si="45"/>
        <v>T-4</v>
      </c>
      <c r="O991">
        <f t="shared" si="46"/>
        <v>2025</v>
      </c>
      <c r="P991" t="str">
        <f t="shared" si="47"/>
        <v>11. noviembre</v>
      </c>
    </row>
    <row r="992" spans="1:16" x14ac:dyDescent="0.35">
      <c r="A992">
        <v>410370</v>
      </c>
      <c r="B992" t="s">
        <v>17</v>
      </c>
      <c r="C992" t="s">
        <v>138</v>
      </c>
      <c r="D992" t="s">
        <v>470</v>
      </c>
      <c r="E992" t="s">
        <v>652</v>
      </c>
      <c r="F992" t="s">
        <v>187</v>
      </c>
      <c r="G992" s="1">
        <v>45852</v>
      </c>
      <c r="H992" s="1">
        <v>45855</v>
      </c>
      <c r="I992" s="2">
        <v>780</v>
      </c>
      <c r="J992" t="s">
        <v>776</v>
      </c>
      <c r="K992" t="s">
        <v>783</v>
      </c>
      <c r="L992" t="s">
        <v>823</v>
      </c>
      <c r="M992" t="s">
        <v>829</v>
      </c>
      <c r="N992" t="str">
        <f t="shared" si="45"/>
        <v>T-3</v>
      </c>
      <c r="O992">
        <f t="shared" si="46"/>
        <v>2025</v>
      </c>
      <c r="P992" t="str">
        <f t="shared" si="47"/>
        <v>7. julio</v>
      </c>
    </row>
    <row r="993" spans="1:16" x14ac:dyDescent="0.35">
      <c r="A993">
        <v>408587</v>
      </c>
      <c r="B993" t="s">
        <v>25</v>
      </c>
      <c r="C993" t="s">
        <v>138</v>
      </c>
      <c r="D993" t="s">
        <v>468</v>
      </c>
      <c r="E993" t="s">
        <v>652</v>
      </c>
      <c r="F993" t="s">
        <v>187</v>
      </c>
      <c r="G993" s="1">
        <v>45852</v>
      </c>
      <c r="H993" s="1">
        <v>45855</v>
      </c>
      <c r="I993" s="2">
        <v>1664</v>
      </c>
      <c r="J993" t="s">
        <v>776</v>
      </c>
      <c r="K993" t="s">
        <v>783</v>
      </c>
      <c r="L993" t="s">
        <v>823</v>
      </c>
      <c r="M993" t="s">
        <v>830</v>
      </c>
      <c r="N993" t="str">
        <f t="shared" si="45"/>
        <v>T-3</v>
      </c>
      <c r="O993">
        <f t="shared" si="46"/>
        <v>2025</v>
      </c>
      <c r="P993" t="str">
        <f t="shared" si="47"/>
        <v>7. julio</v>
      </c>
    </row>
    <row r="994" spans="1:16" x14ac:dyDescent="0.35">
      <c r="A994">
        <v>715788</v>
      </c>
      <c r="B994" t="s">
        <v>4</v>
      </c>
      <c r="C994" t="s">
        <v>136</v>
      </c>
      <c r="D994" t="s">
        <v>378</v>
      </c>
      <c r="E994" t="s">
        <v>652</v>
      </c>
      <c r="F994" t="s">
        <v>187</v>
      </c>
      <c r="G994" s="1">
        <v>45859</v>
      </c>
      <c r="H994" s="1">
        <v>45862</v>
      </c>
      <c r="I994" s="2">
        <v>1248</v>
      </c>
      <c r="J994" t="s">
        <v>776</v>
      </c>
      <c r="K994" t="s">
        <v>783</v>
      </c>
      <c r="L994" t="s">
        <v>824</v>
      </c>
      <c r="M994" t="s">
        <v>830</v>
      </c>
      <c r="N994" t="str">
        <f t="shared" si="45"/>
        <v>T-3</v>
      </c>
      <c r="O994">
        <f t="shared" si="46"/>
        <v>2025</v>
      </c>
      <c r="P994" t="str">
        <f t="shared" si="47"/>
        <v>7. julio</v>
      </c>
    </row>
    <row r="995" spans="1:16" x14ac:dyDescent="0.35">
      <c r="A995">
        <v>716354</v>
      </c>
      <c r="B995" t="s">
        <v>33</v>
      </c>
      <c r="C995" t="s">
        <v>136</v>
      </c>
      <c r="D995" t="s">
        <v>378</v>
      </c>
      <c r="E995" t="s">
        <v>652</v>
      </c>
      <c r="F995" t="s">
        <v>187</v>
      </c>
      <c r="G995" s="1">
        <v>45859</v>
      </c>
      <c r="H995" s="1">
        <v>45862</v>
      </c>
      <c r="I995" s="2">
        <v>624</v>
      </c>
      <c r="J995" t="s">
        <v>776</v>
      </c>
      <c r="K995" t="s">
        <v>783</v>
      </c>
      <c r="L995" t="s">
        <v>823</v>
      </c>
      <c r="M995" t="s">
        <v>828</v>
      </c>
      <c r="N995" t="str">
        <f t="shared" si="45"/>
        <v>T-3</v>
      </c>
      <c r="O995">
        <f t="shared" si="46"/>
        <v>2025</v>
      </c>
      <c r="P995" t="str">
        <f t="shared" si="47"/>
        <v>7. julio</v>
      </c>
    </row>
    <row r="996" spans="1:16" x14ac:dyDescent="0.35">
      <c r="A996">
        <v>484716</v>
      </c>
      <c r="B996" t="s">
        <v>27</v>
      </c>
      <c r="C996" t="s">
        <v>140</v>
      </c>
      <c r="D996" t="s">
        <v>470</v>
      </c>
      <c r="E996" t="s">
        <v>652</v>
      </c>
      <c r="F996" t="s">
        <v>187</v>
      </c>
      <c r="G996" s="1">
        <v>45852</v>
      </c>
      <c r="H996" s="1">
        <v>45855</v>
      </c>
      <c r="I996" s="2">
        <v>1300</v>
      </c>
      <c r="J996" t="s">
        <v>776</v>
      </c>
      <c r="K996" t="s">
        <v>783</v>
      </c>
      <c r="L996" t="s">
        <v>823</v>
      </c>
      <c r="M996" t="s">
        <v>830</v>
      </c>
      <c r="N996" t="str">
        <f t="shared" si="45"/>
        <v>T-3</v>
      </c>
      <c r="O996">
        <f t="shared" si="46"/>
        <v>2025</v>
      </c>
      <c r="P996" t="str">
        <f t="shared" si="47"/>
        <v>7. julio</v>
      </c>
    </row>
    <row r="997" spans="1:16" x14ac:dyDescent="0.35">
      <c r="A997">
        <v>401293</v>
      </c>
      <c r="B997" t="s">
        <v>30</v>
      </c>
      <c r="C997" t="s">
        <v>138</v>
      </c>
      <c r="D997" t="s">
        <v>378</v>
      </c>
      <c r="E997" t="s">
        <v>652</v>
      </c>
      <c r="F997" t="s">
        <v>187</v>
      </c>
      <c r="G997" s="1">
        <v>45859</v>
      </c>
      <c r="H997" s="1">
        <v>45862</v>
      </c>
      <c r="I997" s="2">
        <v>624</v>
      </c>
      <c r="J997" t="s">
        <v>776</v>
      </c>
      <c r="K997" t="s">
        <v>783</v>
      </c>
      <c r="L997" t="s">
        <v>823</v>
      </c>
      <c r="M997" t="s">
        <v>829</v>
      </c>
      <c r="N997" t="str">
        <f t="shared" si="45"/>
        <v>T-3</v>
      </c>
      <c r="O997">
        <f t="shared" si="46"/>
        <v>2025</v>
      </c>
      <c r="P997" t="str">
        <f t="shared" si="47"/>
        <v>7. julio</v>
      </c>
    </row>
    <row r="998" spans="1:16" x14ac:dyDescent="0.35">
      <c r="A998">
        <v>415106</v>
      </c>
      <c r="B998" t="s">
        <v>5</v>
      </c>
      <c r="C998" t="s">
        <v>138</v>
      </c>
      <c r="D998" t="s">
        <v>470</v>
      </c>
      <c r="E998" t="s">
        <v>652</v>
      </c>
      <c r="F998" t="s">
        <v>187</v>
      </c>
      <c r="G998" s="1">
        <v>45852</v>
      </c>
      <c r="H998" s="1">
        <v>45855</v>
      </c>
      <c r="I998" s="2">
        <v>1040</v>
      </c>
      <c r="J998" t="s">
        <v>776</v>
      </c>
      <c r="K998" t="s">
        <v>783</v>
      </c>
      <c r="L998" t="s">
        <v>823</v>
      </c>
      <c r="M998" t="s">
        <v>830</v>
      </c>
      <c r="N998" t="str">
        <f t="shared" si="45"/>
        <v>T-3</v>
      </c>
      <c r="O998">
        <f t="shared" si="46"/>
        <v>2025</v>
      </c>
      <c r="P998" t="str">
        <f t="shared" si="47"/>
        <v>7. julio</v>
      </c>
    </row>
    <row r="999" spans="1:16" x14ac:dyDescent="0.35">
      <c r="A999">
        <v>709738</v>
      </c>
      <c r="B999" t="s">
        <v>59</v>
      </c>
      <c r="C999" t="s">
        <v>138</v>
      </c>
      <c r="D999" t="s">
        <v>468</v>
      </c>
      <c r="E999" t="s">
        <v>652</v>
      </c>
      <c r="F999" t="s">
        <v>187</v>
      </c>
      <c r="G999" s="1">
        <v>45852</v>
      </c>
      <c r="H999" s="1">
        <v>45855</v>
      </c>
      <c r="I999" s="2">
        <v>208</v>
      </c>
      <c r="J999" t="s">
        <v>776</v>
      </c>
      <c r="K999" t="s">
        <v>783</v>
      </c>
      <c r="L999" t="s">
        <v>823</v>
      </c>
      <c r="M999" t="s">
        <v>830</v>
      </c>
      <c r="N999" t="str">
        <f t="shared" si="45"/>
        <v>T-3</v>
      </c>
      <c r="O999">
        <f t="shared" si="46"/>
        <v>2025</v>
      </c>
      <c r="P999" t="str">
        <f t="shared" si="47"/>
        <v>7. julio</v>
      </c>
    </row>
    <row r="1000" spans="1:16" x14ac:dyDescent="0.35">
      <c r="A1000">
        <v>703223</v>
      </c>
      <c r="B1000" t="s">
        <v>46</v>
      </c>
      <c r="C1000" t="s">
        <v>138</v>
      </c>
      <c r="D1000" t="s">
        <v>378</v>
      </c>
      <c r="E1000" t="s">
        <v>652</v>
      </c>
      <c r="F1000" t="s">
        <v>187</v>
      </c>
      <c r="G1000" s="1">
        <v>45859</v>
      </c>
      <c r="H1000" s="1">
        <v>45862</v>
      </c>
      <c r="I1000" s="2">
        <v>832</v>
      </c>
      <c r="J1000" t="s">
        <v>776</v>
      </c>
      <c r="K1000" t="s">
        <v>783</v>
      </c>
      <c r="L1000" t="s">
        <v>823</v>
      </c>
      <c r="M1000" t="s">
        <v>828</v>
      </c>
      <c r="N1000" t="str">
        <f t="shared" si="45"/>
        <v>T-3</v>
      </c>
      <c r="O1000">
        <f t="shared" si="46"/>
        <v>2025</v>
      </c>
      <c r="P1000" t="str">
        <f t="shared" si="47"/>
        <v>7. julio</v>
      </c>
    </row>
    <row r="1001" spans="1:16" x14ac:dyDescent="0.35">
      <c r="A1001">
        <v>476027</v>
      </c>
      <c r="B1001" t="s">
        <v>2</v>
      </c>
      <c r="C1001" t="s">
        <v>138</v>
      </c>
      <c r="D1001" t="s">
        <v>483</v>
      </c>
      <c r="E1001" t="s">
        <v>742</v>
      </c>
      <c r="F1001" t="s">
        <v>187</v>
      </c>
      <c r="G1001" s="1">
        <v>45804</v>
      </c>
      <c r="H1001" s="1">
        <v>45853</v>
      </c>
      <c r="I1001" s="2">
        <v>1200</v>
      </c>
      <c r="J1001" t="s">
        <v>775</v>
      </c>
      <c r="K1001" t="s">
        <v>783</v>
      </c>
      <c r="L1001" t="s">
        <v>824</v>
      </c>
      <c r="M1001" t="s">
        <v>828</v>
      </c>
      <c r="N1001" t="str">
        <f t="shared" si="45"/>
        <v>T-2</v>
      </c>
      <c r="O1001">
        <f t="shared" si="46"/>
        <v>2025</v>
      </c>
      <c r="P1001" t="str">
        <f t="shared" si="47"/>
        <v>5. mayo</v>
      </c>
    </row>
    <row r="1002" spans="1:16" x14ac:dyDescent="0.35">
      <c r="A1002">
        <v>607580</v>
      </c>
      <c r="B1002" t="s">
        <v>13</v>
      </c>
      <c r="C1002" t="s">
        <v>138</v>
      </c>
      <c r="D1002" t="s">
        <v>484</v>
      </c>
      <c r="E1002" t="s">
        <v>742</v>
      </c>
      <c r="F1002" t="s">
        <v>187</v>
      </c>
      <c r="G1002" s="1">
        <v>45804</v>
      </c>
      <c r="H1002" s="1">
        <v>45853</v>
      </c>
      <c r="I1002" s="2">
        <v>1200</v>
      </c>
      <c r="J1002" t="s">
        <v>775</v>
      </c>
      <c r="K1002" t="s">
        <v>783</v>
      </c>
      <c r="L1002" t="s">
        <v>823</v>
      </c>
      <c r="M1002" t="s">
        <v>830</v>
      </c>
      <c r="N1002" t="str">
        <f t="shared" si="45"/>
        <v>T-2</v>
      </c>
      <c r="O1002">
        <f t="shared" si="46"/>
        <v>2025</v>
      </c>
      <c r="P1002" t="str">
        <f t="shared" si="47"/>
        <v>5. mayo</v>
      </c>
    </row>
    <row r="1003" spans="1:16" x14ac:dyDescent="0.35">
      <c r="A1003">
        <v>714344</v>
      </c>
      <c r="B1003" t="s">
        <v>23</v>
      </c>
      <c r="C1003" t="s">
        <v>141</v>
      </c>
      <c r="D1003" t="s">
        <v>484</v>
      </c>
      <c r="E1003" t="s">
        <v>742</v>
      </c>
      <c r="F1003" t="s">
        <v>187</v>
      </c>
      <c r="G1003" s="1">
        <v>45804</v>
      </c>
      <c r="H1003" s="1">
        <v>45853</v>
      </c>
      <c r="I1003" s="2">
        <v>1200</v>
      </c>
      <c r="J1003" t="s">
        <v>775</v>
      </c>
      <c r="K1003" t="s">
        <v>783</v>
      </c>
      <c r="L1003" t="s">
        <v>823</v>
      </c>
      <c r="M1003" t="s">
        <v>829</v>
      </c>
      <c r="N1003" t="str">
        <f t="shared" si="45"/>
        <v>T-2</v>
      </c>
      <c r="O1003">
        <f t="shared" si="46"/>
        <v>2025</v>
      </c>
      <c r="P1003" t="str">
        <f t="shared" si="47"/>
        <v>5. mayo</v>
      </c>
    </row>
    <row r="1004" spans="1:16" x14ac:dyDescent="0.35">
      <c r="A1004">
        <v>711634</v>
      </c>
      <c r="B1004" t="s">
        <v>20</v>
      </c>
      <c r="C1004" t="s">
        <v>136</v>
      </c>
      <c r="D1004" t="s">
        <v>485</v>
      </c>
      <c r="E1004" t="s">
        <v>742</v>
      </c>
      <c r="F1004" t="s">
        <v>187</v>
      </c>
      <c r="G1004" s="1">
        <v>45806</v>
      </c>
      <c r="H1004" s="1">
        <v>45855</v>
      </c>
      <c r="I1004" s="2">
        <v>1200</v>
      </c>
      <c r="J1004" t="s">
        <v>775</v>
      </c>
      <c r="K1004" t="s">
        <v>783</v>
      </c>
      <c r="L1004" t="s">
        <v>823</v>
      </c>
      <c r="M1004" t="s">
        <v>830</v>
      </c>
      <c r="N1004" t="str">
        <f t="shared" si="45"/>
        <v>T-2</v>
      </c>
      <c r="O1004">
        <f t="shared" si="46"/>
        <v>2025</v>
      </c>
      <c r="P1004" t="str">
        <f t="shared" si="47"/>
        <v>5. mayo</v>
      </c>
    </row>
    <row r="1005" spans="1:16" x14ac:dyDescent="0.35">
      <c r="A1005">
        <v>752210</v>
      </c>
      <c r="B1005" t="s">
        <v>31</v>
      </c>
      <c r="C1005" t="s">
        <v>138</v>
      </c>
      <c r="D1005" t="s">
        <v>485</v>
      </c>
      <c r="E1005" t="s">
        <v>742</v>
      </c>
      <c r="F1005" t="s">
        <v>187</v>
      </c>
      <c r="G1005" s="1">
        <v>45806</v>
      </c>
      <c r="H1005" s="1">
        <v>45855</v>
      </c>
      <c r="I1005" s="2">
        <v>1200</v>
      </c>
      <c r="J1005" t="s">
        <v>775</v>
      </c>
      <c r="K1005" t="s">
        <v>783</v>
      </c>
      <c r="L1005" t="s">
        <v>823</v>
      </c>
      <c r="M1005" t="s">
        <v>830</v>
      </c>
      <c r="N1005" t="str">
        <f t="shared" si="45"/>
        <v>T-2</v>
      </c>
      <c r="O1005">
        <f t="shared" si="46"/>
        <v>2025</v>
      </c>
      <c r="P1005" t="str">
        <f t="shared" si="47"/>
        <v>5. mayo</v>
      </c>
    </row>
    <row r="1006" spans="1:16" x14ac:dyDescent="0.35">
      <c r="A1006">
        <v>360053</v>
      </c>
      <c r="B1006" t="s">
        <v>109</v>
      </c>
      <c r="C1006" t="s">
        <v>138</v>
      </c>
      <c r="D1006" t="s">
        <v>486</v>
      </c>
      <c r="E1006" t="s">
        <v>742</v>
      </c>
      <c r="F1006" t="s">
        <v>187</v>
      </c>
      <c r="G1006" s="1">
        <v>45806</v>
      </c>
      <c r="H1006" s="1">
        <v>45855</v>
      </c>
      <c r="I1006" s="2">
        <v>480</v>
      </c>
      <c r="J1006" t="s">
        <v>775</v>
      </c>
      <c r="K1006" t="s">
        <v>783</v>
      </c>
      <c r="L1006" t="s">
        <v>823</v>
      </c>
      <c r="M1006" t="s">
        <v>828</v>
      </c>
      <c r="N1006" t="str">
        <f t="shared" si="45"/>
        <v>T-2</v>
      </c>
      <c r="O1006">
        <f t="shared" si="46"/>
        <v>2025</v>
      </c>
      <c r="P1006" t="str">
        <f t="shared" si="47"/>
        <v>5. mayo</v>
      </c>
    </row>
    <row r="1007" spans="1:16" x14ac:dyDescent="0.35">
      <c r="A1007">
        <v>456642</v>
      </c>
      <c r="B1007" t="s">
        <v>17</v>
      </c>
      <c r="C1007" t="s">
        <v>138</v>
      </c>
      <c r="D1007" t="s">
        <v>169</v>
      </c>
      <c r="E1007" t="s">
        <v>658</v>
      </c>
      <c r="F1007" t="s">
        <v>187</v>
      </c>
      <c r="G1007" s="1">
        <v>45845</v>
      </c>
      <c r="H1007" s="1">
        <v>45848</v>
      </c>
      <c r="I1007" s="2">
        <v>1380</v>
      </c>
      <c r="J1007" t="s">
        <v>776</v>
      </c>
      <c r="K1007" t="s">
        <v>783</v>
      </c>
      <c r="L1007" t="s">
        <v>823</v>
      </c>
      <c r="M1007" t="s">
        <v>828</v>
      </c>
      <c r="N1007" t="str">
        <f t="shared" si="45"/>
        <v>T-3</v>
      </c>
      <c r="O1007">
        <f t="shared" si="46"/>
        <v>2025</v>
      </c>
      <c r="P1007" t="str">
        <f t="shared" si="47"/>
        <v>7. julio</v>
      </c>
    </row>
    <row r="1008" spans="1:16" x14ac:dyDescent="0.35">
      <c r="A1008">
        <v>561650</v>
      </c>
      <c r="B1008" t="s">
        <v>4</v>
      </c>
      <c r="C1008" t="s">
        <v>138</v>
      </c>
      <c r="D1008" t="s">
        <v>372</v>
      </c>
      <c r="E1008" t="s">
        <v>658</v>
      </c>
      <c r="F1008" t="s">
        <v>187</v>
      </c>
      <c r="G1008" s="1">
        <v>45849</v>
      </c>
      <c r="H1008" s="1">
        <v>45849</v>
      </c>
      <c r="I1008" s="2">
        <v>2904</v>
      </c>
      <c r="J1008" t="s">
        <v>776</v>
      </c>
      <c r="K1008" t="s">
        <v>783</v>
      </c>
      <c r="L1008" t="s">
        <v>823</v>
      </c>
      <c r="M1008" t="s">
        <v>829</v>
      </c>
      <c r="N1008" t="str">
        <f t="shared" si="45"/>
        <v>T-3</v>
      </c>
      <c r="O1008">
        <f t="shared" si="46"/>
        <v>2025</v>
      </c>
      <c r="P1008" t="str">
        <f t="shared" si="47"/>
        <v>7. julio</v>
      </c>
    </row>
    <row r="1009" spans="1:16" x14ac:dyDescent="0.35">
      <c r="A1009">
        <v>497762</v>
      </c>
      <c r="B1009" t="s">
        <v>23</v>
      </c>
      <c r="C1009" t="s">
        <v>138</v>
      </c>
      <c r="D1009" t="s">
        <v>169</v>
      </c>
      <c r="E1009" t="s">
        <v>658</v>
      </c>
      <c r="F1009" t="s">
        <v>187</v>
      </c>
      <c r="G1009" s="1">
        <v>45845</v>
      </c>
      <c r="H1009" s="1">
        <v>45848</v>
      </c>
      <c r="I1009" s="2">
        <v>3064</v>
      </c>
      <c r="J1009" t="s">
        <v>774</v>
      </c>
      <c r="K1009" t="s">
        <v>783</v>
      </c>
      <c r="L1009" t="s">
        <v>824</v>
      </c>
      <c r="M1009" t="s">
        <v>830</v>
      </c>
      <c r="N1009" t="str">
        <f t="shared" si="45"/>
        <v>T-3</v>
      </c>
      <c r="O1009">
        <f t="shared" si="46"/>
        <v>2025</v>
      </c>
      <c r="P1009" t="str">
        <f t="shared" si="47"/>
        <v>7. julio</v>
      </c>
    </row>
    <row r="1010" spans="1:16" x14ac:dyDescent="0.35">
      <c r="A1010">
        <v>457467</v>
      </c>
      <c r="B1010" t="s">
        <v>93</v>
      </c>
      <c r="C1010" t="s">
        <v>140</v>
      </c>
      <c r="D1010" t="s">
        <v>372</v>
      </c>
      <c r="E1010" t="s">
        <v>658</v>
      </c>
      <c r="F1010" t="s">
        <v>187</v>
      </c>
      <c r="G1010" s="1">
        <v>45849</v>
      </c>
      <c r="H1010" s="1">
        <v>45849</v>
      </c>
      <c r="I1010" s="2">
        <v>2948</v>
      </c>
      <c r="J1010" t="s">
        <v>774</v>
      </c>
      <c r="K1010" t="s">
        <v>786</v>
      </c>
      <c r="L1010" t="s">
        <v>823</v>
      </c>
      <c r="M1010" t="s">
        <v>830</v>
      </c>
      <c r="N1010" t="str">
        <f t="shared" si="45"/>
        <v>T-3</v>
      </c>
      <c r="O1010">
        <f t="shared" si="46"/>
        <v>2025</v>
      </c>
      <c r="P1010" t="str">
        <f t="shared" si="47"/>
        <v>7. julio</v>
      </c>
    </row>
    <row r="1011" spans="1:16" x14ac:dyDescent="0.35">
      <c r="A1011">
        <v>462674</v>
      </c>
      <c r="B1011" t="s">
        <v>110</v>
      </c>
      <c r="C1011" t="s">
        <v>138</v>
      </c>
      <c r="D1011" t="s">
        <v>210</v>
      </c>
      <c r="E1011" t="s">
        <v>665</v>
      </c>
      <c r="F1011" t="s">
        <v>187</v>
      </c>
      <c r="G1011" s="1">
        <v>45796</v>
      </c>
      <c r="H1011" s="1">
        <v>45838</v>
      </c>
      <c r="I1011" s="2">
        <v>500</v>
      </c>
      <c r="J1011" t="s">
        <v>777</v>
      </c>
      <c r="K1011" t="s">
        <v>783</v>
      </c>
      <c r="L1011" t="s">
        <v>823</v>
      </c>
      <c r="M1011" t="s">
        <v>828</v>
      </c>
      <c r="N1011" t="str">
        <f t="shared" si="45"/>
        <v>T-2</v>
      </c>
      <c r="O1011">
        <f t="shared" si="46"/>
        <v>2025</v>
      </c>
      <c r="P1011" t="str">
        <f t="shared" si="47"/>
        <v>5. mayo</v>
      </c>
    </row>
    <row r="1012" spans="1:16" x14ac:dyDescent="0.35">
      <c r="A1012">
        <v>409047</v>
      </c>
      <c r="B1012" t="s">
        <v>23</v>
      </c>
      <c r="C1012" t="s">
        <v>141</v>
      </c>
      <c r="D1012" t="s">
        <v>210</v>
      </c>
      <c r="E1012" t="s">
        <v>665</v>
      </c>
      <c r="F1012" t="s">
        <v>187</v>
      </c>
      <c r="G1012" s="1">
        <v>45796</v>
      </c>
      <c r="H1012" s="1">
        <v>45838</v>
      </c>
      <c r="I1012" s="2">
        <v>3000</v>
      </c>
      <c r="J1012" t="s">
        <v>777</v>
      </c>
      <c r="K1012" t="s">
        <v>783</v>
      </c>
      <c r="L1012" t="s">
        <v>823</v>
      </c>
      <c r="M1012" t="s">
        <v>830</v>
      </c>
      <c r="N1012" t="str">
        <f t="shared" si="45"/>
        <v>T-2</v>
      </c>
      <c r="O1012">
        <f t="shared" si="46"/>
        <v>2025</v>
      </c>
      <c r="P1012" t="str">
        <f t="shared" si="47"/>
        <v>5. mayo</v>
      </c>
    </row>
    <row r="1013" spans="1:16" x14ac:dyDescent="0.35">
      <c r="A1013">
        <v>447585</v>
      </c>
      <c r="B1013" t="s">
        <v>33</v>
      </c>
      <c r="C1013" t="s">
        <v>136</v>
      </c>
      <c r="D1013" t="s">
        <v>210</v>
      </c>
      <c r="E1013" t="s">
        <v>665</v>
      </c>
      <c r="F1013" t="s">
        <v>187</v>
      </c>
      <c r="G1013" s="1">
        <v>45796</v>
      </c>
      <c r="H1013" s="1">
        <v>45838</v>
      </c>
      <c r="I1013" s="2">
        <v>250</v>
      </c>
      <c r="J1013" t="s">
        <v>777</v>
      </c>
      <c r="K1013" t="s">
        <v>783</v>
      </c>
      <c r="L1013" t="s">
        <v>823</v>
      </c>
      <c r="M1013" t="s">
        <v>829</v>
      </c>
      <c r="N1013" t="str">
        <f t="shared" si="45"/>
        <v>T-2</v>
      </c>
      <c r="O1013">
        <f t="shared" si="46"/>
        <v>2025</v>
      </c>
      <c r="P1013" t="str">
        <f t="shared" si="47"/>
        <v>5. mayo</v>
      </c>
    </row>
    <row r="1014" spans="1:16" x14ac:dyDescent="0.35">
      <c r="A1014">
        <v>361905</v>
      </c>
      <c r="B1014" t="s">
        <v>39</v>
      </c>
      <c r="C1014" t="s">
        <v>139</v>
      </c>
      <c r="D1014" t="s">
        <v>210</v>
      </c>
      <c r="E1014" t="s">
        <v>665</v>
      </c>
      <c r="F1014" t="s">
        <v>187</v>
      </c>
      <c r="G1014" s="1">
        <v>45796</v>
      </c>
      <c r="H1014" s="1">
        <v>45838</v>
      </c>
      <c r="I1014" s="2">
        <v>250</v>
      </c>
      <c r="J1014" t="s">
        <v>777</v>
      </c>
      <c r="K1014" t="s">
        <v>783</v>
      </c>
      <c r="L1014" t="s">
        <v>823</v>
      </c>
      <c r="M1014" t="s">
        <v>830</v>
      </c>
      <c r="N1014" t="str">
        <f t="shared" si="45"/>
        <v>T-2</v>
      </c>
      <c r="O1014">
        <f t="shared" si="46"/>
        <v>2025</v>
      </c>
      <c r="P1014" t="str">
        <f t="shared" si="47"/>
        <v>5. mayo</v>
      </c>
    </row>
    <row r="1015" spans="1:16" x14ac:dyDescent="0.35">
      <c r="A1015">
        <v>610789</v>
      </c>
      <c r="B1015" t="s">
        <v>13</v>
      </c>
      <c r="C1015" t="s">
        <v>136</v>
      </c>
      <c r="D1015" t="s">
        <v>210</v>
      </c>
      <c r="E1015" t="s">
        <v>665</v>
      </c>
      <c r="F1015" t="s">
        <v>187</v>
      </c>
      <c r="G1015" s="1">
        <v>45796</v>
      </c>
      <c r="H1015" s="1">
        <v>45838</v>
      </c>
      <c r="I1015" s="2">
        <v>250</v>
      </c>
      <c r="J1015" t="s">
        <v>777</v>
      </c>
      <c r="K1015" t="s">
        <v>783</v>
      </c>
      <c r="L1015" t="s">
        <v>824</v>
      </c>
      <c r="M1015" t="s">
        <v>830</v>
      </c>
      <c r="N1015" t="str">
        <f t="shared" si="45"/>
        <v>T-2</v>
      </c>
      <c r="O1015">
        <f t="shared" si="46"/>
        <v>2025</v>
      </c>
      <c r="P1015" t="str">
        <f t="shared" si="47"/>
        <v>5. mayo</v>
      </c>
    </row>
    <row r="1016" spans="1:16" x14ac:dyDescent="0.35">
      <c r="A1016">
        <v>718652</v>
      </c>
      <c r="B1016" t="s">
        <v>89</v>
      </c>
      <c r="C1016" t="s">
        <v>137</v>
      </c>
      <c r="D1016" t="s">
        <v>487</v>
      </c>
      <c r="E1016" t="s">
        <v>682</v>
      </c>
      <c r="F1016" t="s">
        <v>187</v>
      </c>
      <c r="G1016" s="1">
        <v>45842</v>
      </c>
      <c r="H1016" s="1">
        <v>45846</v>
      </c>
      <c r="I1016" s="2">
        <v>1200</v>
      </c>
      <c r="J1016" t="s">
        <v>777</v>
      </c>
      <c r="K1016" t="s">
        <v>783</v>
      </c>
      <c r="L1016" t="s">
        <v>823</v>
      </c>
      <c r="M1016" t="s">
        <v>828</v>
      </c>
      <c r="N1016" t="str">
        <f t="shared" si="45"/>
        <v>T-3</v>
      </c>
      <c r="O1016">
        <f t="shared" si="46"/>
        <v>2025</v>
      </c>
      <c r="P1016" t="str">
        <f t="shared" si="47"/>
        <v>7. julio</v>
      </c>
    </row>
    <row r="1017" spans="1:16" x14ac:dyDescent="0.35">
      <c r="A1017">
        <v>415738</v>
      </c>
      <c r="B1017" t="s">
        <v>4</v>
      </c>
      <c r="C1017" t="s">
        <v>138</v>
      </c>
      <c r="D1017" t="s">
        <v>150</v>
      </c>
      <c r="E1017" t="s">
        <v>661</v>
      </c>
      <c r="F1017" t="s">
        <v>187</v>
      </c>
      <c r="G1017" s="1">
        <v>45712</v>
      </c>
      <c r="H1017" s="1">
        <v>45733</v>
      </c>
      <c r="I1017" s="2">
        <v>979</v>
      </c>
      <c r="J1017" t="s">
        <v>779</v>
      </c>
      <c r="K1017" t="s">
        <v>783</v>
      </c>
      <c r="L1017" t="s">
        <v>823</v>
      </c>
      <c r="M1017" t="s">
        <v>828</v>
      </c>
      <c r="N1017" t="str">
        <f t="shared" si="45"/>
        <v>T-1</v>
      </c>
      <c r="O1017">
        <f t="shared" si="46"/>
        <v>2025</v>
      </c>
      <c r="P1017" t="str">
        <f t="shared" si="47"/>
        <v>2. febrero</v>
      </c>
    </row>
    <row r="1018" spans="1:16" x14ac:dyDescent="0.35">
      <c r="A1018">
        <v>706564</v>
      </c>
      <c r="B1018" t="s">
        <v>71</v>
      </c>
      <c r="C1018" t="s">
        <v>138</v>
      </c>
      <c r="D1018" t="s">
        <v>150</v>
      </c>
      <c r="E1018" t="s">
        <v>661</v>
      </c>
      <c r="F1018" t="s">
        <v>187</v>
      </c>
      <c r="G1018" s="1">
        <v>45712</v>
      </c>
      <c r="H1018" s="1">
        <v>45733</v>
      </c>
      <c r="I1018" s="2">
        <v>2941</v>
      </c>
      <c r="J1018" t="s">
        <v>779</v>
      </c>
      <c r="K1018" t="s">
        <v>783</v>
      </c>
      <c r="L1018" t="s">
        <v>823</v>
      </c>
      <c r="M1018" t="s">
        <v>830</v>
      </c>
      <c r="N1018" t="str">
        <f t="shared" si="45"/>
        <v>T-1</v>
      </c>
      <c r="O1018">
        <f t="shared" si="46"/>
        <v>2025</v>
      </c>
      <c r="P1018" t="str">
        <f t="shared" si="47"/>
        <v>2. febrero</v>
      </c>
    </row>
    <row r="1019" spans="1:16" x14ac:dyDescent="0.35">
      <c r="A1019">
        <v>707010</v>
      </c>
      <c r="B1019" t="s">
        <v>5</v>
      </c>
      <c r="C1019" t="s">
        <v>138</v>
      </c>
      <c r="D1019" t="s">
        <v>488</v>
      </c>
      <c r="E1019" t="s">
        <v>743</v>
      </c>
      <c r="F1019" t="s">
        <v>187</v>
      </c>
      <c r="G1019" s="1">
        <v>45810</v>
      </c>
      <c r="H1019" s="1">
        <v>45967</v>
      </c>
      <c r="I1019" s="2">
        <v>992</v>
      </c>
      <c r="J1019" t="s">
        <v>776</v>
      </c>
      <c r="K1019" t="s">
        <v>783</v>
      </c>
      <c r="L1019" t="s">
        <v>823</v>
      </c>
      <c r="M1019" t="s">
        <v>829</v>
      </c>
      <c r="N1019" t="str">
        <f t="shared" si="45"/>
        <v>T-2</v>
      </c>
      <c r="O1019">
        <f t="shared" si="46"/>
        <v>2025</v>
      </c>
      <c r="P1019" t="str">
        <f t="shared" si="47"/>
        <v>6. junio</v>
      </c>
    </row>
    <row r="1020" spans="1:16" x14ac:dyDescent="0.35">
      <c r="A1020">
        <v>712964</v>
      </c>
      <c r="B1020" t="s">
        <v>30</v>
      </c>
      <c r="C1020" t="s">
        <v>138</v>
      </c>
      <c r="D1020" t="s">
        <v>176</v>
      </c>
      <c r="E1020" t="s">
        <v>652</v>
      </c>
      <c r="F1020" t="s">
        <v>187</v>
      </c>
      <c r="G1020" s="1">
        <v>45845</v>
      </c>
      <c r="H1020" s="1">
        <v>45849</v>
      </c>
      <c r="I1020" s="2">
        <v>2037</v>
      </c>
      <c r="J1020" t="s">
        <v>774</v>
      </c>
      <c r="K1020" t="s">
        <v>783</v>
      </c>
      <c r="L1020" t="s">
        <v>823</v>
      </c>
      <c r="M1020" t="s">
        <v>830</v>
      </c>
      <c r="N1020" t="str">
        <f t="shared" si="45"/>
        <v>T-3</v>
      </c>
      <c r="O1020">
        <f t="shared" si="46"/>
        <v>2025</v>
      </c>
      <c r="P1020" t="str">
        <f t="shared" si="47"/>
        <v>7. julio</v>
      </c>
    </row>
    <row r="1021" spans="1:16" x14ac:dyDescent="0.35">
      <c r="A1021">
        <v>704735</v>
      </c>
      <c r="B1021" t="s">
        <v>2</v>
      </c>
      <c r="C1021" t="s">
        <v>138</v>
      </c>
      <c r="D1021" t="s">
        <v>477</v>
      </c>
      <c r="E1021" t="s">
        <v>714</v>
      </c>
      <c r="F1021" t="s">
        <v>187</v>
      </c>
      <c r="G1021" s="1">
        <v>45867</v>
      </c>
      <c r="H1021" s="1">
        <v>45867</v>
      </c>
      <c r="I1021" s="2">
        <v>731.25</v>
      </c>
      <c r="J1021" t="s">
        <v>779</v>
      </c>
      <c r="K1021" t="s">
        <v>783</v>
      </c>
      <c r="L1021" t="s">
        <v>823</v>
      </c>
      <c r="M1021" t="s">
        <v>830</v>
      </c>
      <c r="N1021" t="str">
        <f t="shared" si="45"/>
        <v>T-3</v>
      </c>
      <c r="O1021">
        <f t="shared" si="46"/>
        <v>2025</v>
      </c>
      <c r="P1021" t="str">
        <f t="shared" si="47"/>
        <v>7. julio</v>
      </c>
    </row>
    <row r="1022" spans="1:16" x14ac:dyDescent="0.35">
      <c r="A1022">
        <v>561748</v>
      </c>
      <c r="B1022" t="s">
        <v>5</v>
      </c>
      <c r="C1022" t="s">
        <v>138</v>
      </c>
      <c r="D1022" t="s">
        <v>166</v>
      </c>
      <c r="E1022" t="s">
        <v>714</v>
      </c>
      <c r="F1022" t="s">
        <v>187</v>
      </c>
      <c r="G1022" s="1">
        <v>45853</v>
      </c>
      <c r="H1022" s="1">
        <v>45860</v>
      </c>
      <c r="I1022" s="2">
        <v>546</v>
      </c>
      <c r="J1022" t="s">
        <v>779</v>
      </c>
      <c r="K1022" t="s">
        <v>783</v>
      </c>
      <c r="L1022" t="s">
        <v>824</v>
      </c>
      <c r="M1022" t="s">
        <v>828</v>
      </c>
      <c r="N1022" t="str">
        <f t="shared" si="45"/>
        <v>T-3</v>
      </c>
      <c r="O1022">
        <f t="shared" si="46"/>
        <v>2025</v>
      </c>
      <c r="P1022" t="str">
        <f t="shared" si="47"/>
        <v>7. julio</v>
      </c>
    </row>
    <row r="1023" spans="1:16" x14ac:dyDescent="0.35">
      <c r="A1023">
        <v>414509</v>
      </c>
      <c r="B1023" t="s">
        <v>5</v>
      </c>
      <c r="C1023" t="s">
        <v>139</v>
      </c>
      <c r="D1023" t="s">
        <v>166</v>
      </c>
      <c r="E1023" t="s">
        <v>714</v>
      </c>
      <c r="F1023" t="s">
        <v>187</v>
      </c>
      <c r="G1023" s="1">
        <v>45853</v>
      </c>
      <c r="H1023" s="1">
        <v>45860</v>
      </c>
      <c r="I1023" s="2">
        <v>2548</v>
      </c>
      <c r="J1023" t="s">
        <v>779</v>
      </c>
      <c r="K1023" t="s">
        <v>783</v>
      </c>
      <c r="L1023" t="s">
        <v>823</v>
      </c>
      <c r="M1023" t="s">
        <v>828</v>
      </c>
      <c r="N1023" t="str">
        <f t="shared" si="45"/>
        <v>T-3</v>
      </c>
      <c r="O1023">
        <f t="shared" si="46"/>
        <v>2025</v>
      </c>
      <c r="P1023" t="str">
        <f t="shared" si="47"/>
        <v>7. julio</v>
      </c>
    </row>
    <row r="1024" spans="1:16" x14ac:dyDescent="0.35">
      <c r="A1024">
        <v>716012</v>
      </c>
      <c r="B1024" t="s">
        <v>34</v>
      </c>
      <c r="C1024" t="s">
        <v>138</v>
      </c>
      <c r="D1024" t="s">
        <v>166</v>
      </c>
      <c r="E1024" t="s">
        <v>714</v>
      </c>
      <c r="F1024" t="s">
        <v>187</v>
      </c>
      <c r="G1024" s="1">
        <v>45853</v>
      </c>
      <c r="H1024" s="1">
        <v>45860</v>
      </c>
      <c r="I1024" s="2">
        <v>1638</v>
      </c>
      <c r="J1024" t="s">
        <v>779</v>
      </c>
      <c r="K1024" t="s">
        <v>783</v>
      </c>
      <c r="L1024" t="s">
        <v>823</v>
      </c>
      <c r="M1024" t="s">
        <v>829</v>
      </c>
      <c r="N1024" t="str">
        <f t="shared" si="45"/>
        <v>T-3</v>
      </c>
      <c r="O1024">
        <f t="shared" si="46"/>
        <v>2025</v>
      </c>
      <c r="P1024" t="str">
        <f t="shared" si="47"/>
        <v>7. julio</v>
      </c>
    </row>
    <row r="1025" spans="1:16" x14ac:dyDescent="0.35">
      <c r="A1025">
        <v>408842</v>
      </c>
      <c r="B1025" t="s">
        <v>37</v>
      </c>
      <c r="C1025" t="s">
        <v>139</v>
      </c>
      <c r="D1025" t="s">
        <v>478</v>
      </c>
      <c r="E1025" t="s">
        <v>714</v>
      </c>
      <c r="F1025" t="s">
        <v>187</v>
      </c>
      <c r="G1025" s="1">
        <v>45862</v>
      </c>
      <c r="H1025" s="1">
        <v>45866</v>
      </c>
      <c r="I1025" s="2">
        <v>1638</v>
      </c>
      <c r="J1025" t="s">
        <v>779</v>
      </c>
      <c r="K1025" t="s">
        <v>783</v>
      </c>
      <c r="L1025" t="s">
        <v>823</v>
      </c>
      <c r="M1025" t="s">
        <v>830</v>
      </c>
      <c r="N1025" t="str">
        <f t="shared" si="45"/>
        <v>T-3</v>
      </c>
      <c r="O1025">
        <f t="shared" si="46"/>
        <v>2025</v>
      </c>
      <c r="P1025" t="str">
        <f t="shared" si="47"/>
        <v>7. julio</v>
      </c>
    </row>
    <row r="1026" spans="1:16" x14ac:dyDescent="0.35">
      <c r="A1026">
        <v>362026</v>
      </c>
      <c r="B1026" t="s">
        <v>5</v>
      </c>
      <c r="C1026" t="s">
        <v>139</v>
      </c>
      <c r="D1026" t="s">
        <v>476</v>
      </c>
      <c r="E1026" t="s">
        <v>714</v>
      </c>
      <c r="F1026" t="s">
        <v>187</v>
      </c>
      <c r="G1026" s="1">
        <v>45859</v>
      </c>
      <c r="H1026" s="1">
        <v>45862</v>
      </c>
      <c r="I1026" s="2">
        <v>364</v>
      </c>
      <c r="J1026" t="s">
        <v>779</v>
      </c>
      <c r="K1026" t="s">
        <v>783</v>
      </c>
      <c r="L1026" t="s">
        <v>823</v>
      </c>
      <c r="M1026" t="s">
        <v>830</v>
      </c>
      <c r="N1026" t="str">
        <f t="shared" si="45"/>
        <v>T-3</v>
      </c>
      <c r="O1026">
        <f t="shared" si="46"/>
        <v>2025</v>
      </c>
      <c r="P1026" t="str">
        <f t="shared" si="47"/>
        <v>7. julio</v>
      </c>
    </row>
    <row r="1027" spans="1:16" x14ac:dyDescent="0.35">
      <c r="A1027">
        <v>704620</v>
      </c>
      <c r="B1027" t="s">
        <v>30</v>
      </c>
      <c r="C1027" t="s">
        <v>138</v>
      </c>
      <c r="D1027" t="s">
        <v>476</v>
      </c>
      <c r="E1027" t="s">
        <v>714</v>
      </c>
      <c r="F1027" t="s">
        <v>187</v>
      </c>
      <c r="G1027" s="1">
        <v>45859</v>
      </c>
      <c r="H1027" s="1">
        <v>45862</v>
      </c>
      <c r="I1027" s="2">
        <v>1638</v>
      </c>
      <c r="J1027" t="s">
        <v>779</v>
      </c>
      <c r="K1027" t="s">
        <v>783</v>
      </c>
      <c r="L1027" t="s">
        <v>823</v>
      </c>
      <c r="M1027" t="s">
        <v>828</v>
      </c>
      <c r="N1027" t="str">
        <f t="shared" ref="N1027:N1090" si="48">"T-" &amp; ROUNDUP((MONTH(G1027)/3), 0)</f>
        <v>T-3</v>
      </c>
      <c r="O1027">
        <f t="shared" ref="O1027:O1090" si="49">YEAR(G1027)</f>
        <v>2025</v>
      </c>
      <c r="P1027" t="str">
        <f t="shared" ref="P1027:P1090" si="50">MONTH(G1027) &amp; ". " &amp; TEXT(G1027, "MMMM")</f>
        <v>7. julio</v>
      </c>
    </row>
    <row r="1028" spans="1:16" x14ac:dyDescent="0.35">
      <c r="A1028">
        <v>717360</v>
      </c>
      <c r="B1028" t="s">
        <v>71</v>
      </c>
      <c r="C1028" t="s">
        <v>136</v>
      </c>
      <c r="D1028" t="s">
        <v>476</v>
      </c>
      <c r="E1028" t="s">
        <v>714</v>
      </c>
      <c r="F1028" t="s">
        <v>187</v>
      </c>
      <c r="G1028" s="1">
        <v>45859</v>
      </c>
      <c r="H1028" s="1">
        <v>45862</v>
      </c>
      <c r="I1028" s="2">
        <v>2184</v>
      </c>
      <c r="J1028" t="s">
        <v>779</v>
      </c>
      <c r="K1028" t="s">
        <v>783</v>
      </c>
      <c r="L1028" t="s">
        <v>823</v>
      </c>
      <c r="M1028" t="s">
        <v>830</v>
      </c>
      <c r="N1028" t="str">
        <f t="shared" si="48"/>
        <v>T-3</v>
      </c>
      <c r="O1028">
        <f t="shared" si="49"/>
        <v>2025</v>
      </c>
      <c r="P1028" t="str">
        <f t="shared" si="50"/>
        <v>7. julio</v>
      </c>
    </row>
    <row r="1029" spans="1:16" x14ac:dyDescent="0.35">
      <c r="A1029">
        <v>400457</v>
      </c>
      <c r="B1029" t="s">
        <v>67</v>
      </c>
      <c r="C1029" t="s">
        <v>138</v>
      </c>
      <c r="D1029" t="s">
        <v>490</v>
      </c>
      <c r="E1029" t="s">
        <v>744</v>
      </c>
      <c r="F1029" t="s">
        <v>773</v>
      </c>
      <c r="G1029" s="1">
        <v>45917</v>
      </c>
      <c r="H1029" s="1">
        <v>45917</v>
      </c>
      <c r="I1029" s="2">
        <v>900</v>
      </c>
      <c r="J1029" t="s">
        <v>776</v>
      </c>
      <c r="K1029" t="s">
        <v>783</v>
      </c>
      <c r="L1029" t="s">
        <v>823</v>
      </c>
      <c r="M1029" t="s">
        <v>829</v>
      </c>
      <c r="N1029" t="str">
        <f t="shared" si="48"/>
        <v>T-3</v>
      </c>
      <c r="O1029">
        <f t="shared" si="49"/>
        <v>2025</v>
      </c>
      <c r="P1029" t="str">
        <f t="shared" si="50"/>
        <v>9. septiembre</v>
      </c>
    </row>
    <row r="1030" spans="1:16" x14ac:dyDescent="0.35">
      <c r="A1030">
        <v>713535</v>
      </c>
      <c r="B1030" t="s">
        <v>2</v>
      </c>
      <c r="C1030" t="s">
        <v>138</v>
      </c>
      <c r="D1030" t="s">
        <v>377</v>
      </c>
      <c r="E1030" t="s">
        <v>722</v>
      </c>
      <c r="F1030" t="s">
        <v>187</v>
      </c>
      <c r="G1030" s="1">
        <v>45845</v>
      </c>
      <c r="H1030" s="1">
        <v>45898</v>
      </c>
      <c r="I1030" s="2">
        <v>1537</v>
      </c>
      <c r="J1030" t="s">
        <v>778</v>
      </c>
      <c r="K1030" t="s">
        <v>783</v>
      </c>
      <c r="L1030" t="s">
        <v>824</v>
      </c>
      <c r="M1030" t="s">
        <v>830</v>
      </c>
      <c r="N1030" t="str">
        <f t="shared" si="48"/>
        <v>T-3</v>
      </c>
      <c r="O1030">
        <f t="shared" si="49"/>
        <v>2025</v>
      </c>
      <c r="P1030" t="str">
        <f t="shared" si="50"/>
        <v>7. julio</v>
      </c>
    </row>
    <row r="1031" spans="1:16" x14ac:dyDescent="0.35">
      <c r="A1031">
        <v>708310</v>
      </c>
      <c r="B1031" t="s">
        <v>50</v>
      </c>
      <c r="C1031" t="s">
        <v>138</v>
      </c>
      <c r="D1031" t="s">
        <v>491</v>
      </c>
      <c r="E1031" t="s">
        <v>658</v>
      </c>
      <c r="F1031" t="s">
        <v>187</v>
      </c>
      <c r="G1031" s="1">
        <v>45876</v>
      </c>
      <c r="H1031" s="1">
        <v>45915</v>
      </c>
      <c r="I1031" s="2">
        <v>619</v>
      </c>
      <c r="J1031" t="s">
        <v>774</v>
      </c>
      <c r="K1031" t="s">
        <v>783</v>
      </c>
      <c r="L1031" t="s">
        <v>823</v>
      </c>
      <c r="M1031" t="s">
        <v>830</v>
      </c>
      <c r="N1031" t="str">
        <f t="shared" si="48"/>
        <v>T-3</v>
      </c>
      <c r="O1031">
        <f t="shared" si="49"/>
        <v>2025</v>
      </c>
      <c r="P1031" t="str">
        <f t="shared" si="50"/>
        <v>8. agosto</v>
      </c>
    </row>
    <row r="1032" spans="1:16" x14ac:dyDescent="0.35">
      <c r="A1032">
        <v>502122</v>
      </c>
      <c r="B1032" t="s">
        <v>17</v>
      </c>
      <c r="C1032" t="s">
        <v>138</v>
      </c>
      <c r="D1032" t="s">
        <v>492</v>
      </c>
      <c r="E1032" t="s">
        <v>745</v>
      </c>
      <c r="F1032" t="s">
        <v>187</v>
      </c>
      <c r="G1032" s="1">
        <v>45925</v>
      </c>
      <c r="H1032" s="1">
        <v>45925</v>
      </c>
      <c r="I1032" s="2">
        <v>508.8</v>
      </c>
      <c r="J1032" t="s">
        <v>779</v>
      </c>
      <c r="K1032" t="s">
        <v>783</v>
      </c>
      <c r="L1032" t="s">
        <v>823</v>
      </c>
      <c r="M1032" t="s">
        <v>828</v>
      </c>
      <c r="N1032" t="str">
        <f t="shared" si="48"/>
        <v>T-3</v>
      </c>
      <c r="O1032">
        <f t="shared" si="49"/>
        <v>2025</v>
      </c>
      <c r="P1032" t="str">
        <f t="shared" si="50"/>
        <v>9. septiembre</v>
      </c>
    </row>
    <row r="1033" spans="1:16" x14ac:dyDescent="0.35">
      <c r="A1033">
        <v>361723</v>
      </c>
      <c r="B1033" t="s">
        <v>24</v>
      </c>
      <c r="C1033" t="s">
        <v>139</v>
      </c>
      <c r="D1033" t="s">
        <v>492</v>
      </c>
      <c r="E1033" t="s">
        <v>745</v>
      </c>
      <c r="F1033" t="s">
        <v>187</v>
      </c>
      <c r="G1033" s="1">
        <v>45897</v>
      </c>
      <c r="H1033" s="1">
        <v>45897</v>
      </c>
      <c r="I1033" s="2">
        <v>508.8</v>
      </c>
      <c r="J1033" t="s">
        <v>779</v>
      </c>
      <c r="K1033" t="s">
        <v>783</v>
      </c>
      <c r="L1033" t="s">
        <v>823</v>
      </c>
      <c r="M1033" t="s">
        <v>828</v>
      </c>
      <c r="N1033" t="str">
        <f t="shared" si="48"/>
        <v>T-3</v>
      </c>
      <c r="O1033">
        <f t="shared" si="49"/>
        <v>2025</v>
      </c>
      <c r="P1033" t="str">
        <f t="shared" si="50"/>
        <v>8. agosto</v>
      </c>
    </row>
    <row r="1034" spans="1:16" x14ac:dyDescent="0.35">
      <c r="A1034">
        <v>560272</v>
      </c>
      <c r="B1034" t="s">
        <v>5</v>
      </c>
      <c r="C1034" t="s">
        <v>138</v>
      </c>
      <c r="D1034" t="s">
        <v>492</v>
      </c>
      <c r="E1034" t="s">
        <v>745</v>
      </c>
      <c r="F1034" t="s">
        <v>187</v>
      </c>
      <c r="G1034" s="1">
        <v>45904</v>
      </c>
      <c r="H1034" s="1">
        <v>45904</v>
      </c>
      <c r="I1034" s="2">
        <v>508.8</v>
      </c>
      <c r="J1034" t="s">
        <v>779</v>
      </c>
      <c r="K1034" t="s">
        <v>784</v>
      </c>
      <c r="L1034" t="s">
        <v>823</v>
      </c>
      <c r="M1034" t="s">
        <v>830</v>
      </c>
      <c r="N1034" t="str">
        <f t="shared" si="48"/>
        <v>T-3</v>
      </c>
      <c r="O1034">
        <f t="shared" si="49"/>
        <v>2025</v>
      </c>
      <c r="P1034" t="str">
        <f t="shared" si="50"/>
        <v>9. septiembre</v>
      </c>
    </row>
    <row r="1035" spans="1:16" x14ac:dyDescent="0.35">
      <c r="A1035">
        <v>722575</v>
      </c>
      <c r="B1035" t="s">
        <v>30</v>
      </c>
      <c r="C1035" t="s">
        <v>137</v>
      </c>
      <c r="D1035" t="s">
        <v>492</v>
      </c>
      <c r="E1035" t="s">
        <v>745</v>
      </c>
      <c r="F1035" t="s">
        <v>187</v>
      </c>
      <c r="G1035" s="1">
        <v>45911</v>
      </c>
      <c r="H1035" s="1">
        <v>45911</v>
      </c>
      <c r="I1035" s="2">
        <v>508.8</v>
      </c>
      <c r="J1035" t="s">
        <v>779</v>
      </c>
      <c r="K1035" t="s">
        <v>783</v>
      </c>
      <c r="L1035" t="s">
        <v>823</v>
      </c>
      <c r="M1035" t="s">
        <v>829</v>
      </c>
      <c r="N1035" t="str">
        <f t="shared" si="48"/>
        <v>T-3</v>
      </c>
      <c r="O1035">
        <f t="shared" si="49"/>
        <v>2025</v>
      </c>
      <c r="P1035" t="str">
        <f t="shared" si="50"/>
        <v>9. septiembre</v>
      </c>
    </row>
    <row r="1036" spans="1:16" x14ac:dyDescent="0.35">
      <c r="A1036">
        <v>752165</v>
      </c>
      <c r="B1036" t="s">
        <v>31</v>
      </c>
      <c r="C1036" t="s">
        <v>137</v>
      </c>
      <c r="D1036" t="s">
        <v>492</v>
      </c>
      <c r="E1036" t="s">
        <v>745</v>
      </c>
      <c r="F1036" t="s">
        <v>187</v>
      </c>
      <c r="G1036" s="1">
        <v>45918</v>
      </c>
      <c r="H1036" s="1">
        <v>45918</v>
      </c>
      <c r="I1036" s="2">
        <v>508.8</v>
      </c>
      <c r="J1036" t="s">
        <v>779</v>
      </c>
      <c r="K1036" t="s">
        <v>783</v>
      </c>
      <c r="L1036" t="s">
        <v>824</v>
      </c>
      <c r="M1036" t="s">
        <v>830</v>
      </c>
      <c r="N1036" t="str">
        <f t="shared" si="48"/>
        <v>T-3</v>
      </c>
      <c r="O1036">
        <f t="shared" si="49"/>
        <v>2025</v>
      </c>
      <c r="P1036" t="str">
        <f t="shared" si="50"/>
        <v>9. septiembre</v>
      </c>
    </row>
    <row r="1037" spans="1:16" x14ac:dyDescent="0.35">
      <c r="A1037">
        <v>715498</v>
      </c>
      <c r="B1037" t="s">
        <v>112</v>
      </c>
      <c r="C1037" t="s">
        <v>137</v>
      </c>
      <c r="D1037" t="s">
        <v>378</v>
      </c>
      <c r="E1037" t="s">
        <v>652</v>
      </c>
      <c r="F1037" t="s">
        <v>187</v>
      </c>
      <c r="G1037" s="1">
        <v>45866</v>
      </c>
      <c r="H1037" s="1">
        <v>45869</v>
      </c>
      <c r="I1037" s="2">
        <v>208</v>
      </c>
      <c r="J1037" t="s">
        <v>776</v>
      </c>
      <c r="K1037" t="s">
        <v>783</v>
      </c>
      <c r="L1037" t="s">
        <v>823</v>
      </c>
      <c r="M1037" t="s">
        <v>830</v>
      </c>
      <c r="N1037" t="str">
        <f t="shared" si="48"/>
        <v>T-3</v>
      </c>
      <c r="O1037">
        <f t="shared" si="49"/>
        <v>2025</v>
      </c>
      <c r="P1037" t="str">
        <f t="shared" si="50"/>
        <v>7. julio</v>
      </c>
    </row>
    <row r="1038" spans="1:16" x14ac:dyDescent="0.35">
      <c r="A1038">
        <v>711332</v>
      </c>
      <c r="B1038" t="s">
        <v>8</v>
      </c>
      <c r="C1038" t="s">
        <v>136</v>
      </c>
      <c r="D1038" t="s">
        <v>378</v>
      </c>
      <c r="E1038" t="s">
        <v>652</v>
      </c>
      <c r="F1038" t="s">
        <v>187</v>
      </c>
      <c r="G1038" s="1">
        <v>45866</v>
      </c>
      <c r="H1038" s="1">
        <v>45869</v>
      </c>
      <c r="I1038" s="2">
        <v>1248</v>
      </c>
      <c r="J1038" t="s">
        <v>776</v>
      </c>
      <c r="K1038" t="s">
        <v>783</v>
      </c>
      <c r="L1038" t="s">
        <v>823</v>
      </c>
      <c r="M1038" t="s">
        <v>828</v>
      </c>
      <c r="N1038" t="str">
        <f t="shared" si="48"/>
        <v>T-3</v>
      </c>
      <c r="O1038">
        <f t="shared" si="49"/>
        <v>2025</v>
      </c>
      <c r="P1038" t="str">
        <f t="shared" si="50"/>
        <v>7. julio</v>
      </c>
    </row>
    <row r="1039" spans="1:16" x14ac:dyDescent="0.35">
      <c r="A1039">
        <v>703179</v>
      </c>
      <c r="B1039" t="s">
        <v>19</v>
      </c>
      <c r="C1039" t="s">
        <v>138</v>
      </c>
      <c r="D1039" t="s">
        <v>493</v>
      </c>
      <c r="E1039" t="s">
        <v>669</v>
      </c>
      <c r="F1039" t="s">
        <v>187</v>
      </c>
      <c r="G1039" s="1">
        <v>45852</v>
      </c>
      <c r="H1039" s="1">
        <v>45868</v>
      </c>
      <c r="I1039" s="2">
        <v>666</v>
      </c>
      <c r="J1039" t="s">
        <v>776</v>
      </c>
      <c r="K1039" t="s">
        <v>783</v>
      </c>
      <c r="L1039" t="s">
        <v>823</v>
      </c>
      <c r="M1039" t="s">
        <v>828</v>
      </c>
      <c r="N1039" t="str">
        <f t="shared" si="48"/>
        <v>T-3</v>
      </c>
      <c r="O1039">
        <f t="shared" si="49"/>
        <v>2025</v>
      </c>
      <c r="P1039" t="str">
        <f t="shared" si="50"/>
        <v>7. julio</v>
      </c>
    </row>
    <row r="1040" spans="1:16" x14ac:dyDescent="0.35">
      <c r="A1040">
        <v>560074</v>
      </c>
      <c r="B1040" t="s">
        <v>5</v>
      </c>
      <c r="C1040" t="s">
        <v>138</v>
      </c>
      <c r="D1040" t="s">
        <v>477</v>
      </c>
      <c r="E1040" t="s">
        <v>714</v>
      </c>
      <c r="F1040" t="s">
        <v>187</v>
      </c>
      <c r="G1040" s="1">
        <v>45866</v>
      </c>
      <c r="H1040" s="1">
        <v>45866</v>
      </c>
      <c r="I1040" s="2">
        <v>682.5</v>
      </c>
      <c r="J1040" t="s">
        <v>779</v>
      </c>
      <c r="K1040" t="s">
        <v>783</v>
      </c>
      <c r="L1040" t="s">
        <v>823</v>
      </c>
      <c r="M1040" t="s">
        <v>829</v>
      </c>
      <c r="N1040" t="str">
        <f t="shared" si="48"/>
        <v>T-3</v>
      </c>
      <c r="O1040">
        <f t="shared" si="49"/>
        <v>2025</v>
      </c>
      <c r="P1040" t="str">
        <f t="shared" si="50"/>
        <v>7. julio</v>
      </c>
    </row>
    <row r="1041" spans="1:16" x14ac:dyDescent="0.35">
      <c r="A1041">
        <v>449818</v>
      </c>
      <c r="B1041" t="s">
        <v>30</v>
      </c>
      <c r="C1041" t="s">
        <v>138</v>
      </c>
      <c r="D1041" t="s">
        <v>210</v>
      </c>
      <c r="E1041" t="s">
        <v>665</v>
      </c>
      <c r="F1041" t="s">
        <v>187</v>
      </c>
      <c r="G1041" s="1">
        <v>45840</v>
      </c>
      <c r="H1041" s="1">
        <v>45868</v>
      </c>
      <c r="I1041" s="2">
        <v>640</v>
      </c>
      <c r="J1041" t="s">
        <v>777</v>
      </c>
      <c r="K1041" t="s">
        <v>783</v>
      </c>
      <c r="L1041" t="s">
        <v>823</v>
      </c>
      <c r="M1041" t="s">
        <v>830</v>
      </c>
      <c r="N1041" t="str">
        <f t="shared" si="48"/>
        <v>T-3</v>
      </c>
      <c r="O1041">
        <f t="shared" si="49"/>
        <v>2025</v>
      </c>
      <c r="P1041" t="str">
        <f t="shared" si="50"/>
        <v>7. julio</v>
      </c>
    </row>
    <row r="1042" spans="1:16" x14ac:dyDescent="0.35">
      <c r="A1042">
        <v>408955</v>
      </c>
      <c r="B1042" t="s">
        <v>25</v>
      </c>
      <c r="C1042" t="s">
        <v>138</v>
      </c>
      <c r="D1042" t="s">
        <v>210</v>
      </c>
      <c r="E1042" t="s">
        <v>665</v>
      </c>
      <c r="F1042" t="s">
        <v>187</v>
      </c>
      <c r="G1042" s="1">
        <v>45847</v>
      </c>
      <c r="H1042" s="1">
        <v>45875</v>
      </c>
      <c r="I1042" s="2">
        <v>250</v>
      </c>
      <c r="J1042" t="s">
        <v>777</v>
      </c>
      <c r="K1042" t="s">
        <v>783</v>
      </c>
      <c r="L1042" t="s">
        <v>823</v>
      </c>
      <c r="M1042" t="s">
        <v>830</v>
      </c>
      <c r="N1042" t="str">
        <f t="shared" si="48"/>
        <v>T-3</v>
      </c>
      <c r="O1042">
        <f t="shared" si="49"/>
        <v>2025</v>
      </c>
      <c r="P1042" t="str">
        <f t="shared" si="50"/>
        <v>7. julio</v>
      </c>
    </row>
    <row r="1043" spans="1:16" x14ac:dyDescent="0.35">
      <c r="A1043">
        <v>419460</v>
      </c>
      <c r="B1043" t="s">
        <v>5</v>
      </c>
      <c r="C1043" t="s">
        <v>138</v>
      </c>
      <c r="D1043" t="s">
        <v>170</v>
      </c>
      <c r="E1043" t="s">
        <v>682</v>
      </c>
      <c r="F1043" t="s">
        <v>187</v>
      </c>
      <c r="G1043" s="1">
        <v>45852</v>
      </c>
      <c r="H1043" s="1">
        <v>45853</v>
      </c>
      <c r="I1043" s="2">
        <v>260</v>
      </c>
      <c r="J1043" t="s">
        <v>777</v>
      </c>
      <c r="K1043" t="s">
        <v>783</v>
      </c>
      <c r="L1043" t="s">
        <v>824</v>
      </c>
      <c r="M1043" t="s">
        <v>828</v>
      </c>
      <c r="N1043" t="str">
        <f t="shared" si="48"/>
        <v>T-3</v>
      </c>
      <c r="O1043">
        <f t="shared" si="49"/>
        <v>2025</v>
      </c>
      <c r="P1043" t="str">
        <f t="shared" si="50"/>
        <v>7. julio</v>
      </c>
    </row>
    <row r="1044" spans="1:16" x14ac:dyDescent="0.35">
      <c r="A1044">
        <v>361355</v>
      </c>
      <c r="B1044" t="s">
        <v>4</v>
      </c>
      <c r="C1044" t="s">
        <v>139</v>
      </c>
      <c r="D1044" t="s">
        <v>166</v>
      </c>
      <c r="E1044" t="s">
        <v>714</v>
      </c>
      <c r="F1044" t="s">
        <v>187</v>
      </c>
      <c r="G1044" s="1">
        <v>45861</v>
      </c>
      <c r="H1044" s="1">
        <v>45869</v>
      </c>
      <c r="I1044" s="2">
        <v>1729</v>
      </c>
      <c r="J1044" t="s">
        <v>779</v>
      </c>
      <c r="K1044" t="s">
        <v>783</v>
      </c>
      <c r="L1044" t="s">
        <v>823</v>
      </c>
      <c r="M1044" t="s">
        <v>830</v>
      </c>
      <c r="N1044" t="str">
        <f t="shared" si="48"/>
        <v>T-3</v>
      </c>
      <c r="O1044">
        <f t="shared" si="49"/>
        <v>2025</v>
      </c>
      <c r="P1044" t="str">
        <f t="shared" si="50"/>
        <v>7. julio</v>
      </c>
    </row>
    <row r="1045" spans="1:16" x14ac:dyDescent="0.35">
      <c r="A1045">
        <v>716644</v>
      </c>
      <c r="B1045" t="s">
        <v>30</v>
      </c>
      <c r="C1045" t="s">
        <v>137</v>
      </c>
      <c r="D1045" t="s">
        <v>166</v>
      </c>
      <c r="E1045" t="s">
        <v>714</v>
      </c>
      <c r="F1045" t="s">
        <v>187</v>
      </c>
      <c r="G1045" s="1">
        <v>45861</v>
      </c>
      <c r="H1045" s="1">
        <v>45869</v>
      </c>
      <c r="I1045" s="2">
        <v>2457</v>
      </c>
      <c r="J1045" t="s">
        <v>779</v>
      </c>
      <c r="K1045" t="s">
        <v>783</v>
      </c>
      <c r="L1045" t="s">
        <v>823</v>
      </c>
      <c r="M1045" t="s">
        <v>829</v>
      </c>
      <c r="N1045" t="str">
        <f t="shared" si="48"/>
        <v>T-3</v>
      </c>
      <c r="O1045">
        <f t="shared" si="49"/>
        <v>2025</v>
      </c>
      <c r="P1045" t="str">
        <f t="shared" si="50"/>
        <v>7. julio</v>
      </c>
    </row>
    <row r="1046" spans="1:16" x14ac:dyDescent="0.35">
      <c r="A1046">
        <v>713370</v>
      </c>
      <c r="B1046" t="s">
        <v>25</v>
      </c>
      <c r="C1046" t="s">
        <v>138</v>
      </c>
      <c r="D1046" t="s">
        <v>495</v>
      </c>
      <c r="E1046" t="s">
        <v>662</v>
      </c>
      <c r="F1046" t="s">
        <v>187</v>
      </c>
      <c r="G1046" s="1">
        <v>45917</v>
      </c>
      <c r="H1046" s="1">
        <v>45918</v>
      </c>
      <c r="I1046" s="2">
        <v>2350</v>
      </c>
      <c r="J1046" t="s">
        <v>776</v>
      </c>
      <c r="K1046" t="s">
        <v>783</v>
      </c>
      <c r="L1046" t="s">
        <v>823</v>
      </c>
      <c r="M1046" t="s">
        <v>830</v>
      </c>
      <c r="N1046" t="str">
        <f t="shared" si="48"/>
        <v>T-3</v>
      </c>
      <c r="O1046">
        <f t="shared" si="49"/>
        <v>2025</v>
      </c>
      <c r="P1046" t="str">
        <f t="shared" si="50"/>
        <v>9. septiembre</v>
      </c>
    </row>
    <row r="1047" spans="1:16" x14ac:dyDescent="0.35">
      <c r="A1047">
        <v>565347</v>
      </c>
      <c r="B1047" t="s">
        <v>5</v>
      </c>
      <c r="C1047" t="s">
        <v>138</v>
      </c>
      <c r="D1047" t="s">
        <v>210</v>
      </c>
      <c r="E1047" t="s">
        <v>665</v>
      </c>
      <c r="F1047" t="s">
        <v>187</v>
      </c>
      <c r="G1047" s="1">
        <v>45727</v>
      </c>
      <c r="H1047" s="1">
        <v>45755</v>
      </c>
      <c r="I1047" s="2">
        <v>250</v>
      </c>
      <c r="J1047" t="s">
        <v>777</v>
      </c>
      <c r="K1047" t="s">
        <v>783</v>
      </c>
      <c r="L1047" t="s">
        <v>823</v>
      </c>
      <c r="M1047" t="s">
        <v>830</v>
      </c>
      <c r="N1047" t="str">
        <f t="shared" si="48"/>
        <v>T-1</v>
      </c>
      <c r="O1047">
        <f t="shared" si="49"/>
        <v>2025</v>
      </c>
      <c r="P1047" t="str">
        <f t="shared" si="50"/>
        <v>3. marzo</v>
      </c>
    </row>
    <row r="1048" spans="1:16" x14ac:dyDescent="0.35">
      <c r="A1048">
        <v>704028</v>
      </c>
      <c r="B1048" t="s">
        <v>30</v>
      </c>
      <c r="C1048" t="s">
        <v>138</v>
      </c>
      <c r="D1048" t="s">
        <v>210</v>
      </c>
      <c r="E1048" t="s">
        <v>665</v>
      </c>
      <c r="F1048" t="s">
        <v>187</v>
      </c>
      <c r="G1048" s="1">
        <v>45730</v>
      </c>
      <c r="H1048" s="1">
        <v>45754</v>
      </c>
      <c r="I1048" s="2">
        <v>250</v>
      </c>
      <c r="J1048" t="s">
        <v>777</v>
      </c>
      <c r="K1048" t="s">
        <v>783</v>
      </c>
      <c r="L1048" t="s">
        <v>823</v>
      </c>
      <c r="M1048" t="s">
        <v>828</v>
      </c>
      <c r="N1048" t="str">
        <f t="shared" si="48"/>
        <v>T-1</v>
      </c>
      <c r="O1048">
        <f t="shared" si="49"/>
        <v>2025</v>
      </c>
      <c r="P1048" t="str">
        <f t="shared" si="50"/>
        <v>3. marzo</v>
      </c>
    </row>
    <row r="1049" spans="1:16" x14ac:dyDescent="0.35">
      <c r="A1049">
        <v>492874</v>
      </c>
      <c r="B1049" t="s">
        <v>4</v>
      </c>
      <c r="C1049" t="s">
        <v>138</v>
      </c>
      <c r="D1049" t="s">
        <v>210</v>
      </c>
      <c r="E1049" t="s">
        <v>665</v>
      </c>
      <c r="F1049" t="s">
        <v>187</v>
      </c>
      <c r="G1049" s="1">
        <v>45730</v>
      </c>
      <c r="H1049" s="1">
        <v>45754</v>
      </c>
      <c r="I1049" s="2">
        <v>250</v>
      </c>
      <c r="J1049" t="s">
        <v>777</v>
      </c>
      <c r="K1049" t="s">
        <v>783</v>
      </c>
      <c r="L1049" t="s">
        <v>823</v>
      </c>
      <c r="M1049" t="s">
        <v>828</v>
      </c>
      <c r="N1049" t="str">
        <f t="shared" si="48"/>
        <v>T-1</v>
      </c>
      <c r="O1049">
        <f t="shared" si="49"/>
        <v>2025</v>
      </c>
      <c r="P1049" t="str">
        <f t="shared" si="50"/>
        <v>3. marzo</v>
      </c>
    </row>
    <row r="1050" spans="1:16" x14ac:dyDescent="0.35">
      <c r="A1050">
        <v>421573</v>
      </c>
      <c r="B1050" t="s">
        <v>46</v>
      </c>
      <c r="C1050" t="s">
        <v>138</v>
      </c>
      <c r="D1050" t="s">
        <v>334</v>
      </c>
      <c r="E1050" t="s">
        <v>665</v>
      </c>
      <c r="F1050" t="s">
        <v>187</v>
      </c>
      <c r="G1050" s="1">
        <v>45783</v>
      </c>
      <c r="H1050" s="1">
        <v>45783</v>
      </c>
      <c r="I1050" s="2">
        <v>1210</v>
      </c>
      <c r="J1050" t="s">
        <v>777</v>
      </c>
      <c r="K1050" t="s">
        <v>783</v>
      </c>
      <c r="L1050" t="s">
        <v>823</v>
      </c>
      <c r="M1050" t="s">
        <v>830</v>
      </c>
      <c r="N1050" t="str">
        <f t="shared" si="48"/>
        <v>T-2</v>
      </c>
      <c r="O1050">
        <f t="shared" si="49"/>
        <v>2025</v>
      </c>
      <c r="P1050" t="str">
        <f t="shared" si="50"/>
        <v>5. mayo</v>
      </c>
    </row>
    <row r="1051" spans="1:16" x14ac:dyDescent="0.35">
      <c r="A1051">
        <v>706286</v>
      </c>
      <c r="B1051" t="s">
        <v>23</v>
      </c>
      <c r="C1051" t="s">
        <v>141</v>
      </c>
      <c r="D1051" t="s">
        <v>496</v>
      </c>
      <c r="E1051" t="s">
        <v>718</v>
      </c>
      <c r="F1051" t="s">
        <v>187</v>
      </c>
      <c r="G1051" s="1">
        <v>45840</v>
      </c>
      <c r="H1051" s="1">
        <v>45854</v>
      </c>
      <c r="I1051" s="2">
        <v>2248.9899999999998</v>
      </c>
      <c r="J1051" t="s">
        <v>777</v>
      </c>
      <c r="K1051" t="s">
        <v>783</v>
      </c>
      <c r="L1051" t="s">
        <v>824</v>
      </c>
      <c r="M1051" t="s">
        <v>829</v>
      </c>
      <c r="N1051" t="str">
        <f t="shared" si="48"/>
        <v>T-3</v>
      </c>
      <c r="O1051">
        <f t="shared" si="49"/>
        <v>2025</v>
      </c>
      <c r="P1051" t="str">
        <f t="shared" si="50"/>
        <v>7. julio</v>
      </c>
    </row>
    <row r="1052" spans="1:16" x14ac:dyDescent="0.35">
      <c r="A1052">
        <v>456429</v>
      </c>
      <c r="B1052" t="s">
        <v>33</v>
      </c>
      <c r="C1052" t="s">
        <v>136</v>
      </c>
      <c r="D1052" t="s">
        <v>497</v>
      </c>
      <c r="E1052" t="s">
        <v>718</v>
      </c>
      <c r="F1052" t="s">
        <v>187</v>
      </c>
      <c r="G1052" s="1">
        <v>45845</v>
      </c>
      <c r="H1052" s="1">
        <v>45848</v>
      </c>
      <c r="I1052" s="2">
        <v>2473.79</v>
      </c>
      <c r="J1052" t="s">
        <v>777</v>
      </c>
      <c r="K1052" t="s">
        <v>783</v>
      </c>
      <c r="L1052" t="s">
        <v>823</v>
      </c>
      <c r="M1052" t="s">
        <v>830</v>
      </c>
      <c r="N1052" t="str">
        <f t="shared" si="48"/>
        <v>T-3</v>
      </c>
      <c r="O1052">
        <f t="shared" si="49"/>
        <v>2025</v>
      </c>
      <c r="P1052" t="str">
        <f t="shared" si="50"/>
        <v>7. julio</v>
      </c>
    </row>
    <row r="1053" spans="1:16" x14ac:dyDescent="0.35">
      <c r="A1053">
        <v>427643</v>
      </c>
      <c r="B1053" t="s">
        <v>54</v>
      </c>
      <c r="C1053" t="s">
        <v>136</v>
      </c>
      <c r="D1053" t="s">
        <v>498</v>
      </c>
      <c r="E1053" t="s">
        <v>647</v>
      </c>
      <c r="F1053" t="s">
        <v>773</v>
      </c>
      <c r="G1053" s="1">
        <v>45820</v>
      </c>
      <c r="H1053" s="1">
        <v>46185</v>
      </c>
      <c r="I1053" s="2">
        <v>300</v>
      </c>
      <c r="J1053" t="s">
        <v>774</v>
      </c>
      <c r="K1053" t="s">
        <v>783</v>
      </c>
      <c r="L1053" t="s">
        <v>823</v>
      </c>
      <c r="M1053" t="s">
        <v>830</v>
      </c>
      <c r="N1053" t="str">
        <f t="shared" si="48"/>
        <v>T-2</v>
      </c>
      <c r="O1053">
        <f t="shared" si="49"/>
        <v>2025</v>
      </c>
      <c r="P1053" t="str">
        <f t="shared" si="50"/>
        <v>6. junio</v>
      </c>
    </row>
    <row r="1054" spans="1:16" x14ac:dyDescent="0.35">
      <c r="A1054">
        <v>20997</v>
      </c>
      <c r="B1054" t="s">
        <v>75</v>
      </c>
      <c r="C1054" t="s">
        <v>140</v>
      </c>
      <c r="D1054" t="s">
        <v>499</v>
      </c>
      <c r="E1054" t="s">
        <v>746</v>
      </c>
      <c r="F1054" t="s">
        <v>773</v>
      </c>
      <c r="G1054" s="1">
        <v>45910</v>
      </c>
      <c r="H1054" s="1">
        <v>45918</v>
      </c>
      <c r="I1054" s="2">
        <v>1465</v>
      </c>
      <c r="J1054" t="s">
        <v>774</v>
      </c>
      <c r="K1054" t="s">
        <v>783</v>
      </c>
      <c r="L1054" t="s">
        <v>823</v>
      </c>
      <c r="M1054" t="s">
        <v>828</v>
      </c>
      <c r="N1054" t="str">
        <f t="shared" si="48"/>
        <v>T-3</v>
      </c>
      <c r="O1054">
        <f t="shared" si="49"/>
        <v>2025</v>
      </c>
      <c r="P1054" t="str">
        <f t="shared" si="50"/>
        <v>9. septiembre</v>
      </c>
    </row>
    <row r="1055" spans="1:16" x14ac:dyDescent="0.35">
      <c r="A1055">
        <v>718800</v>
      </c>
      <c r="B1055" t="s">
        <v>23</v>
      </c>
      <c r="C1055" t="s">
        <v>138</v>
      </c>
      <c r="D1055" t="s">
        <v>499</v>
      </c>
      <c r="E1055" t="s">
        <v>746</v>
      </c>
      <c r="F1055" t="s">
        <v>773</v>
      </c>
      <c r="G1055" s="1">
        <v>45910</v>
      </c>
      <c r="H1055" s="1">
        <v>45918</v>
      </c>
      <c r="I1055" s="2">
        <v>1465</v>
      </c>
      <c r="J1055" t="s">
        <v>774</v>
      </c>
      <c r="K1055" t="s">
        <v>783</v>
      </c>
      <c r="L1055" t="s">
        <v>823</v>
      </c>
      <c r="M1055" t="s">
        <v>828</v>
      </c>
      <c r="N1055" t="str">
        <f t="shared" si="48"/>
        <v>T-3</v>
      </c>
      <c r="O1055">
        <f t="shared" si="49"/>
        <v>2025</v>
      </c>
      <c r="P1055" t="str">
        <f t="shared" si="50"/>
        <v>9. septiembre</v>
      </c>
    </row>
    <row r="1056" spans="1:16" x14ac:dyDescent="0.35">
      <c r="A1056">
        <v>466420</v>
      </c>
      <c r="B1056" t="s">
        <v>71</v>
      </c>
      <c r="C1056" t="s">
        <v>141</v>
      </c>
      <c r="D1056" t="s">
        <v>172</v>
      </c>
      <c r="E1056" t="s">
        <v>746</v>
      </c>
      <c r="F1056" t="s">
        <v>773</v>
      </c>
      <c r="G1056" s="1">
        <v>45937</v>
      </c>
      <c r="H1056" s="1">
        <v>45938</v>
      </c>
      <c r="I1056" s="2">
        <v>6080</v>
      </c>
      <c r="J1056" t="s">
        <v>774</v>
      </c>
      <c r="K1056" t="s">
        <v>783</v>
      </c>
      <c r="L1056" t="s">
        <v>823</v>
      </c>
      <c r="M1056" t="s">
        <v>829</v>
      </c>
      <c r="N1056" t="str">
        <f t="shared" si="48"/>
        <v>T-4</v>
      </c>
      <c r="O1056">
        <f t="shared" si="49"/>
        <v>2025</v>
      </c>
      <c r="P1056" t="str">
        <f t="shared" si="50"/>
        <v>10. octubre</v>
      </c>
    </row>
    <row r="1057" spans="1:16" x14ac:dyDescent="0.35">
      <c r="A1057">
        <v>415438</v>
      </c>
      <c r="B1057" t="s">
        <v>93</v>
      </c>
      <c r="C1057" t="s">
        <v>139</v>
      </c>
      <c r="D1057" t="s">
        <v>500</v>
      </c>
      <c r="E1057" t="s">
        <v>746</v>
      </c>
      <c r="F1057" t="s">
        <v>773</v>
      </c>
      <c r="G1057" s="1">
        <v>45937</v>
      </c>
      <c r="H1057" s="1">
        <v>45938</v>
      </c>
      <c r="I1057" s="2">
        <v>435</v>
      </c>
      <c r="J1057" t="s">
        <v>774</v>
      </c>
      <c r="K1057" t="s">
        <v>783</v>
      </c>
      <c r="L1057" t="s">
        <v>824</v>
      </c>
      <c r="M1057" t="s">
        <v>830</v>
      </c>
      <c r="N1057" t="str">
        <f t="shared" si="48"/>
        <v>T-4</v>
      </c>
      <c r="O1057">
        <f t="shared" si="49"/>
        <v>2025</v>
      </c>
      <c r="P1057" t="str">
        <f t="shared" si="50"/>
        <v>10. octubre</v>
      </c>
    </row>
    <row r="1058" spans="1:16" x14ac:dyDescent="0.35">
      <c r="A1058">
        <v>461656</v>
      </c>
      <c r="B1058" t="s">
        <v>5</v>
      </c>
      <c r="C1058" t="s">
        <v>138</v>
      </c>
      <c r="D1058" t="s">
        <v>439</v>
      </c>
      <c r="E1058" t="s">
        <v>747</v>
      </c>
      <c r="F1058" t="s">
        <v>187</v>
      </c>
      <c r="G1058" s="1">
        <v>45916</v>
      </c>
      <c r="H1058" s="1">
        <v>45917</v>
      </c>
      <c r="I1058" s="2">
        <v>485</v>
      </c>
      <c r="J1058" t="s">
        <v>774</v>
      </c>
      <c r="K1058" t="s">
        <v>783</v>
      </c>
      <c r="L1058" t="s">
        <v>823</v>
      </c>
      <c r="M1058" t="s">
        <v>830</v>
      </c>
      <c r="N1058" t="str">
        <f t="shared" si="48"/>
        <v>T-3</v>
      </c>
      <c r="O1058">
        <f t="shared" si="49"/>
        <v>2025</v>
      </c>
      <c r="P1058" t="str">
        <f t="shared" si="50"/>
        <v>9. septiembre</v>
      </c>
    </row>
    <row r="1059" spans="1:16" x14ac:dyDescent="0.35">
      <c r="A1059">
        <v>482015</v>
      </c>
      <c r="B1059" t="s">
        <v>24</v>
      </c>
      <c r="C1059" t="s">
        <v>138</v>
      </c>
      <c r="D1059" t="s">
        <v>195</v>
      </c>
      <c r="E1059" t="s">
        <v>654</v>
      </c>
      <c r="F1059" t="s">
        <v>187</v>
      </c>
      <c r="G1059" s="1">
        <v>45873</v>
      </c>
      <c r="H1059" s="1">
        <v>45873</v>
      </c>
      <c r="I1059" s="2">
        <v>209</v>
      </c>
      <c r="J1059" t="s">
        <v>777</v>
      </c>
      <c r="K1059" t="s">
        <v>783</v>
      </c>
      <c r="L1059" t="s">
        <v>823</v>
      </c>
      <c r="M1059" t="s">
        <v>828</v>
      </c>
      <c r="N1059" t="str">
        <f t="shared" si="48"/>
        <v>T-3</v>
      </c>
      <c r="O1059">
        <f t="shared" si="49"/>
        <v>2025</v>
      </c>
      <c r="P1059" t="str">
        <f t="shared" si="50"/>
        <v>8. agosto</v>
      </c>
    </row>
    <row r="1060" spans="1:16" x14ac:dyDescent="0.35">
      <c r="A1060">
        <v>490669</v>
      </c>
      <c r="B1060" t="s">
        <v>69</v>
      </c>
      <c r="C1060" t="s">
        <v>138</v>
      </c>
      <c r="D1060" t="s">
        <v>160</v>
      </c>
      <c r="E1060" t="s">
        <v>654</v>
      </c>
      <c r="F1060" t="s">
        <v>187</v>
      </c>
      <c r="G1060" s="1">
        <v>45866</v>
      </c>
      <c r="H1060" s="1">
        <v>45866</v>
      </c>
      <c r="I1060" s="2">
        <v>1190</v>
      </c>
      <c r="J1060" t="s">
        <v>777</v>
      </c>
      <c r="K1060" t="s">
        <v>783</v>
      </c>
      <c r="L1060" t="s">
        <v>823</v>
      </c>
      <c r="M1060" t="s">
        <v>830</v>
      </c>
      <c r="N1060" t="str">
        <f t="shared" si="48"/>
        <v>T-3</v>
      </c>
      <c r="O1060">
        <f t="shared" si="49"/>
        <v>2025</v>
      </c>
      <c r="P1060" t="str">
        <f t="shared" si="50"/>
        <v>7. julio</v>
      </c>
    </row>
    <row r="1061" spans="1:16" x14ac:dyDescent="0.35">
      <c r="A1061">
        <v>703336</v>
      </c>
      <c r="B1061" t="s">
        <v>30</v>
      </c>
      <c r="C1061" t="s">
        <v>138</v>
      </c>
      <c r="D1061" t="s">
        <v>491</v>
      </c>
      <c r="E1061" t="s">
        <v>658</v>
      </c>
      <c r="F1061" t="s">
        <v>187</v>
      </c>
      <c r="G1061" s="1">
        <v>45901</v>
      </c>
      <c r="H1061" s="1">
        <v>45942</v>
      </c>
      <c r="I1061" s="2">
        <v>619</v>
      </c>
      <c r="J1061" t="s">
        <v>774</v>
      </c>
      <c r="K1061" t="s">
        <v>783</v>
      </c>
      <c r="L1061" t="s">
        <v>823</v>
      </c>
      <c r="M1061" t="s">
        <v>829</v>
      </c>
      <c r="N1061" t="str">
        <f t="shared" si="48"/>
        <v>T-3</v>
      </c>
      <c r="O1061">
        <f t="shared" si="49"/>
        <v>2025</v>
      </c>
      <c r="P1061" t="str">
        <f t="shared" si="50"/>
        <v>9. septiembre</v>
      </c>
    </row>
    <row r="1062" spans="1:16" x14ac:dyDescent="0.35">
      <c r="A1062">
        <v>508100</v>
      </c>
      <c r="B1062" t="s">
        <v>2</v>
      </c>
      <c r="C1062" t="s">
        <v>138</v>
      </c>
      <c r="D1062" t="s">
        <v>501</v>
      </c>
      <c r="E1062" t="s">
        <v>660</v>
      </c>
      <c r="F1062" t="s">
        <v>773</v>
      </c>
      <c r="G1062" s="1">
        <v>46006</v>
      </c>
      <c r="H1062" s="1">
        <v>46006</v>
      </c>
      <c r="I1062" s="2">
        <v>250</v>
      </c>
      <c r="J1062" t="s">
        <v>774</v>
      </c>
      <c r="K1062" t="s">
        <v>783</v>
      </c>
      <c r="L1062" t="s">
        <v>823</v>
      </c>
      <c r="M1062" t="s">
        <v>830</v>
      </c>
      <c r="N1062" t="str">
        <f t="shared" si="48"/>
        <v>T-4</v>
      </c>
      <c r="O1062">
        <f t="shared" si="49"/>
        <v>2025</v>
      </c>
      <c r="P1062" t="str">
        <f t="shared" si="50"/>
        <v>12. diciembre</v>
      </c>
    </row>
    <row r="1063" spans="1:16" x14ac:dyDescent="0.35">
      <c r="A1063">
        <v>362476</v>
      </c>
      <c r="B1063" t="s">
        <v>79</v>
      </c>
      <c r="C1063" t="s">
        <v>141</v>
      </c>
      <c r="D1063" t="s">
        <v>210</v>
      </c>
      <c r="E1063" t="s">
        <v>665</v>
      </c>
      <c r="F1063" t="s">
        <v>187</v>
      </c>
      <c r="G1063" s="1">
        <v>45835</v>
      </c>
      <c r="H1063" s="1">
        <v>45856</v>
      </c>
      <c r="I1063" s="2">
        <v>320</v>
      </c>
      <c r="J1063" t="s">
        <v>777</v>
      </c>
      <c r="K1063" t="s">
        <v>783</v>
      </c>
      <c r="L1063" t="s">
        <v>823</v>
      </c>
      <c r="M1063" t="s">
        <v>830</v>
      </c>
      <c r="N1063" t="str">
        <f t="shared" si="48"/>
        <v>T-2</v>
      </c>
      <c r="O1063">
        <f t="shared" si="49"/>
        <v>2025</v>
      </c>
      <c r="P1063" t="str">
        <f t="shared" si="50"/>
        <v>6. junio</v>
      </c>
    </row>
    <row r="1064" spans="1:16" x14ac:dyDescent="0.35">
      <c r="A1064">
        <v>708484</v>
      </c>
      <c r="B1064" t="s">
        <v>23</v>
      </c>
      <c r="C1064" t="s">
        <v>138</v>
      </c>
      <c r="D1064" t="s">
        <v>195</v>
      </c>
      <c r="E1064" t="s">
        <v>654</v>
      </c>
      <c r="F1064" t="s">
        <v>187</v>
      </c>
      <c r="G1064" s="1">
        <v>45896</v>
      </c>
      <c r="H1064" s="1">
        <v>45896</v>
      </c>
      <c r="I1064" s="2">
        <v>209</v>
      </c>
      <c r="J1064" t="s">
        <v>777</v>
      </c>
      <c r="K1064" t="s">
        <v>783</v>
      </c>
      <c r="L1064" t="s">
        <v>824</v>
      </c>
      <c r="M1064" t="s">
        <v>828</v>
      </c>
      <c r="N1064" t="str">
        <f t="shared" si="48"/>
        <v>T-3</v>
      </c>
      <c r="O1064">
        <f t="shared" si="49"/>
        <v>2025</v>
      </c>
      <c r="P1064" t="str">
        <f t="shared" si="50"/>
        <v>8. agosto</v>
      </c>
    </row>
    <row r="1065" spans="1:16" x14ac:dyDescent="0.35">
      <c r="A1065">
        <v>561110</v>
      </c>
      <c r="B1065" t="s">
        <v>22</v>
      </c>
      <c r="C1065" t="s">
        <v>139</v>
      </c>
      <c r="D1065" t="s">
        <v>502</v>
      </c>
      <c r="E1065" t="s">
        <v>748</v>
      </c>
      <c r="F1065" t="s">
        <v>773</v>
      </c>
      <c r="G1065" s="1">
        <v>45926</v>
      </c>
      <c r="H1065" s="1">
        <v>46087</v>
      </c>
      <c r="I1065" s="2">
        <v>2200</v>
      </c>
      <c r="J1065" t="s">
        <v>778</v>
      </c>
      <c r="K1065" t="s">
        <v>783</v>
      </c>
      <c r="L1065" t="s">
        <v>823</v>
      </c>
      <c r="M1065" t="s">
        <v>828</v>
      </c>
      <c r="N1065" t="str">
        <f t="shared" si="48"/>
        <v>T-3</v>
      </c>
      <c r="O1065">
        <f t="shared" si="49"/>
        <v>2025</v>
      </c>
      <c r="P1065" t="str">
        <f t="shared" si="50"/>
        <v>9. septiembre</v>
      </c>
    </row>
    <row r="1066" spans="1:16" x14ac:dyDescent="0.35">
      <c r="A1066">
        <v>405379</v>
      </c>
      <c r="B1066" t="s">
        <v>5</v>
      </c>
      <c r="C1066" t="s">
        <v>138</v>
      </c>
      <c r="D1066" t="s">
        <v>503</v>
      </c>
      <c r="E1066" t="s">
        <v>749</v>
      </c>
      <c r="F1066" t="s">
        <v>187</v>
      </c>
      <c r="G1066" s="1">
        <v>45915</v>
      </c>
      <c r="H1066" s="1">
        <v>45916</v>
      </c>
      <c r="I1066" s="2">
        <v>1680</v>
      </c>
      <c r="J1066" t="s">
        <v>779</v>
      </c>
      <c r="K1066" t="s">
        <v>783</v>
      </c>
      <c r="L1066" t="s">
        <v>823</v>
      </c>
      <c r="M1066" t="s">
        <v>830</v>
      </c>
      <c r="N1066" t="str">
        <f t="shared" si="48"/>
        <v>T-3</v>
      </c>
      <c r="O1066">
        <f t="shared" si="49"/>
        <v>2025</v>
      </c>
      <c r="P1066" t="str">
        <f t="shared" si="50"/>
        <v>9. septiembre</v>
      </c>
    </row>
    <row r="1067" spans="1:16" x14ac:dyDescent="0.35">
      <c r="A1067">
        <v>465081</v>
      </c>
      <c r="B1067" t="s">
        <v>30</v>
      </c>
      <c r="C1067" t="s">
        <v>138</v>
      </c>
      <c r="D1067" t="s">
        <v>503</v>
      </c>
      <c r="E1067" t="s">
        <v>749</v>
      </c>
      <c r="F1067" t="s">
        <v>773</v>
      </c>
      <c r="G1067" s="1">
        <v>45915</v>
      </c>
      <c r="H1067" s="1">
        <v>46280</v>
      </c>
      <c r="I1067" s="2">
        <v>1680</v>
      </c>
      <c r="J1067" t="s">
        <v>779</v>
      </c>
      <c r="K1067" t="s">
        <v>783</v>
      </c>
      <c r="L1067" t="s">
        <v>823</v>
      </c>
      <c r="M1067" t="s">
        <v>829</v>
      </c>
      <c r="N1067" t="str">
        <f t="shared" si="48"/>
        <v>T-3</v>
      </c>
      <c r="O1067">
        <f t="shared" si="49"/>
        <v>2025</v>
      </c>
      <c r="P1067" t="str">
        <f t="shared" si="50"/>
        <v>9. septiembre</v>
      </c>
    </row>
    <row r="1068" spans="1:16" x14ac:dyDescent="0.35">
      <c r="A1068">
        <v>469012</v>
      </c>
      <c r="B1068" t="s">
        <v>37</v>
      </c>
      <c r="C1068" t="s">
        <v>138</v>
      </c>
      <c r="D1068" t="s">
        <v>503</v>
      </c>
      <c r="E1068" t="s">
        <v>749</v>
      </c>
      <c r="F1068" t="s">
        <v>187</v>
      </c>
      <c r="G1068" s="1">
        <v>45917</v>
      </c>
      <c r="H1068" s="1">
        <v>45918</v>
      </c>
      <c r="I1068" s="2">
        <v>630</v>
      </c>
      <c r="J1068" t="s">
        <v>779</v>
      </c>
      <c r="K1068" t="s">
        <v>783</v>
      </c>
      <c r="L1068" t="s">
        <v>823</v>
      </c>
      <c r="M1068" t="s">
        <v>830</v>
      </c>
      <c r="N1068" t="str">
        <f t="shared" si="48"/>
        <v>T-3</v>
      </c>
      <c r="O1068">
        <f t="shared" si="49"/>
        <v>2025</v>
      </c>
      <c r="P1068" t="str">
        <f t="shared" si="50"/>
        <v>9. septiembre</v>
      </c>
    </row>
    <row r="1069" spans="1:16" x14ac:dyDescent="0.35">
      <c r="A1069">
        <v>702825</v>
      </c>
      <c r="B1069" t="s">
        <v>8</v>
      </c>
      <c r="C1069" t="s">
        <v>138</v>
      </c>
      <c r="D1069" t="s">
        <v>503</v>
      </c>
      <c r="E1069" t="s">
        <v>749</v>
      </c>
      <c r="F1069" t="s">
        <v>773</v>
      </c>
      <c r="G1069" s="1">
        <v>45917</v>
      </c>
      <c r="H1069" s="1">
        <v>46282</v>
      </c>
      <c r="I1069" s="2">
        <v>630</v>
      </c>
      <c r="J1069" t="s">
        <v>779</v>
      </c>
      <c r="K1069" t="s">
        <v>783</v>
      </c>
      <c r="L1069" t="s">
        <v>823</v>
      </c>
      <c r="M1069" t="s">
        <v>830</v>
      </c>
      <c r="N1069" t="str">
        <f t="shared" si="48"/>
        <v>T-3</v>
      </c>
      <c r="O1069">
        <f t="shared" si="49"/>
        <v>2025</v>
      </c>
      <c r="P1069" t="str">
        <f t="shared" si="50"/>
        <v>9. septiembre</v>
      </c>
    </row>
    <row r="1070" spans="1:16" x14ac:dyDescent="0.35">
      <c r="A1070">
        <v>702119</v>
      </c>
      <c r="B1070" t="s">
        <v>17</v>
      </c>
      <c r="C1070" t="s">
        <v>138</v>
      </c>
      <c r="D1070" t="s">
        <v>503</v>
      </c>
      <c r="E1070" t="s">
        <v>749</v>
      </c>
      <c r="F1070" t="s">
        <v>187</v>
      </c>
      <c r="G1070" s="1">
        <v>45917</v>
      </c>
      <c r="H1070" s="1">
        <v>45918</v>
      </c>
      <c r="I1070" s="2">
        <v>210</v>
      </c>
      <c r="J1070" t="s">
        <v>779</v>
      </c>
      <c r="K1070" t="s">
        <v>783</v>
      </c>
      <c r="L1070" t="s">
        <v>823</v>
      </c>
      <c r="M1070" t="s">
        <v>828</v>
      </c>
      <c r="N1070" t="str">
        <f t="shared" si="48"/>
        <v>T-3</v>
      </c>
      <c r="O1070">
        <f t="shared" si="49"/>
        <v>2025</v>
      </c>
      <c r="P1070" t="str">
        <f t="shared" si="50"/>
        <v>9. septiembre</v>
      </c>
    </row>
    <row r="1071" spans="1:16" x14ac:dyDescent="0.35">
      <c r="A1071">
        <v>604424</v>
      </c>
      <c r="B1071" t="s">
        <v>13</v>
      </c>
      <c r="C1071" t="s">
        <v>138</v>
      </c>
      <c r="D1071" t="s">
        <v>503</v>
      </c>
      <c r="E1071" t="s">
        <v>749</v>
      </c>
      <c r="F1071" t="s">
        <v>773</v>
      </c>
      <c r="G1071" s="1">
        <v>45917</v>
      </c>
      <c r="H1071" s="1">
        <v>46282</v>
      </c>
      <c r="I1071" s="2">
        <v>210</v>
      </c>
      <c r="J1071" t="s">
        <v>779</v>
      </c>
      <c r="K1071" t="s">
        <v>783</v>
      </c>
      <c r="L1071" t="s">
        <v>823</v>
      </c>
      <c r="M1071" t="s">
        <v>828</v>
      </c>
      <c r="N1071" t="str">
        <f t="shared" si="48"/>
        <v>T-3</v>
      </c>
      <c r="O1071">
        <f t="shared" si="49"/>
        <v>2025</v>
      </c>
      <c r="P1071" t="str">
        <f t="shared" si="50"/>
        <v>9. septiembre</v>
      </c>
    </row>
    <row r="1072" spans="1:16" x14ac:dyDescent="0.35">
      <c r="A1072">
        <v>445958</v>
      </c>
      <c r="B1072" t="s">
        <v>4</v>
      </c>
      <c r="C1072" t="s">
        <v>138</v>
      </c>
      <c r="D1072" t="s">
        <v>167</v>
      </c>
      <c r="E1072" t="s">
        <v>717</v>
      </c>
      <c r="F1072" t="s">
        <v>187</v>
      </c>
      <c r="G1072" s="1">
        <v>45705</v>
      </c>
      <c r="H1072" s="1">
        <v>45705</v>
      </c>
      <c r="I1072" s="2">
        <v>384.75</v>
      </c>
      <c r="J1072" t="s">
        <v>774</v>
      </c>
      <c r="K1072" t="s">
        <v>783</v>
      </c>
      <c r="L1072" t="s">
        <v>824</v>
      </c>
      <c r="M1072" t="s">
        <v>829</v>
      </c>
      <c r="N1072" t="str">
        <f t="shared" si="48"/>
        <v>T-1</v>
      </c>
      <c r="O1072">
        <f t="shared" si="49"/>
        <v>2025</v>
      </c>
      <c r="P1072" t="str">
        <f t="shared" si="50"/>
        <v>2. febrero</v>
      </c>
    </row>
    <row r="1073" spans="1:16" x14ac:dyDescent="0.35">
      <c r="A1073">
        <v>709400</v>
      </c>
      <c r="B1073" t="s">
        <v>63</v>
      </c>
      <c r="C1073" t="s">
        <v>136</v>
      </c>
      <c r="D1073" t="s">
        <v>210</v>
      </c>
      <c r="E1073" t="s">
        <v>665</v>
      </c>
      <c r="F1073" t="s">
        <v>187</v>
      </c>
      <c r="G1073" s="1">
        <v>45901</v>
      </c>
      <c r="H1073" s="1">
        <v>45929</v>
      </c>
      <c r="I1073" s="2">
        <v>640</v>
      </c>
      <c r="J1073" t="s">
        <v>777</v>
      </c>
      <c r="K1073" t="s">
        <v>783</v>
      </c>
      <c r="L1073" t="s">
        <v>823</v>
      </c>
      <c r="M1073" t="s">
        <v>830</v>
      </c>
      <c r="N1073" t="str">
        <f t="shared" si="48"/>
        <v>T-3</v>
      </c>
      <c r="O1073">
        <f t="shared" si="49"/>
        <v>2025</v>
      </c>
      <c r="P1073" t="str">
        <f t="shared" si="50"/>
        <v>9. septiembre</v>
      </c>
    </row>
    <row r="1074" spans="1:16" x14ac:dyDescent="0.35">
      <c r="A1074">
        <v>466599</v>
      </c>
      <c r="B1074" t="s">
        <v>8</v>
      </c>
      <c r="C1074" t="s">
        <v>138</v>
      </c>
      <c r="D1074" t="s">
        <v>307</v>
      </c>
      <c r="E1074" t="s">
        <v>669</v>
      </c>
      <c r="F1074" t="s">
        <v>187</v>
      </c>
      <c r="G1074" s="1">
        <v>45874</v>
      </c>
      <c r="H1074" s="1">
        <v>45874</v>
      </c>
      <c r="I1074" s="2">
        <v>639.47</v>
      </c>
      <c r="J1074" t="s">
        <v>777</v>
      </c>
      <c r="K1074" t="s">
        <v>783</v>
      </c>
      <c r="L1074" t="s">
        <v>823</v>
      </c>
      <c r="M1074" t="s">
        <v>830</v>
      </c>
      <c r="N1074" t="str">
        <f t="shared" si="48"/>
        <v>T-3</v>
      </c>
      <c r="O1074">
        <f t="shared" si="49"/>
        <v>2025</v>
      </c>
      <c r="P1074" t="str">
        <f t="shared" si="50"/>
        <v>8. agosto</v>
      </c>
    </row>
    <row r="1075" spans="1:16" x14ac:dyDescent="0.35">
      <c r="A1075">
        <v>111108</v>
      </c>
      <c r="B1075" t="s">
        <v>14</v>
      </c>
      <c r="C1075" t="s">
        <v>139</v>
      </c>
      <c r="D1075" t="s">
        <v>504</v>
      </c>
      <c r="E1075" t="s">
        <v>737</v>
      </c>
      <c r="F1075" t="s">
        <v>187</v>
      </c>
      <c r="G1075" s="1">
        <v>45908</v>
      </c>
      <c r="H1075" s="1">
        <v>45912</v>
      </c>
      <c r="I1075" s="2">
        <v>2600</v>
      </c>
      <c r="J1075" t="s">
        <v>776</v>
      </c>
      <c r="K1075" t="s">
        <v>783</v>
      </c>
      <c r="L1075" t="s">
        <v>823</v>
      </c>
      <c r="M1075" t="s">
        <v>828</v>
      </c>
      <c r="N1075" t="str">
        <f t="shared" si="48"/>
        <v>T-3</v>
      </c>
      <c r="O1075">
        <f t="shared" si="49"/>
        <v>2025</v>
      </c>
      <c r="P1075" t="str">
        <f t="shared" si="50"/>
        <v>9. septiembre</v>
      </c>
    </row>
    <row r="1076" spans="1:16" x14ac:dyDescent="0.35">
      <c r="A1076">
        <v>561937</v>
      </c>
      <c r="B1076" t="s">
        <v>5</v>
      </c>
      <c r="C1076" t="s">
        <v>138</v>
      </c>
      <c r="D1076" t="s">
        <v>503</v>
      </c>
      <c r="E1076" t="s">
        <v>749</v>
      </c>
      <c r="F1076" t="s">
        <v>773</v>
      </c>
      <c r="G1076" s="1">
        <v>45917</v>
      </c>
      <c r="H1076" s="1">
        <v>46282</v>
      </c>
      <c r="I1076" s="2">
        <v>630</v>
      </c>
      <c r="J1076" t="s">
        <v>779</v>
      </c>
      <c r="K1076" t="s">
        <v>783</v>
      </c>
      <c r="L1076" t="s">
        <v>823</v>
      </c>
      <c r="M1076" t="s">
        <v>830</v>
      </c>
      <c r="N1076" t="str">
        <f t="shared" si="48"/>
        <v>T-3</v>
      </c>
      <c r="O1076">
        <f t="shared" si="49"/>
        <v>2025</v>
      </c>
      <c r="P1076" t="str">
        <f t="shared" si="50"/>
        <v>9. septiembre</v>
      </c>
    </row>
    <row r="1077" spans="1:16" x14ac:dyDescent="0.35">
      <c r="A1077">
        <v>705551</v>
      </c>
      <c r="B1077" t="s">
        <v>25</v>
      </c>
      <c r="C1077" t="s">
        <v>138</v>
      </c>
      <c r="D1077" t="s">
        <v>503</v>
      </c>
      <c r="E1077" t="s">
        <v>749</v>
      </c>
      <c r="F1077" t="s">
        <v>187</v>
      </c>
      <c r="G1077" s="1">
        <v>45917</v>
      </c>
      <c r="H1077" s="1">
        <v>45918</v>
      </c>
      <c r="I1077" s="2">
        <v>630</v>
      </c>
      <c r="J1077" t="s">
        <v>779</v>
      </c>
      <c r="K1077" t="s">
        <v>783</v>
      </c>
      <c r="L1077" t="s">
        <v>823</v>
      </c>
      <c r="M1077" t="s">
        <v>829</v>
      </c>
      <c r="N1077" t="str">
        <f t="shared" si="48"/>
        <v>T-3</v>
      </c>
      <c r="O1077">
        <f t="shared" si="49"/>
        <v>2025</v>
      </c>
      <c r="P1077" t="str">
        <f t="shared" si="50"/>
        <v>9. septiembre</v>
      </c>
    </row>
    <row r="1078" spans="1:16" x14ac:dyDescent="0.35">
      <c r="A1078">
        <v>401044</v>
      </c>
      <c r="B1078" t="s">
        <v>5</v>
      </c>
      <c r="C1078" t="s">
        <v>138</v>
      </c>
      <c r="D1078" t="s">
        <v>503</v>
      </c>
      <c r="E1078" t="s">
        <v>749</v>
      </c>
      <c r="F1078" t="s">
        <v>773</v>
      </c>
      <c r="G1078" s="1">
        <v>45917</v>
      </c>
      <c r="H1078" s="1">
        <v>46282</v>
      </c>
      <c r="I1078" s="2">
        <v>210</v>
      </c>
      <c r="J1078" t="s">
        <v>779</v>
      </c>
      <c r="K1078" t="s">
        <v>783</v>
      </c>
      <c r="L1078" t="s">
        <v>824</v>
      </c>
      <c r="M1078" t="s">
        <v>830</v>
      </c>
      <c r="N1078" t="str">
        <f t="shared" si="48"/>
        <v>T-3</v>
      </c>
      <c r="O1078">
        <f t="shared" si="49"/>
        <v>2025</v>
      </c>
      <c r="P1078" t="str">
        <f t="shared" si="50"/>
        <v>9. septiembre</v>
      </c>
    </row>
    <row r="1079" spans="1:16" x14ac:dyDescent="0.35">
      <c r="A1079">
        <v>251214</v>
      </c>
      <c r="B1079" t="s">
        <v>2</v>
      </c>
      <c r="C1079" t="s">
        <v>138</v>
      </c>
      <c r="D1079" t="s">
        <v>503</v>
      </c>
      <c r="E1079" t="s">
        <v>749</v>
      </c>
      <c r="F1079" t="s">
        <v>187</v>
      </c>
      <c r="G1079" s="1">
        <v>45917</v>
      </c>
      <c r="H1079" s="1">
        <v>45918</v>
      </c>
      <c r="I1079" s="2">
        <v>210</v>
      </c>
      <c r="J1079" t="s">
        <v>779</v>
      </c>
      <c r="K1079" t="s">
        <v>783</v>
      </c>
      <c r="L1079" t="s">
        <v>823</v>
      </c>
      <c r="M1079" t="s">
        <v>830</v>
      </c>
      <c r="N1079" t="str">
        <f t="shared" si="48"/>
        <v>T-3</v>
      </c>
      <c r="O1079">
        <f t="shared" si="49"/>
        <v>2025</v>
      </c>
      <c r="P1079" t="str">
        <f t="shared" si="50"/>
        <v>9. septiembre</v>
      </c>
    </row>
    <row r="1080" spans="1:16" x14ac:dyDescent="0.35">
      <c r="A1080">
        <v>423211</v>
      </c>
      <c r="B1080" t="s">
        <v>13</v>
      </c>
      <c r="C1080" t="s">
        <v>138</v>
      </c>
      <c r="D1080" t="s">
        <v>504</v>
      </c>
      <c r="E1080" t="s">
        <v>737</v>
      </c>
      <c r="F1080" t="s">
        <v>187</v>
      </c>
      <c r="G1080" s="1">
        <v>45908</v>
      </c>
      <c r="H1080" s="1">
        <v>45912</v>
      </c>
      <c r="I1080" s="2">
        <v>325</v>
      </c>
      <c r="J1080" t="s">
        <v>776</v>
      </c>
      <c r="K1080" t="s">
        <v>783</v>
      </c>
      <c r="L1080" t="s">
        <v>823</v>
      </c>
      <c r="M1080" t="s">
        <v>828</v>
      </c>
      <c r="N1080" t="str">
        <f t="shared" si="48"/>
        <v>T-3</v>
      </c>
      <c r="O1080">
        <f t="shared" si="49"/>
        <v>2025</v>
      </c>
      <c r="P1080" t="str">
        <f t="shared" si="50"/>
        <v>9. septiembre</v>
      </c>
    </row>
    <row r="1081" spans="1:16" x14ac:dyDescent="0.35">
      <c r="A1081">
        <v>111020</v>
      </c>
      <c r="B1081" t="s">
        <v>23</v>
      </c>
      <c r="C1081" t="s">
        <v>141</v>
      </c>
      <c r="D1081" t="s">
        <v>505</v>
      </c>
      <c r="E1081" t="s">
        <v>660</v>
      </c>
      <c r="F1081" t="s">
        <v>187</v>
      </c>
      <c r="G1081" s="1">
        <v>45915</v>
      </c>
      <c r="H1081" s="1">
        <v>45915</v>
      </c>
      <c r="I1081" s="2">
        <v>1300</v>
      </c>
      <c r="J1081" t="s">
        <v>776</v>
      </c>
      <c r="K1081" t="s">
        <v>783</v>
      </c>
      <c r="L1081" t="s">
        <v>823</v>
      </c>
      <c r="M1081" t="s">
        <v>828</v>
      </c>
      <c r="N1081" t="str">
        <f t="shared" si="48"/>
        <v>T-3</v>
      </c>
      <c r="O1081">
        <f t="shared" si="49"/>
        <v>2025</v>
      </c>
      <c r="P1081" t="str">
        <f t="shared" si="50"/>
        <v>9. septiembre</v>
      </c>
    </row>
    <row r="1082" spans="1:16" x14ac:dyDescent="0.35">
      <c r="A1082">
        <v>720080</v>
      </c>
      <c r="B1082" t="s">
        <v>27</v>
      </c>
      <c r="C1082" t="s">
        <v>137</v>
      </c>
      <c r="D1082" t="s">
        <v>271</v>
      </c>
      <c r="E1082" t="s">
        <v>675</v>
      </c>
      <c r="F1082" t="s">
        <v>187</v>
      </c>
      <c r="G1082" s="1">
        <v>45903</v>
      </c>
      <c r="H1082" s="1">
        <v>45905</v>
      </c>
      <c r="I1082" s="2">
        <v>682.5</v>
      </c>
      <c r="J1082" t="s">
        <v>779</v>
      </c>
      <c r="K1082" t="s">
        <v>800</v>
      </c>
      <c r="L1082" t="s">
        <v>823</v>
      </c>
      <c r="M1082" t="s">
        <v>830</v>
      </c>
      <c r="N1082" t="str">
        <f t="shared" si="48"/>
        <v>T-3</v>
      </c>
      <c r="O1082">
        <f t="shared" si="49"/>
        <v>2025</v>
      </c>
      <c r="P1082" t="str">
        <f t="shared" si="50"/>
        <v>9. septiembre</v>
      </c>
    </row>
    <row r="1083" spans="1:16" x14ac:dyDescent="0.35">
      <c r="A1083">
        <v>498382</v>
      </c>
      <c r="B1083" t="s">
        <v>5</v>
      </c>
      <c r="C1083" t="s">
        <v>138</v>
      </c>
      <c r="D1083" t="s">
        <v>171</v>
      </c>
      <c r="E1083" t="s">
        <v>669</v>
      </c>
      <c r="F1083" t="s">
        <v>187</v>
      </c>
      <c r="G1083" s="1">
        <v>45909</v>
      </c>
      <c r="H1083" s="1">
        <v>45910</v>
      </c>
      <c r="I1083" s="2">
        <v>1016.68</v>
      </c>
      <c r="J1083" t="s">
        <v>776</v>
      </c>
      <c r="K1083" t="s">
        <v>783</v>
      </c>
      <c r="L1083" t="s">
        <v>823</v>
      </c>
      <c r="M1083" t="s">
        <v>829</v>
      </c>
      <c r="N1083" t="str">
        <f t="shared" si="48"/>
        <v>T-3</v>
      </c>
      <c r="O1083">
        <f t="shared" si="49"/>
        <v>2025</v>
      </c>
      <c r="P1083" t="str">
        <f t="shared" si="50"/>
        <v>9. septiembre</v>
      </c>
    </row>
    <row r="1084" spans="1:16" x14ac:dyDescent="0.35">
      <c r="A1084">
        <v>448920</v>
      </c>
      <c r="B1084" t="s">
        <v>100</v>
      </c>
      <c r="C1084" t="s">
        <v>141</v>
      </c>
      <c r="D1084" t="s">
        <v>491</v>
      </c>
      <c r="E1084" t="s">
        <v>658</v>
      </c>
      <c r="F1084" t="s">
        <v>187</v>
      </c>
      <c r="G1084" s="1">
        <v>45922</v>
      </c>
      <c r="H1084" s="1">
        <v>45963</v>
      </c>
      <c r="I1084" s="2">
        <v>619</v>
      </c>
      <c r="J1084" t="s">
        <v>776</v>
      </c>
      <c r="K1084" t="s">
        <v>783</v>
      </c>
      <c r="L1084" t="s">
        <v>823</v>
      </c>
      <c r="M1084" t="s">
        <v>830</v>
      </c>
      <c r="N1084" t="str">
        <f t="shared" si="48"/>
        <v>T-3</v>
      </c>
      <c r="O1084">
        <f t="shared" si="49"/>
        <v>2025</v>
      </c>
      <c r="P1084" t="str">
        <f t="shared" si="50"/>
        <v>9. septiembre</v>
      </c>
    </row>
    <row r="1085" spans="1:16" x14ac:dyDescent="0.35">
      <c r="A1085">
        <v>457251</v>
      </c>
      <c r="B1085" t="s">
        <v>23</v>
      </c>
      <c r="C1085" t="s">
        <v>141</v>
      </c>
      <c r="D1085" t="s">
        <v>210</v>
      </c>
      <c r="E1085" t="s">
        <v>665</v>
      </c>
      <c r="F1085" t="s">
        <v>187</v>
      </c>
      <c r="G1085" s="1">
        <v>45847</v>
      </c>
      <c r="H1085" s="1">
        <v>45875</v>
      </c>
      <c r="I1085" s="2">
        <v>640</v>
      </c>
      <c r="J1085" t="s">
        <v>777</v>
      </c>
      <c r="K1085" t="s">
        <v>783</v>
      </c>
      <c r="L1085" t="s">
        <v>824</v>
      </c>
      <c r="M1085" t="s">
        <v>830</v>
      </c>
      <c r="N1085" t="str">
        <f t="shared" si="48"/>
        <v>T-3</v>
      </c>
      <c r="O1085">
        <f t="shared" si="49"/>
        <v>2025</v>
      </c>
      <c r="P1085" t="str">
        <f t="shared" si="50"/>
        <v>7. julio</v>
      </c>
    </row>
    <row r="1086" spans="1:16" x14ac:dyDescent="0.35">
      <c r="A1086">
        <v>487408</v>
      </c>
      <c r="B1086" t="s">
        <v>25</v>
      </c>
      <c r="C1086" t="s">
        <v>138</v>
      </c>
      <c r="D1086" t="s">
        <v>167</v>
      </c>
      <c r="E1086" t="s">
        <v>717</v>
      </c>
      <c r="F1086" t="s">
        <v>773</v>
      </c>
      <c r="G1086" s="1">
        <v>46067</v>
      </c>
      <c r="H1086" s="1">
        <v>46067</v>
      </c>
      <c r="I1086" s="2">
        <v>384.75</v>
      </c>
      <c r="J1086" t="s">
        <v>774</v>
      </c>
      <c r="K1086" t="s">
        <v>787</v>
      </c>
      <c r="L1086" t="s">
        <v>823</v>
      </c>
      <c r="M1086" t="s">
        <v>828</v>
      </c>
      <c r="N1086" t="str">
        <f t="shared" si="48"/>
        <v>T-1</v>
      </c>
      <c r="O1086">
        <f t="shared" si="49"/>
        <v>2026</v>
      </c>
      <c r="P1086" t="str">
        <f t="shared" si="50"/>
        <v>2. febrero</v>
      </c>
    </row>
    <row r="1087" spans="1:16" x14ac:dyDescent="0.35">
      <c r="A1087">
        <v>714372</v>
      </c>
      <c r="B1087" t="s">
        <v>46</v>
      </c>
      <c r="C1087" t="s">
        <v>138</v>
      </c>
      <c r="D1087" t="s">
        <v>489</v>
      </c>
      <c r="E1087" t="s">
        <v>657</v>
      </c>
      <c r="F1087" t="s">
        <v>187</v>
      </c>
      <c r="G1087" s="1">
        <v>45918</v>
      </c>
      <c r="H1087" s="1">
        <v>45918</v>
      </c>
      <c r="I1087" s="2">
        <v>285</v>
      </c>
      <c r="J1087" t="s">
        <v>779</v>
      </c>
      <c r="K1087" t="s">
        <v>783</v>
      </c>
      <c r="L1087" t="s">
        <v>823</v>
      </c>
      <c r="M1087" t="s">
        <v>828</v>
      </c>
      <c r="N1087" t="str">
        <f t="shared" si="48"/>
        <v>T-3</v>
      </c>
      <c r="O1087">
        <f t="shared" si="49"/>
        <v>2025</v>
      </c>
      <c r="P1087" t="str">
        <f t="shared" si="50"/>
        <v>9. septiembre</v>
      </c>
    </row>
    <row r="1088" spans="1:16" x14ac:dyDescent="0.35">
      <c r="A1088">
        <v>708264</v>
      </c>
      <c r="B1088" t="s">
        <v>19</v>
      </c>
      <c r="C1088" t="s">
        <v>139</v>
      </c>
      <c r="D1088" t="s">
        <v>489</v>
      </c>
      <c r="E1088" t="s">
        <v>657</v>
      </c>
      <c r="F1088" t="s">
        <v>187</v>
      </c>
      <c r="G1088" s="1">
        <v>45918</v>
      </c>
      <c r="H1088" s="1">
        <v>45918</v>
      </c>
      <c r="I1088" s="2">
        <v>1429</v>
      </c>
      <c r="J1088" t="s">
        <v>779</v>
      </c>
      <c r="K1088" t="s">
        <v>783</v>
      </c>
      <c r="L1088" t="s">
        <v>823</v>
      </c>
      <c r="M1088" t="s">
        <v>829</v>
      </c>
      <c r="N1088" t="str">
        <f t="shared" si="48"/>
        <v>T-3</v>
      </c>
      <c r="O1088">
        <f t="shared" si="49"/>
        <v>2025</v>
      </c>
      <c r="P1088" t="str">
        <f t="shared" si="50"/>
        <v>9. septiembre</v>
      </c>
    </row>
    <row r="1089" spans="1:16" x14ac:dyDescent="0.35">
      <c r="A1089">
        <v>720313</v>
      </c>
      <c r="B1089" t="s">
        <v>23</v>
      </c>
      <c r="C1089" t="s">
        <v>138</v>
      </c>
      <c r="D1089" t="s">
        <v>246</v>
      </c>
      <c r="E1089" t="s">
        <v>652</v>
      </c>
      <c r="F1089" t="s">
        <v>187</v>
      </c>
      <c r="G1089" s="1">
        <v>45915</v>
      </c>
      <c r="H1089" s="1">
        <v>45915</v>
      </c>
      <c r="I1089" s="2">
        <v>972</v>
      </c>
      <c r="J1089" t="s">
        <v>774</v>
      </c>
      <c r="K1089" t="s">
        <v>787</v>
      </c>
      <c r="L1089" t="s">
        <v>823</v>
      </c>
      <c r="M1089" t="s">
        <v>830</v>
      </c>
      <c r="N1089" t="str">
        <f t="shared" si="48"/>
        <v>T-3</v>
      </c>
      <c r="O1089">
        <f t="shared" si="49"/>
        <v>2025</v>
      </c>
      <c r="P1089" t="str">
        <f t="shared" si="50"/>
        <v>9. septiembre</v>
      </c>
    </row>
    <row r="1090" spans="1:16" x14ac:dyDescent="0.35">
      <c r="A1090">
        <v>435394</v>
      </c>
      <c r="B1090" t="s">
        <v>4</v>
      </c>
      <c r="C1090" t="s">
        <v>138</v>
      </c>
      <c r="D1090" t="s">
        <v>286</v>
      </c>
      <c r="E1090" t="s">
        <v>652</v>
      </c>
      <c r="F1090" t="s">
        <v>187</v>
      </c>
      <c r="G1090" s="1">
        <v>45916</v>
      </c>
      <c r="H1090" s="1">
        <v>45916</v>
      </c>
      <c r="I1090" s="2">
        <v>1404</v>
      </c>
      <c r="J1090" t="s">
        <v>774</v>
      </c>
      <c r="K1090" t="s">
        <v>789</v>
      </c>
      <c r="L1090" t="s">
        <v>823</v>
      </c>
      <c r="M1090" t="s">
        <v>830</v>
      </c>
      <c r="N1090" t="str">
        <f t="shared" si="48"/>
        <v>T-3</v>
      </c>
      <c r="O1090">
        <f t="shared" si="49"/>
        <v>2025</v>
      </c>
      <c r="P1090" t="str">
        <f t="shared" si="50"/>
        <v>9. septiembre</v>
      </c>
    </row>
    <row r="1091" spans="1:16" x14ac:dyDescent="0.35">
      <c r="A1091">
        <v>413381</v>
      </c>
      <c r="B1091" t="s">
        <v>30</v>
      </c>
      <c r="C1091" t="s">
        <v>138</v>
      </c>
      <c r="D1091" t="s">
        <v>364</v>
      </c>
      <c r="E1091" t="s">
        <v>652</v>
      </c>
      <c r="F1091" t="s">
        <v>187</v>
      </c>
      <c r="G1091" s="1">
        <v>45917</v>
      </c>
      <c r="H1091" s="1">
        <v>45917</v>
      </c>
      <c r="I1091" s="2">
        <v>972</v>
      </c>
      <c r="J1091" t="s">
        <v>774</v>
      </c>
      <c r="K1091" t="s">
        <v>790</v>
      </c>
      <c r="L1091" t="s">
        <v>823</v>
      </c>
      <c r="M1091" t="s">
        <v>828</v>
      </c>
      <c r="N1091" t="str">
        <f t="shared" ref="N1091:N1154" si="51">"T-" &amp; ROUNDUP((MONTH(G1091)/3), 0)</f>
        <v>T-3</v>
      </c>
      <c r="O1091">
        <f t="shared" ref="O1091:O1154" si="52">YEAR(G1091)</f>
        <v>2025</v>
      </c>
      <c r="P1091" t="str">
        <f t="shared" ref="P1091:P1154" si="53">MONTH(G1091) &amp; ". " &amp; TEXT(G1091, "MMMM")</f>
        <v>9. septiembre</v>
      </c>
    </row>
    <row r="1092" spans="1:16" x14ac:dyDescent="0.35">
      <c r="A1092">
        <v>489268</v>
      </c>
      <c r="B1092" t="s">
        <v>30</v>
      </c>
      <c r="C1092" t="s">
        <v>138</v>
      </c>
      <c r="D1092" t="s">
        <v>329</v>
      </c>
      <c r="E1092" t="s">
        <v>652</v>
      </c>
      <c r="F1092" t="s">
        <v>187</v>
      </c>
      <c r="G1092" s="1">
        <v>45918</v>
      </c>
      <c r="H1092" s="1">
        <v>45918</v>
      </c>
      <c r="I1092" s="2">
        <v>637</v>
      </c>
      <c r="J1092" t="s">
        <v>774</v>
      </c>
      <c r="K1092" t="s">
        <v>790</v>
      </c>
      <c r="L1092" t="s">
        <v>823</v>
      </c>
      <c r="M1092" t="s">
        <v>830</v>
      </c>
      <c r="N1092" t="str">
        <f t="shared" si="51"/>
        <v>T-3</v>
      </c>
      <c r="O1092">
        <f t="shared" si="52"/>
        <v>2025</v>
      </c>
      <c r="P1092" t="str">
        <f t="shared" si="53"/>
        <v>9. septiembre</v>
      </c>
    </row>
    <row r="1093" spans="1:16" x14ac:dyDescent="0.35">
      <c r="A1093">
        <v>717441</v>
      </c>
      <c r="B1093" t="s">
        <v>30</v>
      </c>
      <c r="C1093" t="s">
        <v>137</v>
      </c>
      <c r="D1093" t="s">
        <v>329</v>
      </c>
      <c r="E1093" t="s">
        <v>652</v>
      </c>
      <c r="F1093" t="s">
        <v>187</v>
      </c>
      <c r="G1093" s="1">
        <v>45918</v>
      </c>
      <c r="H1093" s="1">
        <v>45918</v>
      </c>
      <c r="I1093" s="2">
        <v>425</v>
      </c>
      <c r="J1093" t="s">
        <v>774</v>
      </c>
      <c r="K1093" t="s">
        <v>790</v>
      </c>
      <c r="L1093" t="s">
        <v>824</v>
      </c>
      <c r="M1093" t="s">
        <v>829</v>
      </c>
      <c r="N1093" t="str">
        <f t="shared" si="51"/>
        <v>T-3</v>
      </c>
      <c r="O1093">
        <f t="shared" si="52"/>
        <v>2025</v>
      </c>
      <c r="P1093" t="str">
        <f t="shared" si="53"/>
        <v>9. septiembre</v>
      </c>
    </row>
    <row r="1094" spans="1:16" x14ac:dyDescent="0.35">
      <c r="A1094">
        <v>465535</v>
      </c>
      <c r="B1094" t="s">
        <v>23</v>
      </c>
      <c r="C1094" t="s">
        <v>138</v>
      </c>
      <c r="D1094" t="s">
        <v>429</v>
      </c>
      <c r="E1094" t="s">
        <v>675</v>
      </c>
      <c r="F1094" t="s">
        <v>187</v>
      </c>
      <c r="G1094" s="1">
        <v>45903</v>
      </c>
      <c r="H1094" s="1">
        <v>45910</v>
      </c>
      <c r="I1094" s="2">
        <v>1023.75</v>
      </c>
      <c r="J1094" t="s">
        <v>779</v>
      </c>
      <c r="K1094" t="s">
        <v>807</v>
      </c>
      <c r="L1094" t="s">
        <v>823</v>
      </c>
      <c r="M1094" t="s">
        <v>830</v>
      </c>
      <c r="N1094" t="str">
        <f t="shared" si="51"/>
        <v>T-3</v>
      </c>
      <c r="O1094">
        <f t="shared" si="52"/>
        <v>2025</v>
      </c>
      <c r="P1094" t="str">
        <f t="shared" si="53"/>
        <v>9. septiembre</v>
      </c>
    </row>
    <row r="1095" spans="1:16" x14ac:dyDescent="0.35">
      <c r="A1095">
        <v>402216</v>
      </c>
      <c r="B1095" t="s">
        <v>15</v>
      </c>
      <c r="C1095" t="s">
        <v>136</v>
      </c>
      <c r="D1095" t="s">
        <v>431</v>
      </c>
      <c r="E1095" t="s">
        <v>675</v>
      </c>
      <c r="F1095" t="s">
        <v>187</v>
      </c>
      <c r="G1095" s="1">
        <v>45903</v>
      </c>
      <c r="H1095" s="1">
        <v>45912</v>
      </c>
      <c r="I1095" s="2">
        <v>2080</v>
      </c>
      <c r="J1095" t="s">
        <v>779</v>
      </c>
      <c r="K1095" t="s">
        <v>783</v>
      </c>
      <c r="L1095" t="s">
        <v>823</v>
      </c>
      <c r="M1095" t="s">
        <v>830</v>
      </c>
      <c r="N1095" t="str">
        <f t="shared" si="51"/>
        <v>T-3</v>
      </c>
      <c r="O1095">
        <f t="shared" si="52"/>
        <v>2025</v>
      </c>
      <c r="P1095" t="str">
        <f t="shared" si="53"/>
        <v>9. septiembre</v>
      </c>
    </row>
    <row r="1096" spans="1:16" x14ac:dyDescent="0.35">
      <c r="A1096">
        <v>488202</v>
      </c>
      <c r="B1096" t="s">
        <v>4</v>
      </c>
      <c r="C1096" t="s">
        <v>138</v>
      </c>
      <c r="D1096" t="s">
        <v>232</v>
      </c>
      <c r="E1096" t="s">
        <v>675</v>
      </c>
      <c r="F1096" t="s">
        <v>187</v>
      </c>
      <c r="G1096" s="1">
        <v>45908</v>
      </c>
      <c r="H1096" s="1">
        <v>45911</v>
      </c>
      <c r="I1096" s="2">
        <v>1002.86</v>
      </c>
      <c r="J1096" t="s">
        <v>779</v>
      </c>
      <c r="K1096" t="s">
        <v>783</v>
      </c>
      <c r="L1096" t="s">
        <v>823</v>
      </c>
      <c r="M1096" t="s">
        <v>828</v>
      </c>
      <c r="N1096" t="str">
        <f t="shared" si="51"/>
        <v>T-3</v>
      </c>
      <c r="O1096">
        <f t="shared" si="52"/>
        <v>2025</v>
      </c>
      <c r="P1096" t="str">
        <f t="shared" si="53"/>
        <v>9. septiembre</v>
      </c>
    </row>
    <row r="1097" spans="1:16" x14ac:dyDescent="0.35">
      <c r="A1097">
        <v>710172</v>
      </c>
      <c r="B1097" t="s">
        <v>30</v>
      </c>
      <c r="C1097" t="s">
        <v>138</v>
      </c>
      <c r="D1097" t="s">
        <v>232</v>
      </c>
      <c r="E1097" t="s">
        <v>675</v>
      </c>
      <c r="F1097" t="s">
        <v>187</v>
      </c>
      <c r="G1097" s="1">
        <v>45909</v>
      </c>
      <c r="H1097" s="1">
        <v>45911</v>
      </c>
      <c r="I1097" s="2">
        <v>520</v>
      </c>
      <c r="J1097" t="s">
        <v>779</v>
      </c>
      <c r="K1097" t="s">
        <v>790</v>
      </c>
      <c r="L1097" t="s">
        <v>823</v>
      </c>
      <c r="M1097" t="s">
        <v>828</v>
      </c>
      <c r="N1097" t="str">
        <f t="shared" si="51"/>
        <v>T-3</v>
      </c>
      <c r="O1097">
        <f t="shared" si="52"/>
        <v>2025</v>
      </c>
      <c r="P1097" t="str">
        <f t="shared" si="53"/>
        <v>9. septiembre</v>
      </c>
    </row>
    <row r="1098" spans="1:16" x14ac:dyDescent="0.35">
      <c r="A1098">
        <v>609523</v>
      </c>
      <c r="B1098" t="s">
        <v>13</v>
      </c>
      <c r="C1098" t="s">
        <v>138</v>
      </c>
      <c r="D1098" t="s">
        <v>242</v>
      </c>
      <c r="E1098" t="s">
        <v>675</v>
      </c>
      <c r="F1098" t="s">
        <v>187</v>
      </c>
      <c r="G1098" s="1">
        <v>45908</v>
      </c>
      <c r="H1098" s="1">
        <v>45917</v>
      </c>
      <c r="I1098" s="2">
        <v>1040</v>
      </c>
      <c r="J1098" t="s">
        <v>779</v>
      </c>
      <c r="K1098" t="s">
        <v>788</v>
      </c>
      <c r="L1098" t="s">
        <v>823</v>
      </c>
      <c r="M1098" t="s">
        <v>830</v>
      </c>
      <c r="N1098" t="str">
        <f t="shared" si="51"/>
        <v>T-3</v>
      </c>
      <c r="O1098">
        <f t="shared" si="52"/>
        <v>2025</v>
      </c>
      <c r="P1098" t="str">
        <f t="shared" si="53"/>
        <v>9. septiembre</v>
      </c>
    </row>
    <row r="1099" spans="1:16" x14ac:dyDescent="0.35">
      <c r="A1099">
        <v>430967</v>
      </c>
      <c r="B1099" t="s">
        <v>4</v>
      </c>
      <c r="C1099" t="s">
        <v>136</v>
      </c>
      <c r="D1099" t="s">
        <v>428</v>
      </c>
      <c r="E1099" t="s">
        <v>675</v>
      </c>
      <c r="F1099" t="s">
        <v>187</v>
      </c>
      <c r="G1099" s="1">
        <v>45909</v>
      </c>
      <c r="H1099" s="1">
        <v>45917</v>
      </c>
      <c r="I1099" s="2">
        <v>1200</v>
      </c>
      <c r="J1099" t="s">
        <v>779</v>
      </c>
      <c r="K1099" t="s">
        <v>783</v>
      </c>
      <c r="L1099" t="s">
        <v>824</v>
      </c>
      <c r="M1099" t="s">
        <v>829</v>
      </c>
      <c r="N1099" t="str">
        <f t="shared" si="51"/>
        <v>T-3</v>
      </c>
      <c r="O1099">
        <f t="shared" si="52"/>
        <v>2025</v>
      </c>
      <c r="P1099" t="str">
        <f t="shared" si="53"/>
        <v>9. septiembre</v>
      </c>
    </row>
    <row r="1100" spans="1:16" x14ac:dyDescent="0.35">
      <c r="A1100">
        <v>721885</v>
      </c>
      <c r="B1100" t="s">
        <v>24</v>
      </c>
      <c r="C1100" t="s">
        <v>138</v>
      </c>
      <c r="D1100" t="s">
        <v>311</v>
      </c>
      <c r="E1100" t="s">
        <v>675</v>
      </c>
      <c r="F1100" t="s">
        <v>187</v>
      </c>
      <c r="G1100" s="1">
        <v>45909</v>
      </c>
      <c r="H1100" s="1">
        <v>45916</v>
      </c>
      <c r="I1100" s="2">
        <v>2340</v>
      </c>
      <c r="J1100" t="s">
        <v>779</v>
      </c>
      <c r="K1100" t="s">
        <v>785</v>
      </c>
      <c r="L1100" t="s">
        <v>823</v>
      </c>
      <c r="M1100" t="s">
        <v>830</v>
      </c>
      <c r="N1100" t="str">
        <f t="shared" si="51"/>
        <v>T-3</v>
      </c>
      <c r="O1100">
        <f t="shared" si="52"/>
        <v>2025</v>
      </c>
      <c r="P1100" t="str">
        <f t="shared" si="53"/>
        <v>9. septiembre</v>
      </c>
    </row>
    <row r="1101" spans="1:16" x14ac:dyDescent="0.35">
      <c r="A1101">
        <v>717900</v>
      </c>
      <c r="B1101" t="s">
        <v>24</v>
      </c>
      <c r="C1101" t="s">
        <v>137</v>
      </c>
      <c r="D1101" t="s">
        <v>506</v>
      </c>
      <c r="E1101" t="s">
        <v>669</v>
      </c>
      <c r="F1101" t="s">
        <v>187</v>
      </c>
      <c r="G1101" s="1">
        <v>45756</v>
      </c>
      <c r="H1101" s="1">
        <v>45911</v>
      </c>
      <c r="I1101" s="2">
        <v>560</v>
      </c>
      <c r="J1101" t="s">
        <v>778</v>
      </c>
      <c r="K1101" t="s">
        <v>785</v>
      </c>
      <c r="L1101" t="s">
        <v>823</v>
      </c>
      <c r="M1101" t="s">
        <v>830</v>
      </c>
      <c r="N1101" t="str">
        <f t="shared" si="51"/>
        <v>T-2</v>
      </c>
      <c r="O1101">
        <f t="shared" si="52"/>
        <v>2025</v>
      </c>
      <c r="P1101" t="str">
        <f t="shared" si="53"/>
        <v>4. abril</v>
      </c>
    </row>
    <row r="1102" spans="1:16" x14ac:dyDescent="0.35">
      <c r="A1102">
        <v>703426</v>
      </c>
      <c r="B1102" t="s">
        <v>30</v>
      </c>
      <c r="C1102" t="s">
        <v>138</v>
      </c>
      <c r="D1102" t="s">
        <v>506</v>
      </c>
      <c r="E1102" t="s">
        <v>669</v>
      </c>
      <c r="F1102" t="s">
        <v>187</v>
      </c>
      <c r="G1102" s="1">
        <v>45756</v>
      </c>
      <c r="H1102" s="1">
        <v>45911</v>
      </c>
      <c r="I1102" s="2">
        <v>560</v>
      </c>
      <c r="J1102" t="s">
        <v>778</v>
      </c>
      <c r="K1102" t="s">
        <v>789</v>
      </c>
      <c r="L1102" t="s">
        <v>823</v>
      </c>
      <c r="M1102" t="s">
        <v>828</v>
      </c>
      <c r="N1102" t="str">
        <f t="shared" si="51"/>
        <v>T-2</v>
      </c>
      <c r="O1102">
        <f t="shared" si="52"/>
        <v>2025</v>
      </c>
      <c r="P1102" t="str">
        <f t="shared" si="53"/>
        <v>4. abril</v>
      </c>
    </row>
    <row r="1103" spans="1:16" x14ac:dyDescent="0.35">
      <c r="A1103">
        <v>255972</v>
      </c>
      <c r="B1103" t="s">
        <v>13</v>
      </c>
      <c r="C1103" t="s">
        <v>138</v>
      </c>
      <c r="D1103" t="s">
        <v>476</v>
      </c>
      <c r="E1103" t="s">
        <v>714</v>
      </c>
      <c r="F1103" t="s">
        <v>187</v>
      </c>
      <c r="G1103" s="1">
        <v>45902</v>
      </c>
      <c r="H1103" s="1">
        <v>45905</v>
      </c>
      <c r="I1103" s="2">
        <v>364</v>
      </c>
      <c r="J1103" t="s">
        <v>779</v>
      </c>
      <c r="K1103" t="s">
        <v>785</v>
      </c>
      <c r="L1103" t="s">
        <v>823</v>
      </c>
      <c r="M1103" t="s">
        <v>828</v>
      </c>
      <c r="N1103" t="str">
        <f t="shared" si="51"/>
        <v>T-3</v>
      </c>
      <c r="O1103">
        <f t="shared" si="52"/>
        <v>2025</v>
      </c>
      <c r="P1103" t="str">
        <f t="shared" si="53"/>
        <v>9. septiembre</v>
      </c>
    </row>
    <row r="1104" spans="1:16" x14ac:dyDescent="0.35">
      <c r="A1104">
        <v>477527</v>
      </c>
      <c r="B1104" t="s">
        <v>30</v>
      </c>
      <c r="C1104" t="s">
        <v>138</v>
      </c>
      <c r="D1104" t="s">
        <v>476</v>
      </c>
      <c r="E1104" t="s">
        <v>714</v>
      </c>
      <c r="F1104" t="s">
        <v>187</v>
      </c>
      <c r="G1104" s="1">
        <v>45902</v>
      </c>
      <c r="H1104" s="1">
        <v>45905</v>
      </c>
      <c r="I1104" s="2">
        <v>364</v>
      </c>
      <c r="J1104" t="s">
        <v>779</v>
      </c>
      <c r="K1104" t="s">
        <v>785</v>
      </c>
      <c r="L1104" t="s">
        <v>823</v>
      </c>
      <c r="M1104" t="s">
        <v>829</v>
      </c>
      <c r="N1104" t="str">
        <f t="shared" si="51"/>
        <v>T-3</v>
      </c>
      <c r="O1104">
        <f t="shared" si="52"/>
        <v>2025</v>
      </c>
      <c r="P1104" t="str">
        <f t="shared" si="53"/>
        <v>9. septiembre</v>
      </c>
    </row>
    <row r="1105" spans="1:16" x14ac:dyDescent="0.35">
      <c r="A1105">
        <v>467708</v>
      </c>
      <c r="B1105" t="s">
        <v>2</v>
      </c>
      <c r="C1105" t="s">
        <v>138</v>
      </c>
      <c r="D1105" t="s">
        <v>476</v>
      </c>
      <c r="E1105" t="s">
        <v>714</v>
      </c>
      <c r="F1105" t="s">
        <v>187</v>
      </c>
      <c r="G1105" s="1">
        <v>45902</v>
      </c>
      <c r="H1105" s="1">
        <v>45905</v>
      </c>
      <c r="I1105" s="2">
        <v>1092</v>
      </c>
      <c r="J1105" t="s">
        <v>779</v>
      </c>
      <c r="K1105" t="s">
        <v>785</v>
      </c>
      <c r="L1105" t="s">
        <v>823</v>
      </c>
      <c r="M1105" t="s">
        <v>830</v>
      </c>
      <c r="N1105" t="str">
        <f t="shared" si="51"/>
        <v>T-3</v>
      </c>
      <c r="O1105">
        <f t="shared" si="52"/>
        <v>2025</v>
      </c>
      <c r="P1105" t="str">
        <f t="shared" si="53"/>
        <v>9. septiembre</v>
      </c>
    </row>
    <row r="1106" spans="1:16" x14ac:dyDescent="0.35">
      <c r="A1106">
        <v>491154</v>
      </c>
      <c r="B1106" t="s">
        <v>33</v>
      </c>
      <c r="C1106" t="s">
        <v>138</v>
      </c>
      <c r="D1106" t="s">
        <v>476</v>
      </c>
      <c r="E1106" t="s">
        <v>714</v>
      </c>
      <c r="F1106" t="s">
        <v>187</v>
      </c>
      <c r="G1106" s="1">
        <v>45902</v>
      </c>
      <c r="H1106" s="1">
        <v>45905</v>
      </c>
      <c r="I1106" s="2">
        <v>1638</v>
      </c>
      <c r="J1106" t="s">
        <v>779</v>
      </c>
      <c r="K1106" t="s">
        <v>789</v>
      </c>
      <c r="L1106" t="s">
        <v>824</v>
      </c>
      <c r="M1106" t="s">
        <v>830</v>
      </c>
      <c r="N1106" t="str">
        <f t="shared" si="51"/>
        <v>T-3</v>
      </c>
      <c r="O1106">
        <f t="shared" si="52"/>
        <v>2025</v>
      </c>
      <c r="P1106" t="str">
        <f t="shared" si="53"/>
        <v>9. septiembre</v>
      </c>
    </row>
    <row r="1107" spans="1:16" x14ac:dyDescent="0.35">
      <c r="A1107">
        <v>721785</v>
      </c>
      <c r="B1107" t="s">
        <v>20</v>
      </c>
      <c r="C1107" t="s">
        <v>136</v>
      </c>
      <c r="D1107" t="s">
        <v>507</v>
      </c>
      <c r="E1107" t="s">
        <v>737</v>
      </c>
      <c r="F1107" t="s">
        <v>187</v>
      </c>
      <c r="G1107" s="1">
        <v>45915</v>
      </c>
      <c r="H1107" s="1">
        <v>45918</v>
      </c>
      <c r="I1107" s="2">
        <v>1040</v>
      </c>
      <c r="J1107" t="s">
        <v>776</v>
      </c>
      <c r="K1107" t="s">
        <v>783</v>
      </c>
      <c r="L1107" t="s">
        <v>823</v>
      </c>
      <c r="M1107" t="s">
        <v>828</v>
      </c>
      <c r="N1107" t="str">
        <f t="shared" si="51"/>
        <v>T-3</v>
      </c>
      <c r="O1107">
        <f t="shared" si="52"/>
        <v>2025</v>
      </c>
      <c r="P1107" t="str">
        <f t="shared" si="53"/>
        <v>9. septiembre</v>
      </c>
    </row>
    <row r="1108" spans="1:16" x14ac:dyDescent="0.35">
      <c r="A1108">
        <v>588182</v>
      </c>
      <c r="B1108" t="s">
        <v>58</v>
      </c>
      <c r="C1108" t="s">
        <v>138</v>
      </c>
      <c r="D1108" t="s">
        <v>154</v>
      </c>
      <c r="E1108" t="s">
        <v>737</v>
      </c>
      <c r="F1108" t="s">
        <v>187</v>
      </c>
      <c r="G1108" s="1">
        <v>45915</v>
      </c>
      <c r="H1108" s="1">
        <v>45919</v>
      </c>
      <c r="I1108" s="2">
        <v>1300</v>
      </c>
      <c r="J1108" t="s">
        <v>776</v>
      </c>
      <c r="K1108" t="s">
        <v>783</v>
      </c>
      <c r="L1108" t="s">
        <v>823</v>
      </c>
      <c r="M1108" t="s">
        <v>830</v>
      </c>
      <c r="N1108" t="str">
        <f t="shared" si="51"/>
        <v>T-3</v>
      </c>
      <c r="O1108">
        <f t="shared" si="52"/>
        <v>2025</v>
      </c>
      <c r="P1108" t="str">
        <f t="shared" si="53"/>
        <v>9. septiembre</v>
      </c>
    </row>
    <row r="1109" spans="1:16" x14ac:dyDescent="0.35">
      <c r="A1109">
        <v>705749</v>
      </c>
      <c r="B1109" t="s">
        <v>22</v>
      </c>
      <c r="C1109" t="s">
        <v>138</v>
      </c>
      <c r="D1109" t="s">
        <v>507</v>
      </c>
      <c r="E1109" t="s">
        <v>737</v>
      </c>
      <c r="F1109" t="s">
        <v>187</v>
      </c>
      <c r="G1109" s="1">
        <v>45915</v>
      </c>
      <c r="H1109" s="1">
        <v>45918</v>
      </c>
      <c r="I1109" s="2">
        <v>598.53</v>
      </c>
      <c r="J1109" t="s">
        <v>776</v>
      </c>
      <c r="K1109" t="s">
        <v>783</v>
      </c>
      <c r="L1109" t="s">
        <v>823</v>
      </c>
      <c r="M1109" t="s">
        <v>829</v>
      </c>
      <c r="N1109" t="str">
        <f t="shared" si="51"/>
        <v>T-3</v>
      </c>
      <c r="O1109">
        <f t="shared" si="52"/>
        <v>2025</v>
      </c>
      <c r="P1109" t="str">
        <f t="shared" si="53"/>
        <v>9. septiembre</v>
      </c>
    </row>
    <row r="1110" spans="1:16" x14ac:dyDescent="0.35">
      <c r="A1110">
        <v>419386</v>
      </c>
      <c r="B1110" t="s">
        <v>79</v>
      </c>
      <c r="C1110" t="s">
        <v>138</v>
      </c>
      <c r="D1110" t="s">
        <v>154</v>
      </c>
      <c r="E1110" t="s">
        <v>737</v>
      </c>
      <c r="F1110" t="s">
        <v>187</v>
      </c>
      <c r="G1110" s="1">
        <v>45915</v>
      </c>
      <c r="H1110" s="1">
        <v>45919</v>
      </c>
      <c r="I1110" s="2">
        <v>4550</v>
      </c>
      <c r="J1110" t="s">
        <v>776</v>
      </c>
      <c r="K1110" t="s">
        <v>783</v>
      </c>
      <c r="L1110" t="s">
        <v>823</v>
      </c>
      <c r="M1110" t="s">
        <v>830</v>
      </c>
      <c r="N1110" t="str">
        <f t="shared" si="51"/>
        <v>T-3</v>
      </c>
      <c r="O1110">
        <f t="shared" si="52"/>
        <v>2025</v>
      </c>
      <c r="P1110" t="str">
        <f t="shared" si="53"/>
        <v>9. septiembre</v>
      </c>
    </row>
    <row r="1111" spans="1:16" x14ac:dyDescent="0.35">
      <c r="A1111">
        <v>25458</v>
      </c>
      <c r="B1111" t="s">
        <v>31</v>
      </c>
      <c r="C1111" t="s">
        <v>138</v>
      </c>
      <c r="D1111" t="s">
        <v>507</v>
      </c>
      <c r="E1111" t="s">
        <v>737</v>
      </c>
      <c r="F1111" t="s">
        <v>187</v>
      </c>
      <c r="G1111" s="1">
        <v>45915</v>
      </c>
      <c r="H1111" s="1">
        <v>45918</v>
      </c>
      <c r="I1111" s="2">
        <v>260</v>
      </c>
      <c r="J1111" t="s">
        <v>776</v>
      </c>
      <c r="K1111" t="s">
        <v>791</v>
      </c>
      <c r="L1111" t="s">
        <v>823</v>
      </c>
      <c r="M1111" t="s">
        <v>830</v>
      </c>
      <c r="N1111" t="str">
        <f t="shared" si="51"/>
        <v>T-3</v>
      </c>
      <c r="O1111">
        <f t="shared" si="52"/>
        <v>2025</v>
      </c>
      <c r="P1111" t="str">
        <f t="shared" si="53"/>
        <v>9. septiembre</v>
      </c>
    </row>
    <row r="1112" spans="1:16" x14ac:dyDescent="0.35">
      <c r="A1112">
        <v>717686</v>
      </c>
      <c r="B1112" t="s">
        <v>22</v>
      </c>
      <c r="C1112" t="s">
        <v>138</v>
      </c>
      <c r="D1112" t="s">
        <v>210</v>
      </c>
      <c r="E1112" t="s">
        <v>665</v>
      </c>
      <c r="F1112" t="s">
        <v>187</v>
      </c>
      <c r="G1112" s="1">
        <v>45902</v>
      </c>
      <c r="H1112" s="1">
        <v>45930</v>
      </c>
      <c r="I1112" s="2">
        <v>320</v>
      </c>
      <c r="J1112" t="s">
        <v>777</v>
      </c>
      <c r="K1112" t="s">
        <v>783</v>
      </c>
      <c r="L1112" t="s">
        <v>823</v>
      </c>
      <c r="M1112" t="s">
        <v>828</v>
      </c>
      <c r="N1112" t="str">
        <f t="shared" si="51"/>
        <v>T-3</v>
      </c>
      <c r="O1112">
        <f t="shared" si="52"/>
        <v>2025</v>
      </c>
      <c r="P1112" t="str">
        <f t="shared" si="53"/>
        <v>9. septiembre</v>
      </c>
    </row>
    <row r="1113" spans="1:16" x14ac:dyDescent="0.35">
      <c r="A1113">
        <v>70098</v>
      </c>
      <c r="B1113" t="s">
        <v>5</v>
      </c>
      <c r="C1113" t="s">
        <v>138</v>
      </c>
      <c r="D1113" t="s">
        <v>210</v>
      </c>
      <c r="E1113" t="s">
        <v>665</v>
      </c>
      <c r="F1113" t="s">
        <v>187</v>
      </c>
      <c r="G1113" s="1">
        <v>45912</v>
      </c>
      <c r="H1113" s="1">
        <v>45940</v>
      </c>
      <c r="I1113" s="2">
        <v>1600</v>
      </c>
      <c r="J1113" t="s">
        <v>777</v>
      </c>
      <c r="K1113" t="s">
        <v>783</v>
      </c>
      <c r="L1113" t="s">
        <v>823</v>
      </c>
      <c r="M1113" t="s">
        <v>828</v>
      </c>
      <c r="N1113" t="str">
        <f t="shared" si="51"/>
        <v>T-3</v>
      </c>
      <c r="O1113">
        <f t="shared" si="52"/>
        <v>2025</v>
      </c>
      <c r="P1113" t="str">
        <f t="shared" si="53"/>
        <v>9. septiembre</v>
      </c>
    </row>
    <row r="1114" spans="1:16" x14ac:dyDescent="0.35">
      <c r="A1114">
        <v>709045</v>
      </c>
      <c r="B1114" t="s">
        <v>20</v>
      </c>
      <c r="C1114" t="s">
        <v>136</v>
      </c>
      <c r="D1114" t="s">
        <v>210</v>
      </c>
      <c r="E1114" t="s">
        <v>665</v>
      </c>
      <c r="F1114" t="s">
        <v>187</v>
      </c>
      <c r="G1114" s="1">
        <v>45911</v>
      </c>
      <c r="H1114" s="1">
        <v>45939</v>
      </c>
      <c r="I1114" s="2">
        <v>960</v>
      </c>
      <c r="J1114" t="s">
        <v>777</v>
      </c>
      <c r="K1114" t="s">
        <v>783</v>
      </c>
      <c r="L1114" t="s">
        <v>824</v>
      </c>
      <c r="M1114" t="s">
        <v>830</v>
      </c>
      <c r="N1114" t="str">
        <f t="shared" si="51"/>
        <v>T-3</v>
      </c>
      <c r="O1114">
        <f t="shared" si="52"/>
        <v>2025</v>
      </c>
      <c r="P1114" t="str">
        <f t="shared" si="53"/>
        <v>9. septiembre</v>
      </c>
    </row>
    <row r="1115" spans="1:16" x14ac:dyDescent="0.35">
      <c r="A1115">
        <v>362395</v>
      </c>
      <c r="B1115" t="s">
        <v>5</v>
      </c>
      <c r="C1115" t="s">
        <v>138</v>
      </c>
      <c r="D1115" t="s">
        <v>508</v>
      </c>
      <c r="E1115" t="s">
        <v>658</v>
      </c>
      <c r="F1115" t="s">
        <v>187</v>
      </c>
      <c r="G1115" s="1">
        <v>45838</v>
      </c>
      <c r="H1115" s="1">
        <v>45901</v>
      </c>
      <c r="I1115" s="2">
        <v>719</v>
      </c>
      <c r="J1115" t="s">
        <v>776</v>
      </c>
      <c r="K1115" t="s">
        <v>783</v>
      </c>
      <c r="L1115" t="s">
        <v>823</v>
      </c>
      <c r="M1115" t="s">
        <v>829</v>
      </c>
      <c r="N1115" t="str">
        <f t="shared" si="51"/>
        <v>T-2</v>
      </c>
      <c r="O1115">
        <f t="shared" si="52"/>
        <v>2025</v>
      </c>
      <c r="P1115" t="str">
        <f t="shared" si="53"/>
        <v>6. junio</v>
      </c>
    </row>
    <row r="1116" spans="1:16" x14ac:dyDescent="0.35">
      <c r="A1116">
        <v>712467</v>
      </c>
      <c r="B1116" t="s">
        <v>25</v>
      </c>
      <c r="C1116" t="s">
        <v>138</v>
      </c>
      <c r="D1116" t="s">
        <v>232</v>
      </c>
      <c r="E1116" t="s">
        <v>675</v>
      </c>
      <c r="F1116" t="s">
        <v>187</v>
      </c>
      <c r="G1116" s="1">
        <v>45917</v>
      </c>
      <c r="H1116" s="1">
        <v>45919</v>
      </c>
      <c r="I1116" s="2">
        <v>550.59</v>
      </c>
      <c r="J1116" t="s">
        <v>779</v>
      </c>
      <c r="K1116" t="s">
        <v>794</v>
      </c>
      <c r="L1116" t="s">
        <v>823</v>
      </c>
      <c r="M1116" t="s">
        <v>830</v>
      </c>
      <c r="N1116" t="str">
        <f t="shared" si="51"/>
        <v>T-3</v>
      </c>
      <c r="O1116">
        <f t="shared" si="52"/>
        <v>2025</v>
      </c>
      <c r="P1116" t="str">
        <f t="shared" si="53"/>
        <v>9. septiembre</v>
      </c>
    </row>
    <row r="1117" spans="1:16" x14ac:dyDescent="0.35">
      <c r="A1117">
        <v>702893</v>
      </c>
      <c r="B1117" t="s">
        <v>24</v>
      </c>
      <c r="C1117" t="s">
        <v>138</v>
      </c>
      <c r="D1117" t="s">
        <v>427</v>
      </c>
      <c r="E1117" t="s">
        <v>675</v>
      </c>
      <c r="F1117" t="s">
        <v>187</v>
      </c>
      <c r="G1117" s="1">
        <v>45910</v>
      </c>
      <c r="H1117" s="1">
        <v>45919</v>
      </c>
      <c r="I1117" s="2">
        <v>1114.28</v>
      </c>
      <c r="J1117" t="s">
        <v>779</v>
      </c>
      <c r="K1117" t="s">
        <v>783</v>
      </c>
      <c r="L1117" t="s">
        <v>823</v>
      </c>
      <c r="M1117" t="s">
        <v>830</v>
      </c>
      <c r="N1117" t="str">
        <f t="shared" si="51"/>
        <v>T-3</v>
      </c>
      <c r="O1117">
        <f t="shared" si="52"/>
        <v>2025</v>
      </c>
      <c r="P1117" t="str">
        <f t="shared" si="53"/>
        <v>9. septiembre</v>
      </c>
    </row>
    <row r="1118" spans="1:16" x14ac:dyDescent="0.35">
      <c r="A1118">
        <v>709177</v>
      </c>
      <c r="B1118" t="s">
        <v>23</v>
      </c>
      <c r="C1118" t="s">
        <v>139</v>
      </c>
      <c r="D1118" t="s">
        <v>149</v>
      </c>
      <c r="E1118" t="s">
        <v>675</v>
      </c>
      <c r="F1118" t="s">
        <v>187</v>
      </c>
      <c r="G1118" s="1">
        <v>45908</v>
      </c>
      <c r="H1118" s="1">
        <v>45916</v>
      </c>
      <c r="I1118" s="2">
        <v>2600</v>
      </c>
      <c r="J1118" t="s">
        <v>779</v>
      </c>
      <c r="K1118" t="s">
        <v>783</v>
      </c>
      <c r="L1118" t="s">
        <v>823</v>
      </c>
      <c r="M1118" t="s">
        <v>828</v>
      </c>
      <c r="N1118" t="str">
        <f t="shared" si="51"/>
        <v>T-3</v>
      </c>
      <c r="O1118">
        <f t="shared" si="52"/>
        <v>2025</v>
      </c>
      <c r="P1118" t="str">
        <f t="shared" si="53"/>
        <v>9. septiembre</v>
      </c>
    </row>
    <row r="1119" spans="1:16" x14ac:dyDescent="0.35">
      <c r="A1119">
        <v>589178</v>
      </c>
      <c r="B1119" t="s">
        <v>27</v>
      </c>
      <c r="C1119" t="s">
        <v>138</v>
      </c>
      <c r="D1119" t="s">
        <v>430</v>
      </c>
      <c r="E1119" t="s">
        <v>675</v>
      </c>
      <c r="F1119" t="s">
        <v>187</v>
      </c>
      <c r="G1119" s="1">
        <v>45911</v>
      </c>
      <c r="H1119" s="1">
        <v>45919</v>
      </c>
      <c r="I1119" s="2">
        <v>2228.5700000000002</v>
      </c>
      <c r="J1119" t="s">
        <v>779</v>
      </c>
      <c r="K1119" t="s">
        <v>783</v>
      </c>
      <c r="L1119" t="s">
        <v>823</v>
      </c>
      <c r="M1119" t="s">
        <v>828</v>
      </c>
      <c r="N1119" t="str">
        <f t="shared" si="51"/>
        <v>T-3</v>
      </c>
      <c r="O1119">
        <f t="shared" si="52"/>
        <v>2025</v>
      </c>
      <c r="P1119" t="str">
        <f t="shared" si="53"/>
        <v>9. septiembre</v>
      </c>
    </row>
    <row r="1120" spans="1:16" x14ac:dyDescent="0.35">
      <c r="A1120">
        <v>703249</v>
      </c>
      <c r="B1120" t="s">
        <v>39</v>
      </c>
      <c r="C1120" t="s">
        <v>138</v>
      </c>
      <c r="D1120" t="s">
        <v>164</v>
      </c>
      <c r="E1120" t="s">
        <v>675</v>
      </c>
      <c r="F1120" t="s">
        <v>187</v>
      </c>
      <c r="G1120" s="1">
        <v>45908</v>
      </c>
      <c r="H1120" s="1">
        <v>45918</v>
      </c>
      <c r="I1120" s="2">
        <v>960</v>
      </c>
      <c r="J1120" t="s">
        <v>779</v>
      </c>
      <c r="K1120" t="s">
        <v>783</v>
      </c>
      <c r="L1120" t="s">
        <v>824</v>
      </c>
      <c r="M1120" t="s">
        <v>829</v>
      </c>
      <c r="N1120" t="str">
        <f t="shared" si="51"/>
        <v>T-3</v>
      </c>
      <c r="O1120">
        <f t="shared" si="52"/>
        <v>2025</v>
      </c>
      <c r="P1120" t="str">
        <f t="shared" si="53"/>
        <v>9. septiembre</v>
      </c>
    </row>
    <row r="1121" spans="1:16" x14ac:dyDescent="0.35">
      <c r="A1121">
        <v>488244</v>
      </c>
      <c r="B1121" t="s">
        <v>20</v>
      </c>
      <c r="C1121" t="s">
        <v>136</v>
      </c>
      <c r="D1121" t="s">
        <v>164</v>
      </c>
      <c r="E1121" t="s">
        <v>675</v>
      </c>
      <c r="F1121" t="s">
        <v>187</v>
      </c>
      <c r="G1121" s="1">
        <v>45908</v>
      </c>
      <c r="H1121" s="1">
        <v>45918</v>
      </c>
      <c r="I1121" s="2">
        <v>346.67</v>
      </c>
      <c r="J1121" t="s">
        <v>779</v>
      </c>
      <c r="K1121" t="s">
        <v>785</v>
      </c>
      <c r="L1121" t="s">
        <v>823</v>
      </c>
      <c r="M1121" t="s">
        <v>830</v>
      </c>
      <c r="N1121" t="str">
        <f t="shared" si="51"/>
        <v>T-3</v>
      </c>
      <c r="O1121">
        <f t="shared" si="52"/>
        <v>2025</v>
      </c>
      <c r="P1121" t="str">
        <f t="shared" si="53"/>
        <v>9. septiembre</v>
      </c>
    </row>
    <row r="1122" spans="1:16" x14ac:dyDescent="0.35">
      <c r="A1122">
        <v>504610</v>
      </c>
      <c r="B1122" t="s">
        <v>13</v>
      </c>
      <c r="C1122" t="s">
        <v>138</v>
      </c>
      <c r="D1122" t="s">
        <v>427</v>
      </c>
      <c r="E1122" t="s">
        <v>675</v>
      </c>
      <c r="F1122" t="s">
        <v>187</v>
      </c>
      <c r="G1122" s="1">
        <v>45910</v>
      </c>
      <c r="H1122" s="1">
        <v>45919</v>
      </c>
      <c r="I1122" s="2">
        <v>222.86</v>
      </c>
      <c r="J1122" t="s">
        <v>779</v>
      </c>
      <c r="K1122" t="s">
        <v>785</v>
      </c>
      <c r="L1122" t="s">
        <v>823</v>
      </c>
      <c r="M1122" t="s">
        <v>830</v>
      </c>
      <c r="N1122" t="str">
        <f t="shared" si="51"/>
        <v>T-3</v>
      </c>
      <c r="O1122">
        <f t="shared" si="52"/>
        <v>2025</v>
      </c>
      <c r="P1122" t="str">
        <f t="shared" si="53"/>
        <v>9. septiembre</v>
      </c>
    </row>
    <row r="1123" spans="1:16" x14ac:dyDescent="0.35">
      <c r="A1123">
        <v>706392</v>
      </c>
      <c r="B1123" t="s">
        <v>71</v>
      </c>
      <c r="C1123" t="s">
        <v>138</v>
      </c>
      <c r="D1123" t="s">
        <v>164</v>
      </c>
      <c r="E1123" t="s">
        <v>675</v>
      </c>
      <c r="F1123" t="s">
        <v>187</v>
      </c>
      <c r="G1123" s="1">
        <v>45908</v>
      </c>
      <c r="H1123" s="1">
        <v>45918</v>
      </c>
      <c r="I1123" s="2">
        <v>346.67</v>
      </c>
      <c r="J1123" t="s">
        <v>779</v>
      </c>
      <c r="K1123" t="s">
        <v>785</v>
      </c>
      <c r="L1123" t="s">
        <v>823</v>
      </c>
      <c r="M1123" t="s">
        <v>828</v>
      </c>
      <c r="N1123" t="str">
        <f t="shared" si="51"/>
        <v>T-3</v>
      </c>
      <c r="O1123">
        <f t="shared" si="52"/>
        <v>2025</v>
      </c>
      <c r="P1123" t="str">
        <f t="shared" si="53"/>
        <v>9. septiembre</v>
      </c>
    </row>
    <row r="1124" spans="1:16" x14ac:dyDescent="0.35">
      <c r="A1124">
        <v>722704</v>
      </c>
      <c r="B1124" t="s">
        <v>20</v>
      </c>
      <c r="C1124" t="s">
        <v>136</v>
      </c>
      <c r="D1124" t="s">
        <v>164</v>
      </c>
      <c r="E1124" t="s">
        <v>675</v>
      </c>
      <c r="F1124" t="s">
        <v>187</v>
      </c>
      <c r="G1124" s="1">
        <v>45908</v>
      </c>
      <c r="H1124" s="1">
        <v>45918</v>
      </c>
      <c r="I1124" s="2">
        <v>960</v>
      </c>
      <c r="J1124" t="s">
        <v>779</v>
      </c>
      <c r="K1124" t="s">
        <v>789</v>
      </c>
      <c r="L1124" t="s">
        <v>823</v>
      </c>
      <c r="M1124" t="s">
        <v>830</v>
      </c>
      <c r="N1124" t="str">
        <f t="shared" si="51"/>
        <v>T-3</v>
      </c>
      <c r="O1124">
        <f t="shared" si="52"/>
        <v>2025</v>
      </c>
      <c r="P1124" t="str">
        <f t="shared" si="53"/>
        <v>9. septiembre</v>
      </c>
    </row>
    <row r="1125" spans="1:16" x14ac:dyDescent="0.35">
      <c r="A1125">
        <v>722189</v>
      </c>
      <c r="B1125" t="s">
        <v>24</v>
      </c>
      <c r="C1125" t="s">
        <v>138</v>
      </c>
      <c r="D1125" t="s">
        <v>164</v>
      </c>
      <c r="E1125" t="s">
        <v>675</v>
      </c>
      <c r="F1125" t="s">
        <v>187</v>
      </c>
      <c r="G1125" s="1">
        <v>45908</v>
      </c>
      <c r="H1125" s="1">
        <v>45918</v>
      </c>
      <c r="I1125" s="2">
        <v>1213.33</v>
      </c>
      <c r="J1125" t="s">
        <v>779</v>
      </c>
      <c r="K1125" t="s">
        <v>783</v>
      </c>
      <c r="L1125" t="s">
        <v>823</v>
      </c>
      <c r="M1125" t="s">
        <v>829</v>
      </c>
      <c r="N1125" t="str">
        <f t="shared" si="51"/>
        <v>T-3</v>
      </c>
      <c r="O1125">
        <f t="shared" si="52"/>
        <v>2025</v>
      </c>
      <c r="P1125" t="str">
        <f t="shared" si="53"/>
        <v>9. septiembre</v>
      </c>
    </row>
    <row r="1126" spans="1:16" x14ac:dyDescent="0.35">
      <c r="A1126">
        <v>606126</v>
      </c>
      <c r="B1126" t="s">
        <v>13</v>
      </c>
      <c r="C1126" t="s">
        <v>138</v>
      </c>
      <c r="D1126" t="s">
        <v>436</v>
      </c>
      <c r="E1126" t="s">
        <v>737</v>
      </c>
      <c r="F1126" t="s">
        <v>187</v>
      </c>
      <c r="G1126" s="1">
        <v>45915</v>
      </c>
      <c r="H1126" s="1">
        <v>45919</v>
      </c>
      <c r="I1126" s="2">
        <v>3900</v>
      </c>
      <c r="J1126" t="s">
        <v>776</v>
      </c>
      <c r="K1126" t="s">
        <v>785</v>
      </c>
      <c r="L1126" t="s">
        <v>823</v>
      </c>
      <c r="M1126" t="s">
        <v>830</v>
      </c>
      <c r="N1126" t="str">
        <f t="shared" si="51"/>
        <v>T-3</v>
      </c>
      <c r="O1126">
        <f t="shared" si="52"/>
        <v>2025</v>
      </c>
      <c r="P1126" t="str">
        <f t="shared" si="53"/>
        <v>9. septiembre</v>
      </c>
    </row>
    <row r="1127" spans="1:16" x14ac:dyDescent="0.35">
      <c r="A1127">
        <v>718685</v>
      </c>
      <c r="B1127" t="s">
        <v>30</v>
      </c>
      <c r="C1127" t="s">
        <v>137</v>
      </c>
      <c r="D1127" t="s">
        <v>504</v>
      </c>
      <c r="E1127" t="s">
        <v>737</v>
      </c>
      <c r="F1127" t="s">
        <v>187</v>
      </c>
      <c r="G1127" s="1">
        <v>45915</v>
      </c>
      <c r="H1127" s="1">
        <v>45919</v>
      </c>
      <c r="I1127" s="2">
        <v>2600</v>
      </c>
      <c r="J1127" t="s">
        <v>776</v>
      </c>
      <c r="K1127" t="s">
        <v>788</v>
      </c>
      <c r="L1127" t="s">
        <v>824</v>
      </c>
      <c r="M1127" t="s">
        <v>830</v>
      </c>
      <c r="N1127" t="str">
        <f t="shared" si="51"/>
        <v>T-3</v>
      </c>
      <c r="O1127">
        <f t="shared" si="52"/>
        <v>2025</v>
      </c>
      <c r="P1127" t="str">
        <f t="shared" si="53"/>
        <v>9. septiembre</v>
      </c>
    </row>
    <row r="1128" spans="1:16" x14ac:dyDescent="0.35">
      <c r="A1128">
        <v>560687</v>
      </c>
      <c r="B1128" t="s">
        <v>5</v>
      </c>
      <c r="C1128" t="s">
        <v>138</v>
      </c>
      <c r="D1128" t="s">
        <v>504</v>
      </c>
      <c r="E1128" t="s">
        <v>737</v>
      </c>
      <c r="F1128" t="s">
        <v>187</v>
      </c>
      <c r="G1128" s="1">
        <v>45915</v>
      </c>
      <c r="H1128" s="1">
        <v>45919</v>
      </c>
      <c r="I1128" s="2">
        <v>650</v>
      </c>
      <c r="J1128" t="s">
        <v>776</v>
      </c>
      <c r="K1128" t="s">
        <v>783</v>
      </c>
      <c r="L1128" t="s">
        <v>823</v>
      </c>
      <c r="M1128" t="s">
        <v>828</v>
      </c>
      <c r="N1128" t="str">
        <f t="shared" si="51"/>
        <v>T-3</v>
      </c>
      <c r="O1128">
        <f t="shared" si="52"/>
        <v>2025</v>
      </c>
      <c r="P1128" t="str">
        <f t="shared" si="53"/>
        <v>9. septiembre</v>
      </c>
    </row>
    <row r="1129" spans="1:16" x14ac:dyDescent="0.35">
      <c r="A1129">
        <v>426784</v>
      </c>
      <c r="B1129" t="s">
        <v>20</v>
      </c>
      <c r="C1129" t="s">
        <v>136</v>
      </c>
      <c r="D1129" t="s">
        <v>504</v>
      </c>
      <c r="E1129" t="s">
        <v>737</v>
      </c>
      <c r="F1129" t="s">
        <v>187</v>
      </c>
      <c r="G1129" s="1">
        <v>45915</v>
      </c>
      <c r="H1129" s="1">
        <v>45919</v>
      </c>
      <c r="I1129" s="2">
        <v>1625</v>
      </c>
      <c r="J1129" t="s">
        <v>776</v>
      </c>
      <c r="K1129" t="s">
        <v>785</v>
      </c>
      <c r="L1129" t="s">
        <v>823</v>
      </c>
      <c r="M1129" t="s">
        <v>828</v>
      </c>
      <c r="N1129" t="str">
        <f t="shared" si="51"/>
        <v>T-3</v>
      </c>
      <c r="O1129">
        <f t="shared" si="52"/>
        <v>2025</v>
      </c>
      <c r="P1129" t="str">
        <f t="shared" si="53"/>
        <v>9. septiembre</v>
      </c>
    </row>
    <row r="1130" spans="1:16" x14ac:dyDescent="0.35">
      <c r="A1130">
        <v>363952</v>
      </c>
      <c r="B1130" t="s">
        <v>50</v>
      </c>
      <c r="C1130" t="s">
        <v>139</v>
      </c>
      <c r="D1130" t="s">
        <v>157</v>
      </c>
      <c r="E1130" t="s">
        <v>647</v>
      </c>
      <c r="F1130" t="s">
        <v>773</v>
      </c>
      <c r="G1130" s="1">
        <v>46244</v>
      </c>
      <c r="H1130" s="1">
        <v>46244</v>
      </c>
      <c r="I1130" s="2">
        <v>240</v>
      </c>
      <c r="J1130" t="s">
        <v>774</v>
      </c>
      <c r="K1130" t="s">
        <v>789</v>
      </c>
      <c r="L1130" t="s">
        <v>823</v>
      </c>
      <c r="M1130" t="s">
        <v>830</v>
      </c>
      <c r="N1130" t="str">
        <f t="shared" si="51"/>
        <v>T-3</v>
      </c>
      <c r="O1130">
        <f t="shared" si="52"/>
        <v>2026</v>
      </c>
      <c r="P1130" t="str">
        <f t="shared" si="53"/>
        <v>8. agosto</v>
      </c>
    </row>
    <row r="1131" spans="1:16" x14ac:dyDescent="0.35">
      <c r="A1131">
        <v>715582</v>
      </c>
      <c r="B1131" t="s">
        <v>2</v>
      </c>
      <c r="C1131" t="s">
        <v>138</v>
      </c>
      <c r="D1131" t="s">
        <v>167</v>
      </c>
      <c r="E1131" t="s">
        <v>717</v>
      </c>
      <c r="F1131" t="s">
        <v>773</v>
      </c>
      <c r="G1131" s="1">
        <v>45993</v>
      </c>
      <c r="H1131" s="1">
        <v>45993</v>
      </c>
      <c r="I1131" s="2">
        <v>316</v>
      </c>
      <c r="J1131" t="s">
        <v>774</v>
      </c>
      <c r="K1131" t="s">
        <v>788</v>
      </c>
      <c r="L1131" t="s">
        <v>823</v>
      </c>
      <c r="M1131" t="s">
        <v>829</v>
      </c>
      <c r="N1131" t="str">
        <f t="shared" si="51"/>
        <v>T-4</v>
      </c>
      <c r="O1131">
        <f t="shared" si="52"/>
        <v>2025</v>
      </c>
      <c r="P1131" t="str">
        <f t="shared" si="53"/>
        <v>12. diciembre</v>
      </c>
    </row>
    <row r="1132" spans="1:16" x14ac:dyDescent="0.35">
      <c r="A1132">
        <v>711177</v>
      </c>
      <c r="B1132" t="s">
        <v>27</v>
      </c>
      <c r="C1132" t="s">
        <v>138</v>
      </c>
      <c r="D1132" t="s">
        <v>510</v>
      </c>
      <c r="E1132" t="s">
        <v>660</v>
      </c>
      <c r="F1132" t="s">
        <v>773</v>
      </c>
      <c r="G1132" s="1">
        <v>45930</v>
      </c>
      <c r="H1132" s="1">
        <v>45931</v>
      </c>
      <c r="I1132" s="2">
        <v>575</v>
      </c>
      <c r="J1132" t="s">
        <v>774</v>
      </c>
      <c r="K1132" t="s">
        <v>785</v>
      </c>
      <c r="L1132" t="s">
        <v>823</v>
      </c>
      <c r="M1132" t="s">
        <v>830</v>
      </c>
      <c r="N1132" t="str">
        <f t="shared" si="51"/>
        <v>T-3</v>
      </c>
      <c r="O1132">
        <f t="shared" si="52"/>
        <v>2025</v>
      </c>
      <c r="P1132" t="str">
        <f t="shared" si="53"/>
        <v>9. septiembre</v>
      </c>
    </row>
    <row r="1133" spans="1:16" x14ac:dyDescent="0.35">
      <c r="A1133">
        <v>415618</v>
      </c>
      <c r="B1133" t="s">
        <v>5</v>
      </c>
      <c r="C1133" t="s">
        <v>139</v>
      </c>
      <c r="D1133" t="s">
        <v>505</v>
      </c>
      <c r="E1133" t="s">
        <v>660</v>
      </c>
      <c r="F1133" t="s">
        <v>187</v>
      </c>
      <c r="G1133" s="1">
        <v>45936</v>
      </c>
      <c r="H1133" s="1">
        <v>45936</v>
      </c>
      <c r="I1133" s="2">
        <v>1300</v>
      </c>
      <c r="J1133" t="s">
        <v>776</v>
      </c>
      <c r="K1133" t="s">
        <v>785</v>
      </c>
      <c r="L1133" t="s">
        <v>823</v>
      </c>
      <c r="M1133" t="s">
        <v>830</v>
      </c>
      <c r="N1133" t="str">
        <f t="shared" si="51"/>
        <v>T-4</v>
      </c>
      <c r="O1133">
        <f t="shared" si="52"/>
        <v>2025</v>
      </c>
      <c r="P1133" t="str">
        <f t="shared" si="53"/>
        <v>10. octubre</v>
      </c>
    </row>
    <row r="1134" spans="1:16" x14ac:dyDescent="0.35">
      <c r="A1134">
        <v>564803</v>
      </c>
      <c r="B1134" t="s">
        <v>4</v>
      </c>
      <c r="C1134" t="s">
        <v>139</v>
      </c>
      <c r="D1134" t="s">
        <v>451</v>
      </c>
      <c r="E1134" t="s">
        <v>714</v>
      </c>
      <c r="F1134" t="s">
        <v>187</v>
      </c>
      <c r="G1134" s="1">
        <v>45909</v>
      </c>
      <c r="H1134" s="1">
        <v>45909</v>
      </c>
      <c r="I1134" s="2">
        <v>234</v>
      </c>
      <c r="J1134" t="s">
        <v>779</v>
      </c>
      <c r="K1134" t="s">
        <v>785</v>
      </c>
      <c r="L1134" t="s">
        <v>823</v>
      </c>
      <c r="M1134" t="s">
        <v>828</v>
      </c>
      <c r="N1134" t="str">
        <f t="shared" si="51"/>
        <v>T-3</v>
      </c>
      <c r="O1134">
        <f t="shared" si="52"/>
        <v>2025</v>
      </c>
      <c r="P1134" t="str">
        <f t="shared" si="53"/>
        <v>9. septiembre</v>
      </c>
    </row>
    <row r="1135" spans="1:16" x14ac:dyDescent="0.35">
      <c r="A1135">
        <v>400268</v>
      </c>
      <c r="B1135" t="s">
        <v>6</v>
      </c>
      <c r="C1135" t="s">
        <v>139</v>
      </c>
      <c r="D1135" t="s">
        <v>451</v>
      </c>
      <c r="E1135" t="s">
        <v>714</v>
      </c>
      <c r="F1135" t="s">
        <v>187</v>
      </c>
      <c r="G1135" s="1">
        <v>45917</v>
      </c>
      <c r="H1135" s="1">
        <v>45917</v>
      </c>
      <c r="I1135" s="2">
        <v>273</v>
      </c>
      <c r="J1135" t="s">
        <v>779</v>
      </c>
      <c r="K1135" t="s">
        <v>785</v>
      </c>
      <c r="L1135" t="s">
        <v>824</v>
      </c>
      <c r="M1135" t="s">
        <v>828</v>
      </c>
      <c r="N1135" t="str">
        <f t="shared" si="51"/>
        <v>T-3</v>
      </c>
      <c r="O1135">
        <f t="shared" si="52"/>
        <v>2025</v>
      </c>
      <c r="P1135" t="str">
        <f t="shared" si="53"/>
        <v>9. septiembre</v>
      </c>
    </row>
    <row r="1136" spans="1:16" x14ac:dyDescent="0.35">
      <c r="A1136">
        <v>504136</v>
      </c>
      <c r="B1136" t="s">
        <v>17</v>
      </c>
      <c r="C1136" t="s">
        <v>138</v>
      </c>
      <c r="D1136" t="s">
        <v>478</v>
      </c>
      <c r="E1136" t="s">
        <v>714</v>
      </c>
      <c r="F1136" t="s">
        <v>187</v>
      </c>
      <c r="G1136" s="1">
        <v>45918</v>
      </c>
      <c r="H1136" s="1">
        <v>45919</v>
      </c>
      <c r="I1136" s="2">
        <v>1092</v>
      </c>
      <c r="J1136" t="s">
        <v>779</v>
      </c>
      <c r="K1136" t="s">
        <v>785</v>
      </c>
      <c r="L1136" t="s">
        <v>823</v>
      </c>
      <c r="M1136" t="s">
        <v>829</v>
      </c>
      <c r="N1136" t="str">
        <f t="shared" si="51"/>
        <v>T-3</v>
      </c>
      <c r="O1136">
        <f t="shared" si="52"/>
        <v>2025</v>
      </c>
      <c r="P1136" t="str">
        <f t="shared" si="53"/>
        <v>9. septiembre</v>
      </c>
    </row>
    <row r="1137" spans="1:16" x14ac:dyDescent="0.35">
      <c r="A1137">
        <v>721583</v>
      </c>
      <c r="B1137" t="s">
        <v>30</v>
      </c>
      <c r="C1137" t="s">
        <v>138</v>
      </c>
      <c r="D1137" t="s">
        <v>451</v>
      </c>
      <c r="E1137" t="s">
        <v>714</v>
      </c>
      <c r="F1137" t="s">
        <v>187</v>
      </c>
      <c r="G1137" s="1">
        <v>45909</v>
      </c>
      <c r="H1137" s="1">
        <v>45909</v>
      </c>
      <c r="I1137" s="2">
        <v>429</v>
      </c>
      <c r="J1137" t="s">
        <v>779</v>
      </c>
      <c r="K1137" t="s">
        <v>789</v>
      </c>
      <c r="L1137" t="s">
        <v>823</v>
      </c>
      <c r="M1137" t="s">
        <v>830</v>
      </c>
      <c r="N1137" t="str">
        <f t="shared" si="51"/>
        <v>T-3</v>
      </c>
      <c r="O1137">
        <f t="shared" si="52"/>
        <v>2025</v>
      </c>
      <c r="P1137" t="str">
        <f t="shared" si="53"/>
        <v>9. septiembre</v>
      </c>
    </row>
    <row r="1138" spans="1:16" x14ac:dyDescent="0.35">
      <c r="A1138">
        <v>723647</v>
      </c>
      <c r="B1138" t="s">
        <v>4</v>
      </c>
      <c r="C1138" t="s">
        <v>137</v>
      </c>
      <c r="D1138" t="s">
        <v>451</v>
      </c>
      <c r="E1138" t="s">
        <v>714</v>
      </c>
      <c r="F1138" t="s">
        <v>187</v>
      </c>
      <c r="G1138" s="1">
        <v>45917</v>
      </c>
      <c r="H1138" s="1">
        <v>45917</v>
      </c>
      <c r="I1138" s="2">
        <v>468</v>
      </c>
      <c r="J1138" t="s">
        <v>779</v>
      </c>
      <c r="K1138" t="s">
        <v>785</v>
      </c>
      <c r="L1138" t="s">
        <v>823</v>
      </c>
      <c r="M1138" t="s">
        <v>830</v>
      </c>
      <c r="N1138" t="str">
        <f t="shared" si="51"/>
        <v>T-3</v>
      </c>
      <c r="O1138">
        <f t="shared" si="52"/>
        <v>2025</v>
      </c>
      <c r="P1138" t="str">
        <f t="shared" si="53"/>
        <v>9. septiembre</v>
      </c>
    </row>
    <row r="1139" spans="1:16" x14ac:dyDescent="0.35">
      <c r="A1139">
        <v>465573</v>
      </c>
      <c r="B1139" t="s">
        <v>4</v>
      </c>
      <c r="C1139" t="s">
        <v>138</v>
      </c>
      <c r="D1139" t="s">
        <v>478</v>
      </c>
      <c r="E1139" t="s">
        <v>714</v>
      </c>
      <c r="F1139" t="s">
        <v>187</v>
      </c>
      <c r="G1139" s="1">
        <v>45918</v>
      </c>
      <c r="H1139" s="1">
        <v>45919</v>
      </c>
      <c r="I1139" s="2">
        <v>637</v>
      </c>
      <c r="J1139" t="s">
        <v>779</v>
      </c>
      <c r="K1139" t="s">
        <v>785</v>
      </c>
      <c r="L1139" t="s">
        <v>823</v>
      </c>
      <c r="M1139" t="s">
        <v>828</v>
      </c>
      <c r="N1139" t="str">
        <f t="shared" si="51"/>
        <v>T-3</v>
      </c>
      <c r="O1139">
        <f t="shared" si="52"/>
        <v>2025</v>
      </c>
      <c r="P1139" t="str">
        <f t="shared" si="53"/>
        <v>9. septiembre</v>
      </c>
    </row>
    <row r="1140" spans="1:16" x14ac:dyDescent="0.35">
      <c r="A1140">
        <v>151780</v>
      </c>
      <c r="B1140" t="s">
        <v>37</v>
      </c>
      <c r="C1140" t="s">
        <v>139</v>
      </c>
      <c r="D1140" t="s">
        <v>451</v>
      </c>
      <c r="E1140" t="s">
        <v>714</v>
      </c>
      <c r="F1140" t="s">
        <v>187</v>
      </c>
      <c r="G1140" s="1">
        <v>45909</v>
      </c>
      <c r="H1140" s="1">
        <v>45909</v>
      </c>
      <c r="I1140" s="2">
        <v>312</v>
      </c>
      <c r="J1140" t="s">
        <v>779</v>
      </c>
      <c r="K1140" t="s">
        <v>783</v>
      </c>
      <c r="L1140" t="s">
        <v>823</v>
      </c>
      <c r="M1140" t="s">
        <v>830</v>
      </c>
      <c r="N1140" t="str">
        <f t="shared" si="51"/>
        <v>T-3</v>
      </c>
      <c r="O1140">
        <f t="shared" si="52"/>
        <v>2025</v>
      </c>
      <c r="P1140" t="str">
        <f t="shared" si="53"/>
        <v>9. septiembre</v>
      </c>
    </row>
    <row r="1141" spans="1:16" x14ac:dyDescent="0.35">
      <c r="A1141">
        <v>414972</v>
      </c>
      <c r="B1141" t="s">
        <v>17</v>
      </c>
      <c r="C1141" t="s">
        <v>138</v>
      </c>
      <c r="D1141" t="s">
        <v>451</v>
      </c>
      <c r="E1141" t="s">
        <v>714</v>
      </c>
      <c r="F1141" t="s">
        <v>187</v>
      </c>
      <c r="G1141" s="1">
        <v>45917</v>
      </c>
      <c r="H1141" s="1">
        <v>45917</v>
      </c>
      <c r="I1141" s="2">
        <v>234</v>
      </c>
      <c r="J1141" t="s">
        <v>779</v>
      </c>
      <c r="K1141" t="s">
        <v>785</v>
      </c>
      <c r="L1141" t="s">
        <v>824</v>
      </c>
      <c r="M1141" t="s">
        <v>829</v>
      </c>
      <c r="N1141" t="str">
        <f t="shared" si="51"/>
        <v>T-3</v>
      </c>
      <c r="O1141">
        <f t="shared" si="52"/>
        <v>2025</v>
      </c>
      <c r="P1141" t="str">
        <f t="shared" si="53"/>
        <v>9. septiembre</v>
      </c>
    </row>
    <row r="1142" spans="1:16" x14ac:dyDescent="0.35">
      <c r="A1142">
        <v>715654</v>
      </c>
      <c r="B1142" t="s">
        <v>33</v>
      </c>
      <c r="C1142" t="s">
        <v>136</v>
      </c>
      <c r="D1142" t="s">
        <v>478</v>
      </c>
      <c r="E1142" t="s">
        <v>714</v>
      </c>
      <c r="F1142" t="s">
        <v>187</v>
      </c>
      <c r="G1142" s="1">
        <v>45918</v>
      </c>
      <c r="H1142" s="1">
        <v>45919</v>
      </c>
      <c r="I1142" s="2">
        <v>273</v>
      </c>
      <c r="J1142" t="s">
        <v>779</v>
      </c>
      <c r="K1142" t="s">
        <v>789</v>
      </c>
      <c r="L1142" t="s">
        <v>823</v>
      </c>
      <c r="M1142" t="s">
        <v>830</v>
      </c>
      <c r="N1142" t="str">
        <f t="shared" si="51"/>
        <v>T-3</v>
      </c>
      <c r="O1142">
        <f t="shared" si="52"/>
        <v>2025</v>
      </c>
      <c r="P1142" t="str">
        <f t="shared" si="53"/>
        <v>9. septiembre</v>
      </c>
    </row>
    <row r="1143" spans="1:16" x14ac:dyDescent="0.35">
      <c r="A1143">
        <v>410779</v>
      </c>
      <c r="B1143" t="s">
        <v>5</v>
      </c>
      <c r="C1143" t="s">
        <v>138</v>
      </c>
      <c r="D1143" t="s">
        <v>155</v>
      </c>
      <c r="E1143" t="s">
        <v>647</v>
      </c>
      <c r="F1143" t="s">
        <v>187</v>
      </c>
      <c r="G1143" s="1">
        <v>45915</v>
      </c>
      <c r="H1143" s="1">
        <v>45918</v>
      </c>
      <c r="I1143" s="2">
        <v>212.31</v>
      </c>
      <c r="J1143" t="s">
        <v>776</v>
      </c>
      <c r="K1143" t="s">
        <v>800</v>
      </c>
      <c r="L1143" t="s">
        <v>823</v>
      </c>
      <c r="M1143" t="s">
        <v>830</v>
      </c>
      <c r="N1143" t="str">
        <f t="shared" si="51"/>
        <v>T-3</v>
      </c>
      <c r="O1143">
        <f t="shared" si="52"/>
        <v>2025</v>
      </c>
      <c r="P1143" t="str">
        <f t="shared" si="53"/>
        <v>9. septiembre</v>
      </c>
    </row>
    <row r="1144" spans="1:16" x14ac:dyDescent="0.35">
      <c r="A1144">
        <v>401549</v>
      </c>
      <c r="B1144" t="s">
        <v>114</v>
      </c>
      <c r="C1144" t="s">
        <v>139</v>
      </c>
      <c r="D1144" t="s">
        <v>155</v>
      </c>
      <c r="E1144" t="s">
        <v>647</v>
      </c>
      <c r="F1144" t="s">
        <v>187</v>
      </c>
      <c r="G1144" s="1">
        <v>45915</v>
      </c>
      <c r="H1144" s="1">
        <v>45918</v>
      </c>
      <c r="I1144" s="2">
        <v>1486.15</v>
      </c>
      <c r="J1144" t="s">
        <v>776</v>
      </c>
      <c r="K1144" t="s">
        <v>785</v>
      </c>
      <c r="L1144" t="s">
        <v>823</v>
      </c>
      <c r="M1144" t="s">
        <v>828</v>
      </c>
      <c r="N1144" t="str">
        <f t="shared" si="51"/>
        <v>T-3</v>
      </c>
      <c r="O1144">
        <f t="shared" si="52"/>
        <v>2025</v>
      </c>
      <c r="P1144" t="str">
        <f t="shared" si="53"/>
        <v>9. septiembre</v>
      </c>
    </row>
    <row r="1145" spans="1:16" x14ac:dyDescent="0.35">
      <c r="A1145">
        <v>458847</v>
      </c>
      <c r="B1145" t="s">
        <v>36</v>
      </c>
      <c r="C1145" t="s">
        <v>138</v>
      </c>
      <c r="D1145" t="s">
        <v>511</v>
      </c>
      <c r="E1145" t="s">
        <v>647</v>
      </c>
      <c r="F1145" t="s">
        <v>187</v>
      </c>
      <c r="G1145" s="1">
        <v>45915</v>
      </c>
      <c r="H1145" s="1">
        <v>45918</v>
      </c>
      <c r="I1145" s="2">
        <v>5680</v>
      </c>
      <c r="J1145" t="s">
        <v>776</v>
      </c>
      <c r="K1145" t="s">
        <v>789</v>
      </c>
      <c r="L1145" t="s">
        <v>823</v>
      </c>
      <c r="M1145" t="s">
        <v>828</v>
      </c>
      <c r="N1145" t="str">
        <f t="shared" si="51"/>
        <v>T-3</v>
      </c>
      <c r="O1145">
        <f t="shared" si="52"/>
        <v>2025</v>
      </c>
      <c r="P1145" t="str">
        <f t="shared" si="53"/>
        <v>9. septiembre</v>
      </c>
    </row>
    <row r="1146" spans="1:16" x14ac:dyDescent="0.35">
      <c r="A1146">
        <v>723755</v>
      </c>
      <c r="B1146" t="s">
        <v>5</v>
      </c>
      <c r="C1146" t="s">
        <v>138</v>
      </c>
      <c r="D1146" t="s">
        <v>450</v>
      </c>
      <c r="E1146" t="s">
        <v>718</v>
      </c>
      <c r="F1146" t="s">
        <v>187</v>
      </c>
      <c r="G1146" s="1">
        <v>45845</v>
      </c>
      <c r="H1146" s="1">
        <v>45849</v>
      </c>
      <c r="I1146" s="2">
        <v>2249</v>
      </c>
      <c r="J1146" t="s">
        <v>777</v>
      </c>
      <c r="K1146" t="s">
        <v>783</v>
      </c>
      <c r="L1146" t="s">
        <v>823</v>
      </c>
      <c r="M1146" t="s">
        <v>830</v>
      </c>
      <c r="N1146" t="str">
        <f t="shared" si="51"/>
        <v>T-3</v>
      </c>
      <c r="O1146">
        <f t="shared" si="52"/>
        <v>2025</v>
      </c>
      <c r="P1146" t="str">
        <f t="shared" si="53"/>
        <v>7. julio</v>
      </c>
    </row>
    <row r="1147" spans="1:16" x14ac:dyDescent="0.35">
      <c r="A1147">
        <v>405470</v>
      </c>
      <c r="B1147" t="s">
        <v>5</v>
      </c>
      <c r="C1147" t="s">
        <v>138</v>
      </c>
      <c r="D1147" t="s">
        <v>307</v>
      </c>
      <c r="E1147" t="s">
        <v>669</v>
      </c>
      <c r="F1147" t="s">
        <v>187</v>
      </c>
      <c r="G1147" s="1">
        <v>45867</v>
      </c>
      <c r="H1147" s="1">
        <v>45867</v>
      </c>
      <c r="I1147" s="2">
        <v>311.05</v>
      </c>
      <c r="J1147" t="s">
        <v>777</v>
      </c>
      <c r="K1147" t="s">
        <v>783</v>
      </c>
      <c r="L1147" t="s">
        <v>823</v>
      </c>
      <c r="M1147" t="s">
        <v>829</v>
      </c>
      <c r="N1147" t="str">
        <f t="shared" si="51"/>
        <v>T-3</v>
      </c>
      <c r="O1147">
        <f t="shared" si="52"/>
        <v>2025</v>
      </c>
      <c r="P1147" t="str">
        <f t="shared" si="53"/>
        <v>7. julio</v>
      </c>
    </row>
    <row r="1148" spans="1:16" x14ac:dyDescent="0.35">
      <c r="A1148">
        <v>487689</v>
      </c>
      <c r="B1148" t="s">
        <v>56</v>
      </c>
      <c r="C1148" t="s">
        <v>138</v>
      </c>
      <c r="D1148" t="s">
        <v>307</v>
      </c>
      <c r="E1148" t="s">
        <v>669</v>
      </c>
      <c r="F1148" t="s">
        <v>187</v>
      </c>
      <c r="G1148" s="1">
        <v>45909</v>
      </c>
      <c r="H1148" s="1">
        <v>45909</v>
      </c>
      <c r="I1148" s="2">
        <v>675</v>
      </c>
      <c r="J1148" t="s">
        <v>777</v>
      </c>
      <c r="K1148" t="s">
        <v>788</v>
      </c>
      <c r="L1148" t="s">
        <v>824</v>
      </c>
      <c r="M1148" t="s">
        <v>830</v>
      </c>
      <c r="N1148" t="str">
        <f t="shared" si="51"/>
        <v>T-3</v>
      </c>
      <c r="O1148">
        <f t="shared" si="52"/>
        <v>2025</v>
      </c>
      <c r="P1148" t="str">
        <f t="shared" si="53"/>
        <v>9. septiembre</v>
      </c>
    </row>
    <row r="1149" spans="1:16" x14ac:dyDescent="0.35">
      <c r="A1149">
        <v>480398</v>
      </c>
      <c r="B1149" t="s">
        <v>5</v>
      </c>
      <c r="C1149" t="s">
        <v>138</v>
      </c>
      <c r="D1149" t="s">
        <v>307</v>
      </c>
      <c r="E1149" t="s">
        <v>669</v>
      </c>
      <c r="F1149" t="s">
        <v>187</v>
      </c>
      <c r="G1149" s="1">
        <v>45911</v>
      </c>
      <c r="H1149" s="1">
        <v>45911</v>
      </c>
      <c r="I1149" s="2">
        <v>675</v>
      </c>
      <c r="J1149" t="s">
        <v>777</v>
      </c>
      <c r="K1149" t="s">
        <v>787</v>
      </c>
      <c r="L1149" t="s">
        <v>823</v>
      </c>
      <c r="M1149" t="s">
        <v>830</v>
      </c>
      <c r="N1149" t="str">
        <f t="shared" si="51"/>
        <v>T-3</v>
      </c>
      <c r="O1149">
        <f t="shared" si="52"/>
        <v>2025</v>
      </c>
      <c r="P1149" t="str">
        <f t="shared" si="53"/>
        <v>9. septiembre</v>
      </c>
    </row>
    <row r="1150" spans="1:16" x14ac:dyDescent="0.35">
      <c r="A1150">
        <v>711639</v>
      </c>
      <c r="B1150" t="s">
        <v>30</v>
      </c>
      <c r="C1150" t="s">
        <v>138</v>
      </c>
      <c r="D1150" t="s">
        <v>307</v>
      </c>
      <c r="E1150" t="s">
        <v>669</v>
      </c>
      <c r="F1150" t="s">
        <v>187</v>
      </c>
      <c r="G1150" s="1">
        <v>45917</v>
      </c>
      <c r="H1150" s="1">
        <v>45917</v>
      </c>
      <c r="I1150" s="2">
        <v>555.88</v>
      </c>
      <c r="J1150" t="s">
        <v>777</v>
      </c>
      <c r="K1150" t="s">
        <v>783</v>
      </c>
      <c r="L1150" t="s">
        <v>823</v>
      </c>
      <c r="M1150" t="s">
        <v>828</v>
      </c>
      <c r="N1150" t="str">
        <f t="shared" si="51"/>
        <v>T-3</v>
      </c>
      <c r="O1150">
        <f t="shared" si="52"/>
        <v>2025</v>
      </c>
      <c r="P1150" t="str">
        <f t="shared" si="53"/>
        <v>9. septiembre</v>
      </c>
    </row>
    <row r="1151" spans="1:16" x14ac:dyDescent="0.35">
      <c r="A1151">
        <v>605854</v>
      </c>
      <c r="B1151" t="s">
        <v>13</v>
      </c>
      <c r="C1151" t="s">
        <v>138</v>
      </c>
      <c r="D1151" t="s">
        <v>307</v>
      </c>
      <c r="E1151" t="s">
        <v>669</v>
      </c>
      <c r="F1151" t="s">
        <v>187</v>
      </c>
      <c r="G1151" s="1">
        <v>45916</v>
      </c>
      <c r="H1151" s="1">
        <v>45916</v>
      </c>
      <c r="I1151" s="2">
        <v>530.36</v>
      </c>
      <c r="J1151" t="s">
        <v>777</v>
      </c>
      <c r="K1151" t="s">
        <v>783</v>
      </c>
      <c r="L1151" t="s">
        <v>823</v>
      </c>
      <c r="M1151" t="s">
        <v>828</v>
      </c>
      <c r="N1151" t="str">
        <f t="shared" si="51"/>
        <v>T-3</v>
      </c>
      <c r="O1151">
        <f t="shared" si="52"/>
        <v>2025</v>
      </c>
      <c r="P1151" t="str">
        <f t="shared" si="53"/>
        <v>9. septiembre</v>
      </c>
    </row>
    <row r="1152" spans="1:16" x14ac:dyDescent="0.35">
      <c r="A1152">
        <v>400565</v>
      </c>
      <c r="B1152" t="s">
        <v>19</v>
      </c>
      <c r="C1152" t="s">
        <v>139</v>
      </c>
      <c r="D1152" t="s">
        <v>307</v>
      </c>
      <c r="E1152" t="s">
        <v>669</v>
      </c>
      <c r="F1152" t="s">
        <v>187</v>
      </c>
      <c r="G1152" s="1">
        <v>45918</v>
      </c>
      <c r="H1152" s="1">
        <v>45918</v>
      </c>
      <c r="I1152" s="2">
        <v>675</v>
      </c>
      <c r="J1152" t="s">
        <v>777</v>
      </c>
      <c r="K1152" t="s">
        <v>783</v>
      </c>
      <c r="L1152" t="s">
        <v>823</v>
      </c>
      <c r="M1152" t="s">
        <v>829</v>
      </c>
      <c r="N1152" t="str">
        <f t="shared" si="51"/>
        <v>T-3</v>
      </c>
      <c r="O1152">
        <f t="shared" si="52"/>
        <v>2025</v>
      </c>
      <c r="P1152" t="str">
        <f t="shared" si="53"/>
        <v>9. septiembre</v>
      </c>
    </row>
    <row r="1153" spans="1:16" x14ac:dyDescent="0.35">
      <c r="A1153">
        <v>721369</v>
      </c>
      <c r="B1153" t="s">
        <v>2</v>
      </c>
      <c r="C1153" t="s">
        <v>138</v>
      </c>
      <c r="D1153" t="s">
        <v>309</v>
      </c>
      <c r="E1153" t="s">
        <v>682</v>
      </c>
      <c r="F1153" t="s">
        <v>187</v>
      </c>
      <c r="G1153" s="1">
        <v>45908</v>
      </c>
      <c r="H1153" s="1">
        <v>45908</v>
      </c>
      <c r="I1153" s="2">
        <v>840</v>
      </c>
      <c r="J1153" t="s">
        <v>777</v>
      </c>
      <c r="K1153" t="s">
        <v>783</v>
      </c>
      <c r="L1153" t="s">
        <v>823</v>
      </c>
      <c r="M1153" t="s">
        <v>830</v>
      </c>
      <c r="N1153" t="str">
        <f t="shared" si="51"/>
        <v>T-3</v>
      </c>
      <c r="O1153">
        <f t="shared" si="52"/>
        <v>2025</v>
      </c>
      <c r="P1153" t="str">
        <f t="shared" si="53"/>
        <v>9. septiembre</v>
      </c>
    </row>
    <row r="1154" spans="1:16" x14ac:dyDescent="0.35">
      <c r="A1154">
        <v>720171</v>
      </c>
      <c r="B1154" t="s">
        <v>3</v>
      </c>
      <c r="C1154" t="s">
        <v>136</v>
      </c>
      <c r="D1154" t="s">
        <v>487</v>
      </c>
      <c r="E1154" t="s">
        <v>654</v>
      </c>
      <c r="F1154" t="s">
        <v>187</v>
      </c>
      <c r="G1154" s="1">
        <v>45902</v>
      </c>
      <c r="H1154" s="1">
        <v>45902</v>
      </c>
      <c r="I1154" s="2">
        <v>209</v>
      </c>
      <c r="J1154" t="s">
        <v>777</v>
      </c>
      <c r="K1154" t="s">
        <v>783</v>
      </c>
      <c r="L1154" t="s">
        <v>823</v>
      </c>
      <c r="M1154" t="s">
        <v>830</v>
      </c>
      <c r="N1154" t="str">
        <f t="shared" si="51"/>
        <v>T-3</v>
      </c>
      <c r="O1154">
        <f t="shared" si="52"/>
        <v>2025</v>
      </c>
      <c r="P1154" t="str">
        <f t="shared" si="53"/>
        <v>9. septiembre</v>
      </c>
    </row>
    <row r="1155" spans="1:16" x14ac:dyDescent="0.35">
      <c r="A1155">
        <v>711873</v>
      </c>
      <c r="B1155" t="s">
        <v>19</v>
      </c>
      <c r="C1155" t="s">
        <v>138</v>
      </c>
      <c r="D1155" t="s">
        <v>512</v>
      </c>
      <c r="E1155" t="s">
        <v>694</v>
      </c>
      <c r="F1155" t="s">
        <v>187</v>
      </c>
      <c r="G1155" s="1">
        <v>45761</v>
      </c>
      <c r="H1155" s="1">
        <v>45926</v>
      </c>
      <c r="I1155" s="2">
        <v>750</v>
      </c>
      <c r="J1155" t="s">
        <v>778</v>
      </c>
      <c r="K1155" t="s">
        <v>783</v>
      </c>
      <c r="L1155" t="s">
        <v>823</v>
      </c>
      <c r="M1155" t="s">
        <v>828</v>
      </c>
      <c r="N1155" t="str">
        <f t="shared" ref="N1155:N1218" si="54">"T-" &amp; ROUNDUP((MONTH(G1155)/3), 0)</f>
        <v>T-2</v>
      </c>
      <c r="O1155">
        <f t="shared" ref="O1155:O1218" si="55">YEAR(G1155)</f>
        <v>2025</v>
      </c>
      <c r="P1155" t="str">
        <f t="shared" ref="P1155:P1218" si="56">MONTH(G1155) &amp; ". " &amp; TEXT(G1155, "MMMM")</f>
        <v>4. abril</v>
      </c>
    </row>
    <row r="1156" spans="1:16" x14ac:dyDescent="0.35">
      <c r="A1156">
        <v>588143</v>
      </c>
      <c r="B1156" t="s">
        <v>31</v>
      </c>
      <c r="C1156" t="s">
        <v>136</v>
      </c>
      <c r="D1156" t="s">
        <v>305</v>
      </c>
      <c r="E1156" t="s">
        <v>706</v>
      </c>
      <c r="F1156" t="s">
        <v>187</v>
      </c>
      <c r="G1156" s="1">
        <v>45818</v>
      </c>
      <c r="H1156" s="1">
        <v>45818</v>
      </c>
      <c r="I1156" s="2">
        <v>770</v>
      </c>
      <c r="J1156" t="s">
        <v>776</v>
      </c>
      <c r="K1156" t="s">
        <v>783</v>
      </c>
      <c r="L1156" t="s">
        <v>824</v>
      </c>
      <c r="M1156" t="s">
        <v>830</v>
      </c>
      <c r="N1156" t="str">
        <f t="shared" si="54"/>
        <v>T-2</v>
      </c>
      <c r="O1156">
        <f t="shared" si="55"/>
        <v>2025</v>
      </c>
      <c r="P1156" t="str">
        <f t="shared" si="56"/>
        <v>6. junio</v>
      </c>
    </row>
    <row r="1157" spans="1:16" x14ac:dyDescent="0.35">
      <c r="A1157">
        <v>707624</v>
      </c>
      <c r="B1157" t="s">
        <v>30</v>
      </c>
      <c r="C1157" t="s">
        <v>138</v>
      </c>
      <c r="D1157" t="s">
        <v>514</v>
      </c>
      <c r="E1157" t="s">
        <v>706</v>
      </c>
      <c r="F1157" t="s">
        <v>187</v>
      </c>
      <c r="G1157" s="1">
        <v>45825</v>
      </c>
      <c r="H1157" s="1">
        <v>45825</v>
      </c>
      <c r="I1157" s="2">
        <v>770</v>
      </c>
      <c r="J1157" t="s">
        <v>776</v>
      </c>
      <c r="K1157" t="s">
        <v>783</v>
      </c>
      <c r="L1157" t="s">
        <v>823</v>
      </c>
      <c r="M1157" t="s">
        <v>829</v>
      </c>
      <c r="N1157" t="str">
        <f t="shared" si="54"/>
        <v>T-2</v>
      </c>
      <c r="O1157">
        <f t="shared" si="55"/>
        <v>2025</v>
      </c>
      <c r="P1157" t="str">
        <f t="shared" si="56"/>
        <v>6. junio</v>
      </c>
    </row>
    <row r="1158" spans="1:16" x14ac:dyDescent="0.35">
      <c r="A1158">
        <v>507251</v>
      </c>
      <c r="B1158" t="s">
        <v>17</v>
      </c>
      <c r="C1158" t="s">
        <v>139</v>
      </c>
      <c r="D1158" t="s">
        <v>514</v>
      </c>
      <c r="E1158" t="s">
        <v>706</v>
      </c>
      <c r="F1158" t="s">
        <v>187</v>
      </c>
      <c r="G1158" s="1">
        <v>45839</v>
      </c>
      <c r="H1158" s="1">
        <v>45839</v>
      </c>
      <c r="I1158" s="2">
        <v>770</v>
      </c>
      <c r="J1158" t="s">
        <v>776</v>
      </c>
      <c r="K1158" t="s">
        <v>783</v>
      </c>
      <c r="L1158" t="s">
        <v>823</v>
      </c>
      <c r="M1158" t="s">
        <v>830</v>
      </c>
      <c r="N1158" t="str">
        <f t="shared" si="54"/>
        <v>T-3</v>
      </c>
      <c r="O1158">
        <f t="shared" si="55"/>
        <v>2025</v>
      </c>
      <c r="P1158" t="str">
        <f t="shared" si="56"/>
        <v>7. julio</v>
      </c>
    </row>
    <row r="1159" spans="1:16" x14ac:dyDescent="0.35">
      <c r="A1159">
        <v>710249</v>
      </c>
      <c r="B1159" t="s">
        <v>79</v>
      </c>
      <c r="C1159" t="s">
        <v>138</v>
      </c>
      <c r="D1159" t="s">
        <v>287</v>
      </c>
      <c r="E1159" t="s">
        <v>652</v>
      </c>
      <c r="F1159" t="s">
        <v>187</v>
      </c>
      <c r="G1159" s="1">
        <v>45919</v>
      </c>
      <c r="H1159" s="1">
        <v>45919</v>
      </c>
      <c r="I1159" s="2">
        <v>531</v>
      </c>
      <c r="J1159" t="s">
        <v>774</v>
      </c>
      <c r="K1159" t="s">
        <v>783</v>
      </c>
      <c r="L1159" t="s">
        <v>823</v>
      </c>
      <c r="M1159" t="s">
        <v>830</v>
      </c>
      <c r="N1159" t="str">
        <f t="shared" si="54"/>
        <v>T-3</v>
      </c>
      <c r="O1159">
        <f t="shared" si="55"/>
        <v>2025</v>
      </c>
      <c r="P1159" t="str">
        <f t="shared" si="56"/>
        <v>9. septiembre</v>
      </c>
    </row>
    <row r="1160" spans="1:16" x14ac:dyDescent="0.35">
      <c r="A1160">
        <v>610645</v>
      </c>
      <c r="B1160" t="s">
        <v>13</v>
      </c>
      <c r="C1160" t="s">
        <v>138</v>
      </c>
      <c r="D1160" t="s">
        <v>287</v>
      </c>
      <c r="E1160" t="s">
        <v>652</v>
      </c>
      <c r="F1160" t="s">
        <v>187</v>
      </c>
      <c r="G1160" s="1">
        <v>45919</v>
      </c>
      <c r="H1160" s="1">
        <v>45919</v>
      </c>
      <c r="I1160" s="2">
        <v>531</v>
      </c>
      <c r="J1160" t="s">
        <v>774</v>
      </c>
      <c r="K1160" t="s">
        <v>783</v>
      </c>
      <c r="L1160" t="s">
        <v>823</v>
      </c>
      <c r="M1160" t="s">
        <v>828</v>
      </c>
      <c r="N1160" t="str">
        <f t="shared" si="54"/>
        <v>T-3</v>
      </c>
      <c r="O1160">
        <f t="shared" si="55"/>
        <v>2025</v>
      </c>
      <c r="P1160" t="str">
        <f t="shared" si="56"/>
        <v>9. septiembre</v>
      </c>
    </row>
    <row r="1161" spans="1:16" x14ac:dyDescent="0.35">
      <c r="A1161">
        <v>432651</v>
      </c>
      <c r="B1161" t="s">
        <v>19</v>
      </c>
      <c r="C1161" t="s">
        <v>136</v>
      </c>
      <c r="D1161" t="s">
        <v>148</v>
      </c>
      <c r="E1161" t="s">
        <v>651</v>
      </c>
      <c r="F1161" t="s">
        <v>187</v>
      </c>
      <c r="G1161" s="1">
        <v>45967</v>
      </c>
      <c r="H1161" s="1">
        <v>45967</v>
      </c>
      <c r="I1161" s="2">
        <v>250</v>
      </c>
      <c r="J1161" t="s">
        <v>774</v>
      </c>
      <c r="K1161" t="s">
        <v>783</v>
      </c>
      <c r="L1161" t="s">
        <v>823</v>
      </c>
      <c r="M1161" t="s">
        <v>828</v>
      </c>
      <c r="N1161" t="str">
        <f t="shared" si="54"/>
        <v>T-4</v>
      </c>
      <c r="O1161">
        <f t="shared" si="55"/>
        <v>2025</v>
      </c>
      <c r="P1161" t="str">
        <f t="shared" si="56"/>
        <v>11. noviembre</v>
      </c>
    </row>
    <row r="1162" spans="1:16" x14ac:dyDescent="0.35">
      <c r="A1162">
        <v>721281</v>
      </c>
      <c r="B1162" t="s">
        <v>66</v>
      </c>
      <c r="C1162" t="s">
        <v>137</v>
      </c>
      <c r="D1162" t="s">
        <v>148</v>
      </c>
      <c r="E1162" t="s">
        <v>651</v>
      </c>
      <c r="F1162" t="s">
        <v>187</v>
      </c>
      <c r="G1162" s="1">
        <v>45967</v>
      </c>
      <c r="H1162" s="1">
        <v>45967</v>
      </c>
      <c r="I1162" s="2">
        <v>250</v>
      </c>
      <c r="J1162" t="s">
        <v>774</v>
      </c>
      <c r="K1162" t="s">
        <v>783</v>
      </c>
      <c r="L1162" t="s">
        <v>824</v>
      </c>
      <c r="M1162" t="s">
        <v>830</v>
      </c>
      <c r="N1162" t="str">
        <f t="shared" si="54"/>
        <v>T-4</v>
      </c>
      <c r="O1162">
        <f t="shared" si="55"/>
        <v>2025</v>
      </c>
      <c r="P1162" t="str">
        <f t="shared" si="56"/>
        <v>11. noviembre</v>
      </c>
    </row>
    <row r="1163" spans="1:16" x14ac:dyDescent="0.35">
      <c r="A1163">
        <v>422614</v>
      </c>
      <c r="B1163" t="s">
        <v>11</v>
      </c>
      <c r="C1163" t="s">
        <v>139</v>
      </c>
      <c r="D1163" t="s">
        <v>148</v>
      </c>
      <c r="E1163" t="s">
        <v>651</v>
      </c>
      <c r="F1163" t="s">
        <v>773</v>
      </c>
      <c r="G1163" s="1">
        <v>46071</v>
      </c>
      <c r="H1163" s="1">
        <v>46071</v>
      </c>
      <c r="I1163" s="2">
        <v>250</v>
      </c>
      <c r="J1163" t="s">
        <v>774</v>
      </c>
      <c r="K1163" t="s">
        <v>783</v>
      </c>
      <c r="L1163" t="s">
        <v>823</v>
      </c>
      <c r="M1163" t="s">
        <v>829</v>
      </c>
      <c r="N1163" t="str">
        <f t="shared" si="54"/>
        <v>T-1</v>
      </c>
      <c r="O1163">
        <f t="shared" si="55"/>
        <v>2026</v>
      </c>
      <c r="P1163" t="str">
        <f t="shared" si="56"/>
        <v>2. febrero</v>
      </c>
    </row>
    <row r="1164" spans="1:16" x14ac:dyDescent="0.35">
      <c r="A1164">
        <v>711373</v>
      </c>
      <c r="B1164" t="s">
        <v>17</v>
      </c>
      <c r="C1164" t="s">
        <v>139</v>
      </c>
      <c r="D1164" t="s">
        <v>148</v>
      </c>
      <c r="E1164" t="s">
        <v>651</v>
      </c>
      <c r="F1164" t="s">
        <v>773</v>
      </c>
      <c r="G1164" s="1">
        <v>45968</v>
      </c>
      <c r="H1164" s="1">
        <v>45968</v>
      </c>
      <c r="I1164" s="2">
        <v>250</v>
      </c>
      <c r="J1164" t="s">
        <v>774</v>
      </c>
      <c r="K1164" t="s">
        <v>783</v>
      </c>
      <c r="L1164" t="s">
        <v>823</v>
      </c>
      <c r="M1164" t="s">
        <v>830</v>
      </c>
      <c r="N1164" t="str">
        <f t="shared" si="54"/>
        <v>T-4</v>
      </c>
      <c r="O1164">
        <f t="shared" si="55"/>
        <v>2025</v>
      </c>
      <c r="P1164" t="str">
        <f t="shared" si="56"/>
        <v>11. noviembre</v>
      </c>
    </row>
    <row r="1165" spans="1:16" x14ac:dyDescent="0.35">
      <c r="A1165">
        <v>404780</v>
      </c>
      <c r="B1165" t="s">
        <v>5</v>
      </c>
      <c r="C1165" t="s">
        <v>138</v>
      </c>
      <c r="D1165" t="s">
        <v>148</v>
      </c>
      <c r="E1165" t="s">
        <v>651</v>
      </c>
      <c r="F1165" t="s">
        <v>773</v>
      </c>
      <c r="G1165" s="1">
        <v>45968</v>
      </c>
      <c r="H1165" s="1">
        <v>45968</v>
      </c>
      <c r="I1165" s="2">
        <v>250</v>
      </c>
      <c r="J1165" t="s">
        <v>774</v>
      </c>
      <c r="K1165" t="s">
        <v>783</v>
      </c>
      <c r="L1165" t="s">
        <v>823</v>
      </c>
      <c r="M1165" t="s">
        <v>830</v>
      </c>
      <c r="N1165" t="str">
        <f t="shared" si="54"/>
        <v>T-4</v>
      </c>
      <c r="O1165">
        <f t="shared" si="55"/>
        <v>2025</v>
      </c>
      <c r="P1165" t="str">
        <f t="shared" si="56"/>
        <v>11. noviembre</v>
      </c>
    </row>
    <row r="1166" spans="1:16" x14ac:dyDescent="0.35">
      <c r="A1166">
        <v>705097</v>
      </c>
      <c r="B1166" t="s">
        <v>39</v>
      </c>
      <c r="C1166" t="s">
        <v>138</v>
      </c>
      <c r="D1166" t="s">
        <v>216</v>
      </c>
      <c r="E1166" t="s">
        <v>668</v>
      </c>
      <c r="F1166" t="s">
        <v>187</v>
      </c>
      <c r="G1166" s="1">
        <v>45964</v>
      </c>
      <c r="H1166" s="1">
        <v>45965</v>
      </c>
      <c r="I1166" s="2">
        <v>980</v>
      </c>
      <c r="J1166" t="s">
        <v>776</v>
      </c>
      <c r="K1166" t="s">
        <v>783</v>
      </c>
      <c r="L1166" t="s">
        <v>823</v>
      </c>
      <c r="M1166" t="s">
        <v>828</v>
      </c>
      <c r="N1166" t="str">
        <f t="shared" si="54"/>
        <v>T-4</v>
      </c>
      <c r="O1166">
        <f t="shared" si="55"/>
        <v>2025</v>
      </c>
      <c r="P1166" t="str">
        <f t="shared" si="56"/>
        <v>11. noviembre</v>
      </c>
    </row>
    <row r="1167" spans="1:16" x14ac:dyDescent="0.35">
      <c r="A1167">
        <v>720995</v>
      </c>
      <c r="B1167" t="s">
        <v>34</v>
      </c>
      <c r="C1167" t="s">
        <v>137</v>
      </c>
      <c r="D1167" t="s">
        <v>217</v>
      </c>
      <c r="E1167" t="s">
        <v>668</v>
      </c>
      <c r="F1167" t="s">
        <v>187</v>
      </c>
      <c r="G1167" s="1">
        <v>45966</v>
      </c>
      <c r="H1167" s="1">
        <v>45966</v>
      </c>
      <c r="I1167" s="2">
        <v>875</v>
      </c>
      <c r="J1167" t="s">
        <v>776</v>
      </c>
      <c r="K1167" t="s">
        <v>783</v>
      </c>
      <c r="L1167" t="s">
        <v>823</v>
      </c>
      <c r="M1167" t="s">
        <v>828</v>
      </c>
      <c r="N1167" t="str">
        <f t="shared" si="54"/>
        <v>T-4</v>
      </c>
      <c r="O1167">
        <f t="shared" si="55"/>
        <v>2025</v>
      </c>
      <c r="P1167" t="str">
        <f t="shared" si="56"/>
        <v>11. noviembre</v>
      </c>
    </row>
    <row r="1168" spans="1:16" x14ac:dyDescent="0.35">
      <c r="A1168">
        <v>70066</v>
      </c>
      <c r="B1168" t="s">
        <v>50</v>
      </c>
      <c r="C1168" t="s">
        <v>139</v>
      </c>
      <c r="D1168" t="s">
        <v>441</v>
      </c>
      <c r="E1168" t="s">
        <v>703</v>
      </c>
      <c r="F1168" t="s">
        <v>187</v>
      </c>
      <c r="G1168" s="1">
        <v>45915</v>
      </c>
      <c r="H1168" s="1">
        <v>45919</v>
      </c>
      <c r="I1168" s="2">
        <v>1365</v>
      </c>
      <c r="J1168" t="s">
        <v>776</v>
      </c>
      <c r="K1168" t="s">
        <v>785</v>
      </c>
      <c r="L1168" t="s">
        <v>823</v>
      </c>
      <c r="M1168" t="s">
        <v>829</v>
      </c>
      <c r="N1168" t="str">
        <f t="shared" si="54"/>
        <v>T-3</v>
      </c>
      <c r="O1168">
        <f t="shared" si="55"/>
        <v>2025</v>
      </c>
      <c r="P1168" t="str">
        <f t="shared" si="56"/>
        <v>9. septiembre</v>
      </c>
    </row>
    <row r="1169" spans="1:16" x14ac:dyDescent="0.35">
      <c r="A1169">
        <v>610981</v>
      </c>
      <c r="B1169" t="s">
        <v>13</v>
      </c>
      <c r="C1169" t="s">
        <v>136</v>
      </c>
      <c r="D1169" t="s">
        <v>441</v>
      </c>
      <c r="E1169" t="s">
        <v>703</v>
      </c>
      <c r="F1169" t="s">
        <v>187</v>
      </c>
      <c r="G1169" s="1">
        <v>45915</v>
      </c>
      <c r="H1169" s="1">
        <v>45919</v>
      </c>
      <c r="I1169" s="2">
        <v>1365</v>
      </c>
      <c r="J1169" t="s">
        <v>776</v>
      </c>
      <c r="K1169" t="s">
        <v>783</v>
      </c>
      <c r="L1169" t="s">
        <v>824</v>
      </c>
      <c r="M1169" t="s">
        <v>830</v>
      </c>
      <c r="N1169" t="str">
        <f t="shared" si="54"/>
        <v>T-3</v>
      </c>
      <c r="O1169">
        <f t="shared" si="55"/>
        <v>2025</v>
      </c>
      <c r="P1169" t="str">
        <f t="shared" si="56"/>
        <v>9. septiembre</v>
      </c>
    </row>
    <row r="1170" spans="1:16" x14ac:dyDescent="0.35">
      <c r="A1170">
        <v>720768</v>
      </c>
      <c r="B1170" t="s">
        <v>11</v>
      </c>
      <c r="C1170" t="s">
        <v>136</v>
      </c>
      <c r="D1170" t="s">
        <v>371</v>
      </c>
      <c r="E1170" t="s">
        <v>720</v>
      </c>
      <c r="F1170" t="s">
        <v>187</v>
      </c>
      <c r="G1170" s="1">
        <v>45922</v>
      </c>
      <c r="H1170" s="1">
        <v>45925</v>
      </c>
      <c r="I1170" s="2">
        <v>260</v>
      </c>
      <c r="J1170" t="s">
        <v>776</v>
      </c>
      <c r="K1170" t="s">
        <v>783</v>
      </c>
      <c r="L1170" t="s">
        <v>823</v>
      </c>
      <c r="M1170" t="s">
        <v>830</v>
      </c>
      <c r="N1170" t="str">
        <f t="shared" si="54"/>
        <v>T-3</v>
      </c>
      <c r="O1170">
        <f t="shared" si="55"/>
        <v>2025</v>
      </c>
      <c r="P1170" t="str">
        <f t="shared" si="56"/>
        <v>9. septiembre</v>
      </c>
    </row>
    <row r="1171" spans="1:16" x14ac:dyDescent="0.35">
      <c r="A1171">
        <v>722891</v>
      </c>
      <c r="B1171" t="s">
        <v>23</v>
      </c>
      <c r="C1171" t="s">
        <v>141</v>
      </c>
      <c r="D1171" t="s">
        <v>371</v>
      </c>
      <c r="E1171" t="s">
        <v>720</v>
      </c>
      <c r="F1171" t="s">
        <v>187</v>
      </c>
      <c r="G1171" s="1">
        <v>45922</v>
      </c>
      <c r="H1171" s="1">
        <v>45925</v>
      </c>
      <c r="I1171" s="2">
        <v>2600</v>
      </c>
      <c r="J1171" t="s">
        <v>776</v>
      </c>
      <c r="K1171" t="s">
        <v>783</v>
      </c>
      <c r="L1171" t="s">
        <v>823</v>
      </c>
      <c r="M1171" t="s">
        <v>828</v>
      </c>
      <c r="N1171" t="str">
        <f t="shared" si="54"/>
        <v>T-3</v>
      </c>
      <c r="O1171">
        <f t="shared" si="55"/>
        <v>2025</v>
      </c>
      <c r="P1171" t="str">
        <f t="shared" si="56"/>
        <v>9. septiembre</v>
      </c>
    </row>
    <row r="1172" spans="1:16" x14ac:dyDescent="0.35">
      <c r="A1172">
        <v>611132</v>
      </c>
      <c r="B1172" t="s">
        <v>13</v>
      </c>
      <c r="C1172" t="s">
        <v>138</v>
      </c>
      <c r="D1172" t="s">
        <v>371</v>
      </c>
      <c r="E1172" t="s">
        <v>720</v>
      </c>
      <c r="F1172" t="s">
        <v>187</v>
      </c>
      <c r="G1172" s="1">
        <v>45922</v>
      </c>
      <c r="H1172" s="1">
        <v>45925</v>
      </c>
      <c r="I1172" s="2">
        <v>1300</v>
      </c>
      <c r="J1172" t="s">
        <v>776</v>
      </c>
      <c r="K1172" t="s">
        <v>783</v>
      </c>
      <c r="L1172" t="s">
        <v>823</v>
      </c>
      <c r="M1172" t="s">
        <v>830</v>
      </c>
      <c r="N1172" t="str">
        <f t="shared" si="54"/>
        <v>T-3</v>
      </c>
      <c r="O1172">
        <f t="shared" si="55"/>
        <v>2025</v>
      </c>
      <c r="P1172" t="str">
        <f t="shared" si="56"/>
        <v>9. septiembre</v>
      </c>
    </row>
    <row r="1173" spans="1:16" x14ac:dyDescent="0.35">
      <c r="A1173">
        <v>400679</v>
      </c>
      <c r="B1173" t="s">
        <v>55</v>
      </c>
      <c r="C1173" t="s">
        <v>139</v>
      </c>
      <c r="D1173" t="s">
        <v>441</v>
      </c>
      <c r="E1173" t="s">
        <v>703</v>
      </c>
      <c r="F1173" t="s">
        <v>187</v>
      </c>
      <c r="G1173" s="1">
        <v>45915</v>
      </c>
      <c r="H1173" s="1">
        <v>45919</v>
      </c>
      <c r="I1173" s="2">
        <v>910</v>
      </c>
      <c r="J1173" t="s">
        <v>776</v>
      </c>
      <c r="K1173" t="s">
        <v>783</v>
      </c>
      <c r="L1173" t="s">
        <v>823</v>
      </c>
      <c r="M1173" t="s">
        <v>829</v>
      </c>
      <c r="N1173" t="str">
        <f t="shared" si="54"/>
        <v>T-3</v>
      </c>
      <c r="O1173">
        <f t="shared" si="55"/>
        <v>2025</v>
      </c>
      <c r="P1173" t="str">
        <f t="shared" si="56"/>
        <v>9. septiembre</v>
      </c>
    </row>
    <row r="1174" spans="1:16" x14ac:dyDescent="0.35">
      <c r="A1174">
        <v>561780</v>
      </c>
      <c r="B1174" t="s">
        <v>20</v>
      </c>
      <c r="C1174" t="s">
        <v>136</v>
      </c>
      <c r="D1174" t="s">
        <v>515</v>
      </c>
      <c r="E1174" t="s">
        <v>667</v>
      </c>
      <c r="F1174" t="s">
        <v>187</v>
      </c>
      <c r="G1174" s="1">
        <v>45919</v>
      </c>
      <c r="H1174" s="1">
        <v>45926</v>
      </c>
      <c r="I1174" s="2">
        <v>520</v>
      </c>
      <c r="J1174" t="s">
        <v>777</v>
      </c>
      <c r="K1174" t="s">
        <v>783</v>
      </c>
      <c r="L1174" t="s">
        <v>823</v>
      </c>
      <c r="M1174" t="s">
        <v>830</v>
      </c>
      <c r="N1174" t="str">
        <f t="shared" si="54"/>
        <v>T-3</v>
      </c>
      <c r="O1174">
        <f t="shared" si="55"/>
        <v>2025</v>
      </c>
      <c r="P1174" t="str">
        <f t="shared" si="56"/>
        <v>9. septiembre</v>
      </c>
    </row>
    <row r="1175" spans="1:16" x14ac:dyDescent="0.35">
      <c r="A1175">
        <v>420562</v>
      </c>
      <c r="B1175" t="s">
        <v>23</v>
      </c>
      <c r="C1175" t="s">
        <v>138</v>
      </c>
      <c r="D1175" t="s">
        <v>363</v>
      </c>
      <c r="E1175" t="s">
        <v>669</v>
      </c>
      <c r="F1175" t="s">
        <v>187</v>
      </c>
      <c r="G1175" s="1">
        <v>45840</v>
      </c>
      <c r="H1175" s="1">
        <v>45911</v>
      </c>
      <c r="I1175" s="2">
        <v>280</v>
      </c>
      <c r="J1175" t="s">
        <v>778</v>
      </c>
      <c r="K1175" t="s">
        <v>783</v>
      </c>
      <c r="L1175" t="s">
        <v>823</v>
      </c>
      <c r="M1175" t="s">
        <v>830</v>
      </c>
      <c r="N1175" t="str">
        <f t="shared" si="54"/>
        <v>T-3</v>
      </c>
      <c r="O1175">
        <f t="shared" si="55"/>
        <v>2025</v>
      </c>
      <c r="P1175" t="str">
        <f t="shared" si="56"/>
        <v>7. julio</v>
      </c>
    </row>
    <row r="1176" spans="1:16" x14ac:dyDescent="0.35">
      <c r="A1176">
        <v>420400</v>
      </c>
      <c r="B1176" t="s">
        <v>25</v>
      </c>
      <c r="C1176" t="s">
        <v>138</v>
      </c>
      <c r="D1176" t="s">
        <v>516</v>
      </c>
      <c r="E1176" t="s">
        <v>660</v>
      </c>
      <c r="F1176" t="s">
        <v>187</v>
      </c>
      <c r="G1176" s="1">
        <v>45922</v>
      </c>
      <c r="H1176" s="1">
        <v>45924</v>
      </c>
      <c r="I1176" s="2">
        <v>585</v>
      </c>
      <c r="J1176" t="s">
        <v>776</v>
      </c>
      <c r="K1176" t="s">
        <v>783</v>
      </c>
      <c r="L1176" t="s">
        <v>823</v>
      </c>
      <c r="M1176" t="s">
        <v>828</v>
      </c>
      <c r="N1176" t="str">
        <f t="shared" si="54"/>
        <v>T-3</v>
      </c>
      <c r="O1176">
        <f t="shared" si="55"/>
        <v>2025</v>
      </c>
      <c r="P1176" t="str">
        <f t="shared" si="56"/>
        <v>9. septiembre</v>
      </c>
    </row>
    <row r="1177" spans="1:16" x14ac:dyDescent="0.35">
      <c r="A1177">
        <v>596678</v>
      </c>
      <c r="B1177" t="s">
        <v>27</v>
      </c>
      <c r="C1177" t="s">
        <v>140</v>
      </c>
      <c r="D1177" t="s">
        <v>516</v>
      </c>
      <c r="E1177" t="s">
        <v>660</v>
      </c>
      <c r="F1177" t="s">
        <v>187</v>
      </c>
      <c r="G1177" s="1">
        <v>45922</v>
      </c>
      <c r="H1177" s="1">
        <v>45924</v>
      </c>
      <c r="I1177" s="2">
        <v>3510</v>
      </c>
      <c r="J1177" t="s">
        <v>776</v>
      </c>
      <c r="K1177" t="s">
        <v>783</v>
      </c>
      <c r="L1177" t="s">
        <v>824</v>
      </c>
      <c r="M1177" t="s">
        <v>828</v>
      </c>
      <c r="N1177" t="str">
        <f t="shared" si="54"/>
        <v>T-3</v>
      </c>
      <c r="O1177">
        <f t="shared" si="55"/>
        <v>2025</v>
      </c>
      <c r="P1177" t="str">
        <f t="shared" si="56"/>
        <v>9. septiembre</v>
      </c>
    </row>
    <row r="1178" spans="1:16" x14ac:dyDescent="0.35">
      <c r="A1178">
        <v>560922</v>
      </c>
      <c r="B1178" t="s">
        <v>20</v>
      </c>
      <c r="C1178" t="s">
        <v>136</v>
      </c>
      <c r="D1178" t="s">
        <v>171</v>
      </c>
      <c r="E1178" t="s">
        <v>669</v>
      </c>
      <c r="F1178" t="s">
        <v>187</v>
      </c>
      <c r="G1178" s="1">
        <v>45917</v>
      </c>
      <c r="H1178" s="1">
        <v>45918</v>
      </c>
      <c r="I1178" s="2">
        <v>269.12</v>
      </c>
      <c r="J1178" t="s">
        <v>776</v>
      </c>
      <c r="K1178" t="s">
        <v>785</v>
      </c>
      <c r="L1178" t="s">
        <v>823</v>
      </c>
      <c r="M1178" t="s">
        <v>830</v>
      </c>
      <c r="N1178" t="str">
        <f t="shared" si="54"/>
        <v>T-3</v>
      </c>
      <c r="O1178">
        <f t="shared" si="55"/>
        <v>2025</v>
      </c>
      <c r="P1178" t="str">
        <f t="shared" si="56"/>
        <v>9. septiembre</v>
      </c>
    </row>
    <row r="1179" spans="1:16" x14ac:dyDescent="0.35">
      <c r="A1179">
        <v>713698</v>
      </c>
      <c r="B1179" t="s">
        <v>30</v>
      </c>
      <c r="C1179" t="s">
        <v>138</v>
      </c>
      <c r="D1179" t="s">
        <v>171</v>
      </c>
      <c r="E1179" t="s">
        <v>669</v>
      </c>
      <c r="F1179" t="s">
        <v>187</v>
      </c>
      <c r="G1179" s="1">
        <v>45916</v>
      </c>
      <c r="H1179" s="1">
        <v>45917</v>
      </c>
      <c r="I1179" s="2">
        <v>207.95</v>
      </c>
      <c r="J1179" t="s">
        <v>776</v>
      </c>
      <c r="K1179" t="s">
        <v>789</v>
      </c>
      <c r="L1179" t="s">
        <v>823</v>
      </c>
      <c r="M1179" t="s">
        <v>829</v>
      </c>
      <c r="N1179" t="str">
        <f t="shared" si="54"/>
        <v>T-3</v>
      </c>
      <c r="O1179">
        <f t="shared" si="55"/>
        <v>2025</v>
      </c>
      <c r="P1179" t="str">
        <f t="shared" si="56"/>
        <v>9. septiembre</v>
      </c>
    </row>
    <row r="1180" spans="1:16" x14ac:dyDescent="0.35">
      <c r="A1180">
        <v>718555</v>
      </c>
      <c r="B1180" t="s">
        <v>50</v>
      </c>
      <c r="C1180" t="s">
        <v>138</v>
      </c>
      <c r="D1180" t="s">
        <v>171</v>
      </c>
      <c r="E1180" t="s">
        <v>669</v>
      </c>
      <c r="F1180" t="s">
        <v>187</v>
      </c>
      <c r="G1180" s="1">
        <v>45915</v>
      </c>
      <c r="H1180" s="1">
        <v>45916</v>
      </c>
      <c r="I1180" s="2">
        <v>217.86</v>
      </c>
      <c r="J1180" t="s">
        <v>776</v>
      </c>
      <c r="K1180" t="s">
        <v>783</v>
      </c>
      <c r="L1180" t="s">
        <v>823</v>
      </c>
      <c r="M1180" t="s">
        <v>830</v>
      </c>
      <c r="N1180" t="str">
        <f t="shared" si="54"/>
        <v>T-3</v>
      </c>
      <c r="O1180">
        <f t="shared" si="55"/>
        <v>2025</v>
      </c>
      <c r="P1180" t="str">
        <f t="shared" si="56"/>
        <v>9. septiembre</v>
      </c>
    </row>
    <row r="1181" spans="1:16" x14ac:dyDescent="0.35">
      <c r="A1181">
        <v>722459</v>
      </c>
      <c r="B1181" t="s">
        <v>7</v>
      </c>
      <c r="C1181" t="s">
        <v>138</v>
      </c>
      <c r="D1181" t="s">
        <v>171</v>
      </c>
      <c r="E1181" t="s">
        <v>669</v>
      </c>
      <c r="F1181" t="s">
        <v>187</v>
      </c>
      <c r="G1181" s="1">
        <v>45916</v>
      </c>
      <c r="H1181" s="1">
        <v>45917</v>
      </c>
      <c r="I1181" s="2">
        <v>346.59</v>
      </c>
      <c r="J1181" t="s">
        <v>776</v>
      </c>
      <c r="K1181" t="s">
        <v>783</v>
      </c>
      <c r="L1181" t="s">
        <v>823</v>
      </c>
      <c r="M1181" t="s">
        <v>830</v>
      </c>
      <c r="N1181" t="str">
        <f t="shared" si="54"/>
        <v>T-3</v>
      </c>
      <c r="O1181">
        <f t="shared" si="55"/>
        <v>2025</v>
      </c>
      <c r="P1181" t="str">
        <f t="shared" si="56"/>
        <v>9. septiembre</v>
      </c>
    </row>
    <row r="1182" spans="1:16" x14ac:dyDescent="0.35">
      <c r="A1182">
        <v>414488</v>
      </c>
      <c r="B1182" t="s">
        <v>5</v>
      </c>
      <c r="C1182" t="s">
        <v>138</v>
      </c>
      <c r="D1182" t="s">
        <v>171</v>
      </c>
      <c r="E1182" t="s">
        <v>669</v>
      </c>
      <c r="F1182" t="s">
        <v>187</v>
      </c>
      <c r="G1182" s="1">
        <v>45916</v>
      </c>
      <c r="H1182" s="1">
        <v>45917</v>
      </c>
      <c r="I1182" s="2">
        <v>831.82</v>
      </c>
      <c r="J1182" t="s">
        <v>776</v>
      </c>
      <c r="K1182" t="s">
        <v>783</v>
      </c>
      <c r="L1182" t="s">
        <v>823</v>
      </c>
      <c r="M1182" t="s">
        <v>828</v>
      </c>
      <c r="N1182" t="str">
        <f t="shared" si="54"/>
        <v>T-3</v>
      </c>
      <c r="O1182">
        <f t="shared" si="55"/>
        <v>2025</v>
      </c>
      <c r="P1182" t="str">
        <f t="shared" si="56"/>
        <v>9. septiembre</v>
      </c>
    </row>
    <row r="1183" spans="1:16" x14ac:dyDescent="0.35">
      <c r="A1183">
        <v>363788</v>
      </c>
      <c r="B1183" t="s">
        <v>4</v>
      </c>
      <c r="C1183" t="s">
        <v>138</v>
      </c>
      <c r="D1183" t="s">
        <v>171</v>
      </c>
      <c r="E1183" t="s">
        <v>669</v>
      </c>
      <c r="F1183" t="s">
        <v>187</v>
      </c>
      <c r="G1183" s="1">
        <v>45915</v>
      </c>
      <c r="H1183" s="1">
        <v>45916</v>
      </c>
      <c r="I1183" s="2">
        <v>1016.67</v>
      </c>
      <c r="J1183" t="s">
        <v>776</v>
      </c>
      <c r="K1183" t="s">
        <v>783</v>
      </c>
      <c r="L1183" t="s">
        <v>824</v>
      </c>
      <c r="M1183" t="s">
        <v>828</v>
      </c>
      <c r="N1183" t="str">
        <f t="shared" si="54"/>
        <v>T-3</v>
      </c>
      <c r="O1183">
        <f t="shared" si="55"/>
        <v>2025</v>
      </c>
      <c r="P1183" t="str">
        <f t="shared" si="56"/>
        <v>9. septiembre</v>
      </c>
    </row>
    <row r="1184" spans="1:16" x14ac:dyDescent="0.35">
      <c r="A1184">
        <v>715305</v>
      </c>
      <c r="B1184" t="s">
        <v>32</v>
      </c>
      <c r="C1184" t="s">
        <v>138</v>
      </c>
      <c r="D1184" t="s">
        <v>171</v>
      </c>
      <c r="E1184" t="s">
        <v>669</v>
      </c>
      <c r="F1184" t="s">
        <v>187</v>
      </c>
      <c r="G1184" s="1">
        <v>45917</v>
      </c>
      <c r="H1184" s="1">
        <v>45918</v>
      </c>
      <c r="I1184" s="2">
        <v>807.35</v>
      </c>
      <c r="J1184" t="s">
        <v>776</v>
      </c>
      <c r="K1184" t="s">
        <v>783</v>
      </c>
      <c r="L1184" t="s">
        <v>823</v>
      </c>
      <c r="M1184" t="s">
        <v>829</v>
      </c>
      <c r="N1184" t="str">
        <f t="shared" si="54"/>
        <v>T-3</v>
      </c>
      <c r="O1184">
        <f t="shared" si="55"/>
        <v>2025</v>
      </c>
      <c r="P1184" t="str">
        <f t="shared" si="56"/>
        <v>9. septiembre</v>
      </c>
    </row>
    <row r="1185" spans="1:16" x14ac:dyDescent="0.35">
      <c r="A1185">
        <v>491807</v>
      </c>
      <c r="B1185" t="s">
        <v>5</v>
      </c>
      <c r="C1185" t="s">
        <v>138</v>
      </c>
      <c r="D1185" t="s">
        <v>171</v>
      </c>
      <c r="E1185" t="s">
        <v>669</v>
      </c>
      <c r="F1185" t="s">
        <v>187</v>
      </c>
      <c r="G1185" s="1">
        <v>45917</v>
      </c>
      <c r="H1185" s="1">
        <v>45918</v>
      </c>
      <c r="I1185" s="2">
        <v>358.82</v>
      </c>
      <c r="J1185" t="s">
        <v>776</v>
      </c>
      <c r="K1185" t="s">
        <v>783</v>
      </c>
      <c r="L1185" t="s">
        <v>823</v>
      </c>
      <c r="M1185" t="s">
        <v>830</v>
      </c>
      <c r="N1185" t="str">
        <f t="shared" si="54"/>
        <v>T-3</v>
      </c>
      <c r="O1185">
        <f t="shared" si="55"/>
        <v>2025</v>
      </c>
      <c r="P1185" t="str">
        <f t="shared" si="56"/>
        <v>9. septiembre</v>
      </c>
    </row>
    <row r="1186" spans="1:16" x14ac:dyDescent="0.35">
      <c r="A1186">
        <v>701284</v>
      </c>
      <c r="B1186" t="s">
        <v>2</v>
      </c>
      <c r="C1186" t="s">
        <v>138</v>
      </c>
      <c r="D1186" t="s">
        <v>487</v>
      </c>
      <c r="E1186" t="s">
        <v>654</v>
      </c>
      <c r="F1186" t="s">
        <v>187</v>
      </c>
      <c r="G1186" s="1">
        <v>45923</v>
      </c>
      <c r="H1186" s="1">
        <v>45923</v>
      </c>
      <c r="I1186" s="2">
        <v>209</v>
      </c>
      <c r="J1186" t="s">
        <v>777</v>
      </c>
      <c r="K1186" t="s">
        <v>783</v>
      </c>
      <c r="L1186" t="s">
        <v>823</v>
      </c>
      <c r="M1186" t="s">
        <v>830</v>
      </c>
      <c r="N1186" t="str">
        <f t="shared" si="54"/>
        <v>T-3</v>
      </c>
      <c r="O1186">
        <f t="shared" si="55"/>
        <v>2025</v>
      </c>
      <c r="P1186" t="str">
        <f t="shared" si="56"/>
        <v>9. septiembre</v>
      </c>
    </row>
    <row r="1187" spans="1:16" x14ac:dyDescent="0.35">
      <c r="A1187">
        <v>414882</v>
      </c>
      <c r="B1187" t="s">
        <v>59</v>
      </c>
      <c r="C1187" t="s">
        <v>138</v>
      </c>
      <c r="D1187" t="s">
        <v>199</v>
      </c>
      <c r="E1187" t="s">
        <v>651</v>
      </c>
      <c r="F1187" t="s">
        <v>187</v>
      </c>
      <c r="G1187" s="1">
        <v>45922</v>
      </c>
      <c r="H1187" s="1">
        <v>45926</v>
      </c>
      <c r="I1187" s="2">
        <v>1328.82</v>
      </c>
      <c r="J1187" t="s">
        <v>776</v>
      </c>
      <c r="K1187" t="s">
        <v>785</v>
      </c>
      <c r="L1187" t="s">
        <v>823</v>
      </c>
      <c r="M1187" t="s">
        <v>828</v>
      </c>
      <c r="N1187" t="str">
        <f t="shared" si="54"/>
        <v>T-3</v>
      </c>
      <c r="O1187">
        <f t="shared" si="55"/>
        <v>2025</v>
      </c>
      <c r="P1187" t="str">
        <f t="shared" si="56"/>
        <v>9. septiembre</v>
      </c>
    </row>
    <row r="1188" spans="1:16" x14ac:dyDescent="0.35">
      <c r="A1188">
        <v>610824</v>
      </c>
      <c r="B1188" t="s">
        <v>13</v>
      </c>
      <c r="C1188" t="s">
        <v>138</v>
      </c>
      <c r="D1188" t="s">
        <v>465</v>
      </c>
      <c r="E1188" t="s">
        <v>678</v>
      </c>
      <c r="F1188" t="s">
        <v>187</v>
      </c>
      <c r="G1188" s="1">
        <v>45915</v>
      </c>
      <c r="H1188" s="1">
        <v>45918</v>
      </c>
      <c r="I1188" s="2">
        <v>4160</v>
      </c>
      <c r="J1188" t="s">
        <v>776</v>
      </c>
      <c r="K1188" t="s">
        <v>783</v>
      </c>
      <c r="L1188" t="s">
        <v>823</v>
      </c>
      <c r="M1188" t="s">
        <v>830</v>
      </c>
      <c r="N1188" t="str">
        <f t="shared" si="54"/>
        <v>T-3</v>
      </c>
      <c r="O1188">
        <f t="shared" si="55"/>
        <v>2025</v>
      </c>
      <c r="P1188" t="str">
        <f t="shared" si="56"/>
        <v>9. septiembre</v>
      </c>
    </row>
    <row r="1189" spans="1:16" x14ac:dyDescent="0.35">
      <c r="A1189">
        <v>429853</v>
      </c>
      <c r="B1189" t="s">
        <v>33</v>
      </c>
      <c r="C1189" t="s">
        <v>138</v>
      </c>
      <c r="D1189" t="s">
        <v>463</v>
      </c>
      <c r="E1189" t="s">
        <v>678</v>
      </c>
      <c r="F1189" t="s">
        <v>187</v>
      </c>
      <c r="G1189" s="1">
        <v>45922</v>
      </c>
      <c r="H1189" s="1">
        <v>45924</v>
      </c>
      <c r="I1189" s="2">
        <v>1872</v>
      </c>
      <c r="J1189" t="s">
        <v>776</v>
      </c>
      <c r="K1189" t="s">
        <v>783</v>
      </c>
      <c r="L1189" t="s">
        <v>823</v>
      </c>
      <c r="M1189" t="s">
        <v>829</v>
      </c>
      <c r="N1189" t="str">
        <f t="shared" si="54"/>
        <v>T-3</v>
      </c>
      <c r="O1189">
        <f t="shared" si="55"/>
        <v>2025</v>
      </c>
      <c r="P1189" t="str">
        <f t="shared" si="56"/>
        <v>9. septiembre</v>
      </c>
    </row>
    <row r="1190" spans="1:16" x14ac:dyDescent="0.35">
      <c r="A1190">
        <v>521540</v>
      </c>
      <c r="B1190" t="s">
        <v>20</v>
      </c>
      <c r="C1190" t="s">
        <v>136</v>
      </c>
      <c r="D1190" t="s">
        <v>460</v>
      </c>
      <c r="E1190" t="s">
        <v>678</v>
      </c>
      <c r="F1190" t="s">
        <v>187</v>
      </c>
      <c r="G1190" s="1">
        <v>45915</v>
      </c>
      <c r="H1190" s="1">
        <v>45917</v>
      </c>
      <c r="I1190" s="2">
        <v>2496</v>
      </c>
      <c r="J1190" t="s">
        <v>776</v>
      </c>
      <c r="K1190" t="s">
        <v>783</v>
      </c>
      <c r="L1190" t="s">
        <v>824</v>
      </c>
      <c r="M1190" t="s">
        <v>830</v>
      </c>
      <c r="N1190" t="str">
        <f t="shared" si="54"/>
        <v>T-3</v>
      </c>
      <c r="O1190">
        <f t="shared" si="55"/>
        <v>2025</v>
      </c>
      <c r="P1190" t="str">
        <f t="shared" si="56"/>
        <v>9. septiembre</v>
      </c>
    </row>
    <row r="1191" spans="1:16" x14ac:dyDescent="0.35">
      <c r="A1191">
        <v>488233</v>
      </c>
      <c r="B1191" t="s">
        <v>23</v>
      </c>
      <c r="C1191" t="s">
        <v>138</v>
      </c>
      <c r="D1191" t="s">
        <v>461</v>
      </c>
      <c r="E1191" t="s">
        <v>678</v>
      </c>
      <c r="F1191" t="s">
        <v>187</v>
      </c>
      <c r="G1191" s="1">
        <v>45918</v>
      </c>
      <c r="H1191" s="1">
        <v>45919</v>
      </c>
      <c r="I1191" s="2">
        <v>832</v>
      </c>
      <c r="J1191" t="s">
        <v>776</v>
      </c>
      <c r="K1191" t="s">
        <v>785</v>
      </c>
      <c r="L1191" t="s">
        <v>823</v>
      </c>
      <c r="M1191" t="s">
        <v>830</v>
      </c>
      <c r="N1191" t="str">
        <f t="shared" si="54"/>
        <v>T-3</v>
      </c>
      <c r="O1191">
        <f t="shared" si="55"/>
        <v>2025</v>
      </c>
      <c r="P1191" t="str">
        <f t="shared" si="56"/>
        <v>9. septiembre</v>
      </c>
    </row>
    <row r="1192" spans="1:16" x14ac:dyDescent="0.35">
      <c r="A1192">
        <v>718660</v>
      </c>
      <c r="B1192" t="s">
        <v>89</v>
      </c>
      <c r="C1192" t="s">
        <v>137</v>
      </c>
      <c r="D1192" t="s">
        <v>454</v>
      </c>
      <c r="E1192" t="s">
        <v>678</v>
      </c>
      <c r="F1192" t="s">
        <v>187</v>
      </c>
      <c r="G1192" s="1">
        <v>45922</v>
      </c>
      <c r="H1192" s="1">
        <v>45925</v>
      </c>
      <c r="I1192" s="2">
        <v>3120</v>
      </c>
      <c r="J1192" t="s">
        <v>776</v>
      </c>
      <c r="K1192" t="s">
        <v>783</v>
      </c>
      <c r="L1192" t="s">
        <v>823</v>
      </c>
      <c r="M1192" t="s">
        <v>828</v>
      </c>
      <c r="N1192" t="str">
        <f t="shared" si="54"/>
        <v>T-3</v>
      </c>
      <c r="O1192">
        <f t="shared" si="55"/>
        <v>2025</v>
      </c>
      <c r="P1192" t="str">
        <f t="shared" si="56"/>
        <v>9. septiembre</v>
      </c>
    </row>
    <row r="1193" spans="1:16" x14ac:dyDescent="0.35">
      <c r="A1193">
        <v>404037</v>
      </c>
      <c r="B1193" t="s">
        <v>5</v>
      </c>
      <c r="C1193" t="s">
        <v>138</v>
      </c>
      <c r="D1193" t="s">
        <v>469</v>
      </c>
      <c r="E1193" t="s">
        <v>678</v>
      </c>
      <c r="F1193" t="s">
        <v>187</v>
      </c>
      <c r="G1193" s="1">
        <v>45922</v>
      </c>
      <c r="H1193" s="1">
        <v>45924</v>
      </c>
      <c r="I1193" s="2">
        <v>2535</v>
      </c>
      <c r="J1193" t="s">
        <v>776</v>
      </c>
      <c r="K1193" t="s">
        <v>783</v>
      </c>
      <c r="L1193" t="s">
        <v>823</v>
      </c>
      <c r="M1193" t="s">
        <v>828</v>
      </c>
      <c r="N1193" t="str">
        <f t="shared" si="54"/>
        <v>T-3</v>
      </c>
      <c r="O1193">
        <f t="shared" si="55"/>
        <v>2025</v>
      </c>
      <c r="P1193" t="str">
        <f t="shared" si="56"/>
        <v>9. septiembre</v>
      </c>
    </row>
    <row r="1194" spans="1:16" x14ac:dyDescent="0.35">
      <c r="A1194">
        <v>717002</v>
      </c>
      <c r="B1194" t="s">
        <v>23</v>
      </c>
      <c r="C1194" t="s">
        <v>138</v>
      </c>
      <c r="D1194" t="s">
        <v>517</v>
      </c>
      <c r="E1194" t="s">
        <v>678</v>
      </c>
      <c r="F1194" t="s">
        <v>187</v>
      </c>
      <c r="G1194" s="1">
        <v>45922</v>
      </c>
      <c r="H1194" s="1">
        <v>45925</v>
      </c>
      <c r="I1194" s="2">
        <v>3120</v>
      </c>
      <c r="J1194" t="s">
        <v>776</v>
      </c>
      <c r="K1194" t="s">
        <v>789</v>
      </c>
      <c r="L1194" t="s">
        <v>823</v>
      </c>
      <c r="M1194" t="s">
        <v>830</v>
      </c>
      <c r="N1194" t="str">
        <f t="shared" si="54"/>
        <v>T-3</v>
      </c>
      <c r="O1194">
        <f t="shared" si="55"/>
        <v>2025</v>
      </c>
      <c r="P1194" t="str">
        <f t="shared" si="56"/>
        <v>9. septiembre</v>
      </c>
    </row>
    <row r="1195" spans="1:16" x14ac:dyDescent="0.35">
      <c r="A1195">
        <v>702151</v>
      </c>
      <c r="B1195" t="s">
        <v>45</v>
      </c>
      <c r="C1195" t="s">
        <v>138</v>
      </c>
      <c r="D1195" t="s">
        <v>465</v>
      </c>
      <c r="E1195" t="s">
        <v>678</v>
      </c>
      <c r="F1195" t="s">
        <v>187</v>
      </c>
      <c r="G1195" s="1">
        <v>45915</v>
      </c>
      <c r="H1195" s="1">
        <v>45918</v>
      </c>
      <c r="I1195" s="2">
        <v>1040</v>
      </c>
      <c r="J1195" t="s">
        <v>776</v>
      </c>
      <c r="K1195" t="s">
        <v>783</v>
      </c>
      <c r="L1195" t="s">
        <v>823</v>
      </c>
      <c r="M1195" t="s">
        <v>829</v>
      </c>
      <c r="N1195" t="str">
        <f t="shared" si="54"/>
        <v>T-3</v>
      </c>
      <c r="O1195">
        <f t="shared" si="55"/>
        <v>2025</v>
      </c>
      <c r="P1195" t="str">
        <f t="shared" si="56"/>
        <v>9. septiembre</v>
      </c>
    </row>
    <row r="1196" spans="1:16" x14ac:dyDescent="0.35">
      <c r="A1196">
        <v>560578</v>
      </c>
      <c r="B1196" t="s">
        <v>5</v>
      </c>
      <c r="C1196" t="s">
        <v>138</v>
      </c>
      <c r="D1196" t="s">
        <v>463</v>
      </c>
      <c r="E1196" t="s">
        <v>678</v>
      </c>
      <c r="F1196" t="s">
        <v>188</v>
      </c>
      <c r="G1196" s="1">
        <v>45922</v>
      </c>
      <c r="H1196" s="1">
        <v>45924</v>
      </c>
      <c r="I1196" s="2">
        <v>312</v>
      </c>
      <c r="J1196" t="s">
        <v>776</v>
      </c>
      <c r="K1196" t="s">
        <v>783</v>
      </c>
      <c r="L1196" t="s">
        <v>823</v>
      </c>
      <c r="M1196" t="s">
        <v>830</v>
      </c>
      <c r="N1196" t="str">
        <f t="shared" si="54"/>
        <v>T-3</v>
      </c>
      <c r="O1196">
        <f t="shared" si="55"/>
        <v>2025</v>
      </c>
      <c r="P1196" t="str">
        <f t="shared" si="56"/>
        <v>9. septiembre</v>
      </c>
    </row>
    <row r="1197" spans="1:16" x14ac:dyDescent="0.35">
      <c r="A1197">
        <v>720251</v>
      </c>
      <c r="B1197" t="s">
        <v>30</v>
      </c>
      <c r="C1197" t="s">
        <v>137</v>
      </c>
      <c r="D1197" t="s">
        <v>460</v>
      </c>
      <c r="E1197" t="s">
        <v>678</v>
      </c>
      <c r="F1197" t="s">
        <v>188</v>
      </c>
      <c r="G1197" s="1">
        <v>45915</v>
      </c>
      <c r="H1197" s="1">
        <v>45917</v>
      </c>
      <c r="I1197" s="2">
        <v>208</v>
      </c>
      <c r="J1197" t="s">
        <v>776</v>
      </c>
      <c r="K1197" t="s">
        <v>783</v>
      </c>
      <c r="L1197" t="s">
        <v>823</v>
      </c>
      <c r="M1197" t="s">
        <v>830</v>
      </c>
      <c r="N1197" t="str">
        <f t="shared" si="54"/>
        <v>T-3</v>
      </c>
      <c r="O1197">
        <f t="shared" si="55"/>
        <v>2025</v>
      </c>
      <c r="P1197" t="str">
        <f t="shared" si="56"/>
        <v>9. septiembre</v>
      </c>
    </row>
    <row r="1198" spans="1:16" x14ac:dyDescent="0.35">
      <c r="A1198">
        <v>497804</v>
      </c>
      <c r="B1198" t="s">
        <v>3</v>
      </c>
      <c r="C1198" t="s">
        <v>138</v>
      </c>
      <c r="D1198" t="s">
        <v>461</v>
      </c>
      <c r="E1198" t="s">
        <v>678</v>
      </c>
      <c r="F1198" t="s">
        <v>188</v>
      </c>
      <c r="G1198" s="1">
        <v>45918</v>
      </c>
      <c r="H1198" s="1">
        <v>45919</v>
      </c>
      <c r="I1198" s="2">
        <v>312</v>
      </c>
      <c r="J1198" t="s">
        <v>776</v>
      </c>
      <c r="K1198" t="s">
        <v>800</v>
      </c>
      <c r="L1198" t="s">
        <v>824</v>
      </c>
      <c r="M1198" t="s">
        <v>828</v>
      </c>
      <c r="N1198" t="str">
        <f t="shared" si="54"/>
        <v>T-3</v>
      </c>
      <c r="O1198">
        <f t="shared" si="55"/>
        <v>2025</v>
      </c>
      <c r="P1198" t="str">
        <f t="shared" si="56"/>
        <v>9. septiembre</v>
      </c>
    </row>
    <row r="1199" spans="1:16" x14ac:dyDescent="0.35">
      <c r="A1199">
        <v>706440</v>
      </c>
      <c r="B1199" t="s">
        <v>71</v>
      </c>
      <c r="C1199" t="s">
        <v>138</v>
      </c>
      <c r="D1199" t="s">
        <v>454</v>
      </c>
      <c r="E1199" t="s">
        <v>678</v>
      </c>
      <c r="F1199" t="s">
        <v>188</v>
      </c>
      <c r="G1199" s="1">
        <v>45922</v>
      </c>
      <c r="H1199" s="1">
        <v>45925</v>
      </c>
      <c r="I1199" s="2">
        <v>520</v>
      </c>
      <c r="J1199" t="s">
        <v>776</v>
      </c>
      <c r="K1199" t="s">
        <v>800</v>
      </c>
      <c r="L1199" t="s">
        <v>823</v>
      </c>
      <c r="M1199" t="s">
        <v>828</v>
      </c>
      <c r="N1199" t="str">
        <f t="shared" si="54"/>
        <v>T-3</v>
      </c>
      <c r="O1199">
        <f t="shared" si="55"/>
        <v>2025</v>
      </c>
      <c r="P1199" t="str">
        <f t="shared" si="56"/>
        <v>9. septiembre</v>
      </c>
    </row>
    <row r="1200" spans="1:16" x14ac:dyDescent="0.35">
      <c r="A1200">
        <v>500996</v>
      </c>
      <c r="B1200" t="s">
        <v>115</v>
      </c>
      <c r="C1200" t="s">
        <v>138</v>
      </c>
      <c r="D1200" t="s">
        <v>463</v>
      </c>
      <c r="E1200" t="s">
        <v>678</v>
      </c>
      <c r="F1200" t="s">
        <v>188</v>
      </c>
      <c r="G1200" s="1">
        <v>45922</v>
      </c>
      <c r="H1200" s="1">
        <v>45924</v>
      </c>
      <c r="I1200" s="2">
        <v>624</v>
      </c>
      <c r="J1200" t="s">
        <v>776</v>
      </c>
      <c r="K1200" t="s">
        <v>783</v>
      </c>
      <c r="L1200" t="s">
        <v>823</v>
      </c>
      <c r="M1200" t="s">
        <v>829</v>
      </c>
      <c r="N1200" t="str">
        <f t="shared" si="54"/>
        <v>T-3</v>
      </c>
      <c r="O1200">
        <f t="shared" si="55"/>
        <v>2025</v>
      </c>
      <c r="P1200" t="str">
        <f t="shared" si="56"/>
        <v>9. septiembre</v>
      </c>
    </row>
    <row r="1201" spans="1:16" x14ac:dyDescent="0.35">
      <c r="A1201">
        <v>715190</v>
      </c>
      <c r="B1201" t="s">
        <v>116</v>
      </c>
      <c r="C1201" t="s">
        <v>139</v>
      </c>
      <c r="D1201" t="s">
        <v>460</v>
      </c>
      <c r="E1201" t="s">
        <v>678</v>
      </c>
      <c r="F1201" t="s">
        <v>188</v>
      </c>
      <c r="G1201" s="1">
        <v>45915</v>
      </c>
      <c r="H1201" s="1">
        <v>45917</v>
      </c>
      <c r="I1201" s="2">
        <v>208</v>
      </c>
      <c r="J1201" t="s">
        <v>776</v>
      </c>
      <c r="K1201" t="s">
        <v>783</v>
      </c>
      <c r="L1201" t="s">
        <v>823</v>
      </c>
      <c r="M1201" t="s">
        <v>830</v>
      </c>
      <c r="N1201" t="str">
        <f t="shared" si="54"/>
        <v>T-3</v>
      </c>
      <c r="O1201">
        <f t="shared" si="55"/>
        <v>2025</v>
      </c>
      <c r="P1201" t="str">
        <f t="shared" si="56"/>
        <v>9. septiembre</v>
      </c>
    </row>
    <row r="1202" spans="1:16" x14ac:dyDescent="0.35">
      <c r="A1202">
        <v>720978</v>
      </c>
      <c r="B1202" t="s">
        <v>30</v>
      </c>
      <c r="C1202" t="s">
        <v>138</v>
      </c>
      <c r="D1202" t="s">
        <v>446</v>
      </c>
      <c r="E1202" t="s">
        <v>740</v>
      </c>
      <c r="F1202" t="s">
        <v>187</v>
      </c>
      <c r="G1202" s="1">
        <v>45908</v>
      </c>
      <c r="H1202" s="1">
        <v>45911</v>
      </c>
      <c r="I1202" s="2">
        <v>208</v>
      </c>
      <c r="J1202" t="s">
        <v>779</v>
      </c>
      <c r="K1202" t="s">
        <v>783</v>
      </c>
      <c r="L1202" t="s">
        <v>823</v>
      </c>
      <c r="M1202" t="s">
        <v>830</v>
      </c>
      <c r="N1202" t="str">
        <f t="shared" si="54"/>
        <v>T-3</v>
      </c>
      <c r="O1202">
        <f t="shared" si="55"/>
        <v>2025</v>
      </c>
      <c r="P1202" t="str">
        <f t="shared" si="56"/>
        <v>9. septiembre</v>
      </c>
    </row>
    <row r="1203" spans="1:16" x14ac:dyDescent="0.35">
      <c r="A1203">
        <v>723055</v>
      </c>
      <c r="B1203" t="s">
        <v>29</v>
      </c>
      <c r="C1203" t="s">
        <v>136</v>
      </c>
      <c r="D1203" t="s">
        <v>436</v>
      </c>
      <c r="E1203" t="s">
        <v>737</v>
      </c>
      <c r="F1203" t="s">
        <v>187</v>
      </c>
      <c r="G1203" s="1">
        <v>45922</v>
      </c>
      <c r="H1203" s="1">
        <v>45926</v>
      </c>
      <c r="I1203" s="2">
        <v>2600</v>
      </c>
      <c r="J1203" t="s">
        <v>776</v>
      </c>
      <c r="K1203" t="s">
        <v>783</v>
      </c>
      <c r="L1203" t="s">
        <v>823</v>
      </c>
      <c r="M1203" t="s">
        <v>828</v>
      </c>
      <c r="N1203" t="str">
        <f t="shared" si="54"/>
        <v>T-3</v>
      </c>
      <c r="O1203">
        <f t="shared" si="55"/>
        <v>2025</v>
      </c>
      <c r="P1203" t="str">
        <f t="shared" si="56"/>
        <v>9. septiembre</v>
      </c>
    </row>
    <row r="1204" spans="1:16" x14ac:dyDescent="0.35">
      <c r="A1204">
        <v>564692</v>
      </c>
      <c r="B1204" t="s">
        <v>4</v>
      </c>
      <c r="C1204" t="s">
        <v>138</v>
      </c>
      <c r="D1204" t="s">
        <v>518</v>
      </c>
      <c r="E1204" t="s">
        <v>737</v>
      </c>
      <c r="F1204" t="s">
        <v>187</v>
      </c>
      <c r="G1204" s="1">
        <v>45922</v>
      </c>
      <c r="H1204" s="1">
        <v>45926</v>
      </c>
      <c r="I1204" s="2">
        <v>1560</v>
      </c>
      <c r="J1204" t="s">
        <v>776</v>
      </c>
      <c r="K1204" t="s">
        <v>783</v>
      </c>
      <c r="L1204" t="s">
        <v>824</v>
      </c>
      <c r="M1204" t="s">
        <v>830</v>
      </c>
      <c r="N1204" t="str">
        <f t="shared" si="54"/>
        <v>T-3</v>
      </c>
      <c r="O1204">
        <f t="shared" si="55"/>
        <v>2025</v>
      </c>
      <c r="P1204" t="str">
        <f t="shared" si="56"/>
        <v>9. septiembre</v>
      </c>
    </row>
    <row r="1205" spans="1:16" x14ac:dyDescent="0.35">
      <c r="A1205">
        <v>362452</v>
      </c>
      <c r="B1205" t="s">
        <v>30</v>
      </c>
      <c r="C1205" t="s">
        <v>138</v>
      </c>
      <c r="D1205" t="s">
        <v>435</v>
      </c>
      <c r="E1205" t="s">
        <v>737</v>
      </c>
      <c r="F1205" t="s">
        <v>187</v>
      </c>
      <c r="G1205" s="1">
        <v>45915</v>
      </c>
      <c r="H1205" s="1">
        <v>45918</v>
      </c>
      <c r="I1205" s="2">
        <v>1456</v>
      </c>
      <c r="J1205" t="s">
        <v>776</v>
      </c>
      <c r="K1205" t="s">
        <v>783</v>
      </c>
      <c r="L1205" t="s">
        <v>823</v>
      </c>
      <c r="M1205" t="s">
        <v>829</v>
      </c>
      <c r="N1205" t="str">
        <f t="shared" si="54"/>
        <v>T-3</v>
      </c>
      <c r="O1205">
        <f t="shared" si="55"/>
        <v>2025</v>
      </c>
      <c r="P1205" t="str">
        <f t="shared" si="56"/>
        <v>9. septiembre</v>
      </c>
    </row>
    <row r="1206" spans="1:16" x14ac:dyDescent="0.35">
      <c r="A1206">
        <v>408695</v>
      </c>
      <c r="B1206" t="s">
        <v>2</v>
      </c>
      <c r="C1206" t="s">
        <v>138</v>
      </c>
      <c r="D1206" t="s">
        <v>446</v>
      </c>
      <c r="E1206" t="s">
        <v>740</v>
      </c>
      <c r="F1206" t="s">
        <v>187</v>
      </c>
      <c r="G1206" s="1">
        <v>45908</v>
      </c>
      <c r="H1206" s="1">
        <v>45911</v>
      </c>
      <c r="I1206" s="2">
        <v>2912</v>
      </c>
      <c r="J1206" t="s">
        <v>779</v>
      </c>
      <c r="K1206" t="s">
        <v>800</v>
      </c>
      <c r="L1206" t="s">
        <v>823</v>
      </c>
      <c r="M1206" t="s">
        <v>830</v>
      </c>
      <c r="N1206" t="str">
        <f t="shared" si="54"/>
        <v>T-3</v>
      </c>
      <c r="O1206">
        <f t="shared" si="55"/>
        <v>2025</v>
      </c>
      <c r="P1206" t="str">
        <f t="shared" si="56"/>
        <v>9. septiembre</v>
      </c>
    </row>
    <row r="1207" spans="1:16" x14ac:dyDescent="0.35">
      <c r="A1207">
        <v>719954</v>
      </c>
      <c r="B1207" t="s">
        <v>23</v>
      </c>
      <c r="C1207" t="s">
        <v>141</v>
      </c>
      <c r="D1207" t="s">
        <v>446</v>
      </c>
      <c r="E1207" t="s">
        <v>740</v>
      </c>
      <c r="F1207" t="s">
        <v>187</v>
      </c>
      <c r="G1207" s="1">
        <v>45908</v>
      </c>
      <c r="H1207" s="1">
        <v>45911</v>
      </c>
      <c r="I1207" s="2">
        <v>1456</v>
      </c>
      <c r="J1207" t="s">
        <v>779</v>
      </c>
      <c r="K1207" t="s">
        <v>800</v>
      </c>
      <c r="L1207" t="s">
        <v>823</v>
      </c>
      <c r="M1207" t="s">
        <v>830</v>
      </c>
      <c r="N1207" t="str">
        <f t="shared" si="54"/>
        <v>T-3</v>
      </c>
      <c r="O1207">
        <f t="shared" si="55"/>
        <v>2025</v>
      </c>
      <c r="P1207" t="str">
        <f t="shared" si="56"/>
        <v>9. septiembre</v>
      </c>
    </row>
    <row r="1208" spans="1:16" x14ac:dyDescent="0.35">
      <c r="A1208">
        <v>720897</v>
      </c>
      <c r="B1208" t="s">
        <v>2</v>
      </c>
      <c r="C1208" t="s">
        <v>138</v>
      </c>
      <c r="D1208" t="s">
        <v>447</v>
      </c>
      <c r="E1208" t="s">
        <v>740</v>
      </c>
      <c r="F1208" t="s">
        <v>187</v>
      </c>
      <c r="G1208" s="1">
        <v>45908</v>
      </c>
      <c r="H1208" s="1">
        <v>45911</v>
      </c>
      <c r="I1208" s="2">
        <v>1248</v>
      </c>
      <c r="J1208" t="s">
        <v>779</v>
      </c>
      <c r="K1208" t="s">
        <v>785</v>
      </c>
      <c r="L1208" t="s">
        <v>823</v>
      </c>
      <c r="M1208" t="s">
        <v>828</v>
      </c>
      <c r="N1208" t="str">
        <f t="shared" si="54"/>
        <v>T-3</v>
      </c>
      <c r="O1208">
        <f t="shared" si="55"/>
        <v>2025</v>
      </c>
      <c r="P1208" t="str">
        <f t="shared" si="56"/>
        <v>9. septiembre</v>
      </c>
    </row>
    <row r="1209" spans="1:16" x14ac:dyDescent="0.35">
      <c r="A1209">
        <v>515057</v>
      </c>
      <c r="B1209" t="s">
        <v>47</v>
      </c>
      <c r="C1209" t="s">
        <v>139</v>
      </c>
      <c r="D1209" t="s">
        <v>447</v>
      </c>
      <c r="E1209" t="s">
        <v>740</v>
      </c>
      <c r="F1209" t="s">
        <v>187</v>
      </c>
      <c r="G1209" s="1">
        <v>45908</v>
      </c>
      <c r="H1209" s="1">
        <v>45911</v>
      </c>
      <c r="I1209" s="2">
        <v>1664</v>
      </c>
      <c r="J1209" t="s">
        <v>779</v>
      </c>
      <c r="K1209" t="s">
        <v>789</v>
      </c>
      <c r="L1209" t="s">
        <v>823</v>
      </c>
      <c r="M1209" t="s">
        <v>828</v>
      </c>
      <c r="N1209" t="str">
        <f t="shared" si="54"/>
        <v>T-3</v>
      </c>
      <c r="O1209">
        <f t="shared" si="55"/>
        <v>2025</v>
      </c>
      <c r="P1209" t="str">
        <f t="shared" si="56"/>
        <v>9. septiembre</v>
      </c>
    </row>
    <row r="1210" spans="1:16" x14ac:dyDescent="0.35">
      <c r="A1210">
        <v>564473</v>
      </c>
      <c r="B1210" t="s">
        <v>117</v>
      </c>
      <c r="C1210" t="s">
        <v>140</v>
      </c>
      <c r="D1210" t="s">
        <v>452</v>
      </c>
      <c r="E1210" t="s">
        <v>740</v>
      </c>
      <c r="F1210" t="s">
        <v>187</v>
      </c>
      <c r="G1210" s="1">
        <v>45911</v>
      </c>
      <c r="H1210" s="1">
        <v>45916</v>
      </c>
      <c r="I1210" s="2">
        <v>1248</v>
      </c>
      <c r="J1210" t="s">
        <v>779</v>
      </c>
      <c r="K1210" t="s">
        <v>783</v>
      </c>
      <c r="L1210" t="s">
        <v>823</v>
      </c>
      <c r="M1210" t="s">
        <v>830</v>
      </c>
      <c r="N1210" t="str">
        <f t="shared" si="54"/>
        <v>T-3</v>
      </c>
      <c r="O1210">
        <f t="shared" si="55"/>
        <v>2025</v>
      </c>
      <c r="P1210" t="str">
        <f t="shared" si="56"/>
        <v>9. septiembre</v>
      </c>
    </row>
    <row r="1211" spans="1:16" x14ac:dyDescent="0.35">
      <c r="A1211">
        <v>706364</v>
      </c>
      <c r="B1211" t="s">
        <v>23</v>
      </c>
      <c r="C1211" t="s">
        <v>138</v>
      </c>
      <c r="D1211" t="s">
        <v>452</v>
      </c>
      <c r="E1211" t="s">
        <v>740</v>
      </c>
      <c r="F1211" t="s">
        <v>187</v>
      </c>
      <c r="G1211" s="1">
        <v>45911</v>
      </c>
      <c r="H1211" s="1">
        <v>45916</v>
      </c>
      <c r="I1211" s="2">
        <v>1040</v>
      </c>
      <c r="J1211" t="s">
        <v>779</v>
      </c>
      <c r="K1211" t="s">
        <v>783</v>
      </c>
      <c r="L1211" t="s">
        <v>824</v>
      </c>
      <c r="M1211" t="s">
        <v>829</v>
      </c>
      <c r="N1211" t="str">
        <f t="shared" si="54"/>
        <v>T-3</v>
      </c>
      <c r="O1211">
        <f t="shared" si="55"/>
        <v>2025</v>
      </c>
      <c r="P1211" t="str">
        <f t="shared" si="56"/>
        <v>9. septiembre</v>
      </c>
    </row>
    <row r="1212" spans="1:16" x14ac:dyDescent="0.35">
      <c r="A1212">
        <v>608679</v>
      </c>
      <c r="B1212" t="s">
        <v>13</v>
      </c>
      <c r="C1212" t="s">
        <v>138</v>
      </c>
      <c r="D1212" t="s">
        <v>446</v>
      </c>
      <c r="E1212" t="s">
        <v>740</v>
      </c>
      <c r="F1212" t="s">
        <v>187</v>
      </c>
      <c r="G1212" s="1">
        <v>45908</v>
      </c>
      <c r="H1212" s="1">
        <v>45911</v>
      </c>
      <c r="I1212" s="2">
        <v>208</v>
      </c>
      <c r="J1212" t="s">
        <v>779</v>
      </c>
      <c r="K1212" t="s">
        <v>783</v>
      </c>
      <c r="L1212" t="s">
        <v>823</v>
      </c>
      <c r="M1212" t="s">
        <v>830</v>
      </c>
      <c r="N1212" t="str">
        <f t="shared" si="54"/>
        <v>T-3</v>
      </c>
      <c r="O1212">
        <f t="shared" si="55"/>
        <v>2025</v>
      </c>
      <c r="P1212" t="str">
        <f t="shared" si="56"/>
        <v>9. septiembre</v>
      </c>
    </row>
    <row r="1213" spans="1:16" x14ac:dyDescent="0.35">
      <c r="A1213">
        <v>706892</v>
      </c>
      <c r="B1213" t="s">
        <v>25</v>
      </c>
      <c r="C1213" t="s">
        <v>138</v>
      </c>
      <c r="D1213" t="s">
        <v>447</v>
      </c>
      <c r="E1213" t="s">
        <v>740</v>
      </c>
      <c r="F1213" t="s">
        <v>187</v>
      </c>
      <c r="G1213" s="1">
        <v>45908</v>
      </c>
      <c r="H1213" s="1">
        <v>45911</v>
      </c>
      <c r="I1213" s="2">
        <v>208</v>
      </c>
      <c r="J1213" t="s">
        <v>779</v>
      </c>
      <c r="K1213" t="s">
        <v>783</v>
      </c>
      <c r="L1213" t="s">
        <v>823</v>
      </c>
      <c r="M1213" t="s">
        <v>830</v>
      </c>
      <c r="N1213" t="str">
        <f t="shared" si="54"/>
        <v>T-3</v>
      </c>
      <c r="O1213">
        <f t="shared" si="55"/>
        <v>2025</v>
      </c>
      <c r="P1213" t="str">
        <f t="shared" si="56"/>
        <v>9. septiembre</v>
      </c>
    </row>
    <row r="1214" spans="1:16" x14ac:dyDescent="0.35">
      <c r="A1214">
        <v>565919</v>
      </c>
      <c r="B1214" t="s">
        <v>5</v>
      </c>
      <c r="C1214" t="s">
        <v>138</v>
      </c>
      <c r="D1214" t="s">
        <v>447</v>
      </c>
      <c r="E1214" t="s">
        <v>740</v>
      </c>
      <c r="F1214" t="s">
        <v>188</v>
      </c>
      <c r="G1214" s="1">
        <v>45908</v>
      </c>
      <c r="H1214" s="1">
        <v>45911</v>
      </c>
      <c r="I1214" s="2">
        <v>208</v>
      </c>
      <c r="J1214" t="s">
        <v>779</v>
      </c>
      <c r="K1214" t="s">
        <v>783</v>
      </c>
      <c r="L1214" t="s">
        <v>823</v>
      </c>
      <c r="M1214" t="s">
        <v>828</v>
      </c>
      <c r="N1214" t="str">
        <f t="shared" si="54"/>
        <v>T-3</v>
      </c>
      <c r="O1214">
        <f t="shared" si="55"/>
        <v>2025</v>
      </c>
      <c r="P1214" t="str">
        <f t="shared" si="56"/>
        <v>9. septiembre</v>
      </c>
    </row>
    <row r="1215" spans="1:16" x14ac:dyDescent="0.35">
      <c r="A1215">
        <v>255480</v>
      </c>
      <c r="B1215" t="s">
        <v>13</v>
      </c>
      <c r="C1215" t="s">
        <v>138</v>
      </c>
      <c r="D1215" t="s">
        <v>452</v>
      </c>
      <c r="E1215" t="s">
        <v>740</v>
      </c>
      <c r="F1215" t="s">
        <v>188</v>
      </c>
      <c r="G1215" s="1">
        <v>45911</v>
      </c>
      <c r="H1215" s="1">
        <v>45916</v>
      </c>
      <c r="I1215" s="2">
        <v>416</v>
      </c>
      <c r="J1215" t="s">
        <v>779</v>
      </c>
      <c r="K1215" t="s">
        <v>783</v>
      </c>
      <c r="L1215" t="s">
        <v>823</v>
      </c>
      <c r="M1215" t="s">
        <v>828</v>
      </c>
      <c r="N1215" t="str">
        <f t="shared" si="54"/>
        <v>T-3</v>
      </c>
      <c r="O1215">
        <f t="shared" si="55"/>
        <v>2025</v>
      </c>
      <c r="P1215" t="str">
        <f t="shared" si="56"/>
        <v>9. septiembre</v>
      </c>
    </row>
    <row r="1216" spans="1:16" x14ac:dyDescent="0.35">
      <c r="A1216">
        <v>709148</v>
      </c>
      <c r="B1216" t="s">
        <v>30</v>
      </c>
      <c r="C1216" t="s">
        <v>138</v>
      </c>
      <c r="D1216" t="s">
        <v>436</v>
      </c>
      <c r="E1216" t="s">
        <v>737</v>
      </c>
      <c r="F1216" t="s">
        <v>187</v>
      </c>
      <c r="G1216" s="1">
        <v>45922</v>
      </c>
      <c r="H1216" s="1">
        <v>45926</v>
      </c>
      <c r="I1216" s="2">
        <v>325</v>
      </c>
      <c r="J1216" t="s">
        <v>776</v>
      </c>
      <c r="K1216" t="s">
        <v>783</v>
      </c>
      <c r="L1216" t="s">
        <v>823</v>
      </c>
      <c r="M1216" t="s">
        <v>829</v>
      </c>
      <c r="N1216" t="str">
        <f t="shared" si="54"/>
        <v>T-3</v>
      </c>
      <c r="O1216">
        <f t="shared" si="55"/>
        <v>2025</v>
      </c>
      <c r="P1216" t="str">
        <f t="shared" si="56"/>
        <v>9. septiembre</v>
      </c>
    </row>
    <row r="1217" spans="1:16" x14ac:dyDescent="0.35">
      <c r="A1217">
        <v>710807</v>
      </c>
      <c r="B1217" t="s">
        <v>83</v>
      </c>
      <c r="C1217" t="s">
        <v>141</v>
      </c>
      <c r="D1217" t="s">
        <v>518</v>
      </c>
      <c r="E1217" t="s">
        <v>737</v>
      </c>
      <c r="F1217" t="s">
        <v>187</v>
      </c>
      <c r="G1217" s="1">
        <v>45922</v>
      </c>
      <c r="H1217" s="1">
        <v>45926</v>
      </c>
      <c r="I1217" s="2">
        <v>555</v>
      </c>
      <c r="J1217" t="s">
        <v>776</v>
      </c>
      <c r="K1217" t="s">
        <v>783</v>
      </c>
      <c r="L1217" t="s">
        <v>823</v>
      </c>
      <c r="M1217" t="s">
        <v>830</v>
      </c>
      <c r="N1217" t="str">
        <f t="shared" si="54"/>
        <v>T-3</v>
      </c>
      <c r="O1217">
        <f t="shared" si="55"/>
        <v>2025</v>
      </c>
      <c r="P1217" t="str">
        <f t="shared" si="56"/>
        <v>9. septiembre</v>
      </c>
    </row>
    <row r="1218" spans="1:16" x14ac:dyDescent="0.35">
      <c r="A1218">
        <v>210463</v>
      </c>
      <c r="B1218" t="s">
        <v>113</v>
      </c>
      <c r="C1218" t="s">
        <v>139</v>
      </c>
      <c r="D1218" t="s">
        <v>518</v>
      </c>
      <c r="E1218" t="s">
        <v>737</v>
      </c>
      <c r="F1218" t="s">
        <v>187</v>
      </c>
      <c r="G1218" s="1">
        <v>45922</v>
      </c>
      <c r="H1218" s="1">
        <v>45926</v>
      </c>
      <c r="I1218" s="2">
        <v>3900</v>
      </c>
      <c r="J1218" t="s">
        <v>776</v>
      </c>
      <c r="K1218" t="s">
        <v>783</v>
      </c>
      <c r="L1218" t="s">
        <v>823</v>
      </c>
      <c r="M1218" t="s">
        <v>830</v>
      </c>
      <c r="N1218" t="str">
        <f t="shared" si="54"/>
        <v>T-3</v>
      </c>
      <c r="O1218">
        <f t="shared" si="55"/>
        <v>2025</v>
      </c>
      <c r="P1218" t="str">
        <f t="shared" si="56"/>
        <v>9. septiembre</v>
      </c>
    </row>
    <row r="1219" spans="1:16" x14ac:dyDescent="0.35">
      <c r="A1219">
        <v>478123</v>
      </c>
      <c r="B1219" t="s">
        <v>4</v>
      </c>
      <c r="C1219" t="s">
        <v>138</v>
      </c>
      <c r="D1219" t="s">
        <v>519</v>
      </c>
      <c r="E1219" t="s">
        <v>737</v>
      </c>
      <c r="F1219" t="s">
        <v>187</v>
      </c>
      <c r="G1219" s="1">
        <v>45922</v>
      </c>
      <c r="H1219" s="1">
        <v>45926</v>
      </c>
      <c r="I1219" s="2">
        <v>3250</v>
      </c>
      <c r="J1219" t="s">
        <v>776</v>
      </c>
      <c r="K1219" t="s">
        <v>783</v>
      </c>
      <c r="L1219" t="s">
        <v>824</v>
      </c>
      <c r="M1219" t="s">
        <v>828</v>
      </c>
      <c r="N1219" t="str">
        <f t="shared" ref="N1219:N1282" si="57">"T-" &amp; ROUNDUP((MONTH(G1219)/3), 0)</f>
        <v>T-3</v>
      </c>
      <c r="O1219">
        <f t="shared" ref="O1219:O1282" si="58">YEAR(G1219)</f>
        <v>2025</v>
      </c>
      <c r="P1219" t="str">
        <f t="shared" ref="P1219:P1282" si="59">MONTH(G1219) &amp; ". " &amp; TEXT(G1219, "MMMM")</f>
        <v>9. septiembre</v>
      </c>
    </row>
    <row r="1220" spans="1:16" x14ac:dyDescent="0.35">
      <c r="A1220">
        <v>422014</v>
      </c>
      <c r="B1220" t="s">
        <v>30</v>
      </c>
      <c r="C1220" t="s">
        <v>138</v>
      </c>
      <c r="D1220" t="s">
        <v>269</v>
      </c>
      <c r="E1220" t="s">
        <v>695</v>
      </c>
      <c r="F1220" t="s">
        <v>187</v>
      </c>
      <c r="G1220" s="1">
        <v>45915</v>
      </c>
      <c r="H1220" s="1">
        <v>45919</v>
      </c>
      <c r="I1220" s="2">
        <v>4160</v>
      </c>
      <c r="J1220" t="s">
        <v>776</v>
      </c>
      <c r="K1220" t="s">
        <v>783</v>
      </c>
      <c r="L1220" t="s">
        <v>823</v>
      </c>
      <c r="M1220" t="s">
        <v>830</v>
      </c>
      <c r="N1220" t="str">
        <f t="shared" si="57"/>
        <v>T-3</v>
      </c>
      <c r="O1220">
        <f t="shared" si="58"/>
        <v>2025</v>
      </c>
      <c r="P1220" t="str">
        <f t="shared" si="59"/>
        <v>9. septiembre</v>
      </c>
    </row>
    <row r="1221" spans="1:16" x14ac:dyDescent="0.35">
      <c r="A1221">
        <v>434039</v>
      </c>
      <c r="B1221" t="s">
        <v>30</v>
      </c>
      <c r="C1221" t="s">
        <v>138</v>
      </c>
      <c r="D1221" t="s">
        <v>520</v>
      </c>
      <c r="E1221" t="s">
        <v>695</v>
      </c>
      <c r="F1221" t="s">
        <v>187</v>
      </c>
      <c r="G1221" s="1">
        <v>45922</v>
      </c>
      <c r="H1221" s="1">
        <v>45926</v>
      </c>
      <c r="I1221" s="2">
        <v>2496</v>
      </c>
      <c r="J1221" t="s">
        <v>776</v>
      </c>
      <c r="K1221" t="s">
        <v>783</v>
      </c>
      <c r="L1221" t="s">
        <v>823</v>
      </c>
      <c r="M1221" t="s">
        <v>829</v>
      </c>
      <c r="N1221" t="str">
        <f t="shared" si="57"/>
        <v>T-3</v>
      </c>
      <c r="O1221">
        <f t="shared" si="58"/>
        <v>2025</v>
      </c>
      <c r="P1221" t="str">
        <f t="shared" si="59"/>
        <v>9. septiembre</v>
      </c>
    </row>
    <row r="1222" spans="1:16" x14ac:dyDescent="0.35">
      <c r="A1222">
        <v>499768</v>
      </c>
      <c r="B1222" t="s">
        <v>22</v>
      </c>
      <c r="C1222" t="s">
        <v>138</v>
      </c>
      <c r="D1222" t="s">
        <v>521</v>
      </c>
      <c r="E1222" t="s">
        <v>695</v>
      </c>
      <c r="F1222" t="s">
        <v>187</v>
      </c>
      <c r="G1222" s="1">
        <v>45915</v>
      </c>
      <c r="H1222" s="1">
        <v>45918</v>
      </c>
      <c r="I1222" s="2">
        <v>3120</v>
      </c>
      <c r="J1222" t="s">
        <v>776</v>
      </c>
      <c r="K1222" t="s">
        <v>783</v>
      </c>
      <c r="L1222" t="s">
        <v>823</v>
      </c>
      <c r="M1222" t="s">
        <v>830</v>
      </c>
      <c r="N1222" t="str">
        <f t="shared" si="57"/>
        <v>T-3</v>
      </c>
      <c r="O1222">
        <f t="shared" si="58"/>
        <v>2025</v>
      </c>
      <c r="P1222" t="str">
        <f t="shared" si="59"/>
        <v>9. septiembre</v>
      </c>
    </row>
    <row r="1223" spans="1:16" x14ac:dyDescent="0.35">
      <c r="A1223">
        <v>480368</v>
      </c>
      <c r="B1223" t="s">
        <v>5</v>
      </c>
      <c r="C1223" t="s">
        <v>138</v>
      </c>
      <c r="D1223" t="s">
        <v>175</v>
      </c>
      <c r="E1223" t="s">
        <v>695</v>
      </c>
      <c r="F1223" t="s">
        <v>187</v>
      </c>
      <c r="G1223" s="1">
        <v>45915</v>
      </c>
      <c r="H1223" s="1">
        <v>45919</v>
      </c>
      <c r="I1223" s="2">
        <v>2340</v>
      </c>
      <c r="J1223" t="s">
        <v>776</v>
      </c>
      <c r="K1223" t="s">
        <v>783</v>
      </c>
      <c r="L1223" t="s">
        <v>823</v>
      </c>
      <c r="M1223" t="s">
        <v>830</v>
      </c>
      <c r="N1223" t="str">
        <f t="shared" si="57"/>
        <v>T-3</v>
      </c>
      <c r="O1223">
        <f t="shared" si="58"/>
        <v>2025</v>
      </c>
      <c r="P1223" t="str">
        <f t="shared" si="59"/>
        <v>9. septiembre</v>
      </c>
    </row>
    <row r="1224" spans="1:16" x14ac:dyDescent="0.35">
      <c r="A1224">
        <v>608045</v>
      </c>
      <c r="B1224" t="s">
        <v>13</v>
      </c>
      <c r="C1224" t="s">
        <v>138</v>
      </c>
      <c r="D1224" t="s">
        <v>522</v>
      </c>
      <c r="E1224" t="s">
        <v>695</v>
      </c>
      <c r="F1224" t="s">
        <v>187</v>
      </c>
      <c r="G1224" s="1">
        <v>45922</v>
      </c>
      <c r="H1224" s="1">
        <v>45926</v>
      </c>
      <c r="I1224" s="2">
        <v>4290</v>
      </c>
      <c r="J1224" t="s">
        <v>776</v>
      </c>
      <c r="K1224" t="s">
        <v>785</v>
      </c>
      <c r="L1224" t="s">
        <v>823</v>
      </c>
      <c r="M1224" t="s">
        <v>828</v>
      </c>
      <c r="N1224" t="str">
        <f t="shared" si="57"/>
        <v>T-3</v>
      </c>
      <c r="O1224">
        <f t="shared" si="58"/>
        <v>2025</v>
      </c>
      <c r="P1224" t="str">
        <f t="shared" si="59"/>
        <v>9. septiembre</v>
      </c>
    </row>
    <row r="1225" spans="1:16" x14ac:dyDescent="0.35">
      <c r="A1225">
        <v>504199</v>
      </c>
      <c r="B1225" t="s">
        <v>19</v>
      </c>
      <c r="C1225" t="s">
        <v>138</v>
      </c>
      <c r="D1225" t="s">
        <v>523</v>
      </c>
      <c r="E1225" t="s">
        <v>695</v>
      </c>
      <c r="F1225" t="s">
        <v>187</v>
      </c>
      <c r="G1225" s="1">
        <v>45922</v>
      </c>
      <c r="H1225" s="1">
        <v>45925</v>
      </c>
      <c r="I1225" s="2">
        <v>2340</v>
      </c>
      <c r="J1225" t="s">
        <v>776</v>
      </c>
      <c r="K1225" t="s">
        <v>783</v>
      </c>
      <c r="L1225" t="s">
        <v>824</v>
      </c>
      <c r="M1225" t="s">
        <v>828</v>
      </c>
      <c r="N1225" t="str">
        <f t="shared" si="57"/>
        <v>T-3</v>
      </c>
      <c r="O1225">
        <f t="shared" si="58"/>
        <v>2025</v>
      </c>
      <c r="P1225" t="str">
        <f t="shared" si="59"/>
        <v>9. septiembre</v>
      </c>
    </row>
    <row r="1226" spans="1:16" x14ac:dyDescent="0.35">
      <c r="A1226">
        <v>484400</v>
      </c>
      <c r="B1226" t="s">
        <v>15</v>
      </c>
      <c r="C1226" t="s">
        <v>136</v>
      </c>
      <c r="D1226" t="s">
        <v>463</v>
      </c>
      <c r="E1226" t="s">
        <v>678</v>
      </c>
      <c r="F1226" t="s">
        <v>187</v>
      </c>
      <c r="G1226" s="1">
        <v>45922</v>
      </c>
      <c r="H1226" s="1">
        <v>45924</v>
      </c>
      <c r="I1226" s="2">
        <v>468</v>
      </c>
      <c r="J1226" t="s">
        <v>776</v>
      </c>
      <c r="K1226" t="s">
        <v>783</v>
      </c>
      <c r="L1226" t="s">
        <v>823</v>
      </c>
      <c r="M1226" t="s">
        <v>830</v>
      </c>
      <c r="N1226" t="str">
        <f t="shared" si="57"/>
        <v>T-3</v>
      </c>
      <c r="O1226">
        <f t="shared" si="58"/>
        <v>2025</v>
      </c>
      <c r="P1226" t="str">
        <f t="shared" si="59"/>
        <v>9. septiembre</v>
      </c>
    </row>
    <row r="1227" spans="1:16" x14ac:dyDescent="0.35">
      <c r="A1227">
        <v>560993</v>
      </c>
      <c r="B1227" t="s">
        <v>5</v>
      </c>
      <c r="C1227" t="s">
        <v>138</v>
      </c>
      <c r="D1227" t="s">
        <v>175</v>
      </c>
      <c r="E1227" t="s">
        <v>695</v>
      </c>
      <c r="F1227" t="s">
        <v>187</v>
      </c>
      <c r="G1227" s="1">
        <v>45915</v>
      </c>
      <c r="H1227" s="1">
        <v>45919</v>
      </c>
      <c r="I1227" s="2">
        <v>304</v>
      </c>
      <c r="J1227" t="s">
        <v>776</v>
      </c>
      <c r="K1227" t="s">
        <v>783</v>
      </c>
      <c r="L1227" t="s">
        <v>823</v>
      </c>
      <c r="M1227" t="s">
        <v>829</v>
      </c>
      <c r="N1227" t="str">
        <f t="shared" si="57"/>
        <v>T-3</v>
      </c>
      <c r="O1227">
        <f t="shared" si="58"/>
        <v>2025</v>
      </c>
      <c r="P1227" t="str">
        <f t="shared" si="59"/>
        <v>9. septiembre</v>
      </c>
    </row>
    <row r="1228" spans="1:16" x14ac:dyDescent="0.35">
      <c r="A1228">
        <v>447881</v>
      </c>
      <c r="B1228" t="s">
        <v>23</v>
      </c>
      <c r="C1228" t="s">
        <v>138</v>
      </c>
      <c r="D1228" t="s">
        <v>269</v>
      </c>
      <c r="E1228" t="s">
        <v>695</v>
      </c>
      <c r="F1228" t="s">
        <v>187</v>
      </c>
      <c r="G1228" s="1">
        <v>45915</v>
      </c>
      <c r="H1228" s="1">
        <v>45919</v>
      </c>
      <c r="I1228" s="2">
        <v>416</v>
      </c>
      <c r="J1228" t="s">
        <v>776</v>
      </c>
      <c r="K1228" t="s">
        <v>783</v>
      </c>
      <c r="L1228" t="s">
        <v>823</v>
      </c>
      <c r="M1228" t="s">
        <v>830</v>
      </c>
      <c r="N1228" t="str">
        <f t="shared" si="57"/>
        <v>T-3</v>
      </c>
      <c r="O1228">
        <f t="shared" si="58"/>
        <v>2025</v>
      </c>
      <c r="P1228" t="str">
        <f t="shared" si="59"/>
        <v>9. septiembre</v>
      </c>
    </row>
    <row r="1229" spans="1:16" x14ac:dyDescent="0.35">
      <c r="A1229">
        <v>496590</v>
      </c>
      <c r="B1229" t="s">
        <v>30</v>
      </c>
      <c r="C1229" t="s">
        <v>138</v>
      </c>
      <c r="D1229" t="s">
        <v>175</v>
      </c>
      <c r="E1229" t="s">
        <v>695</v>
      </c>
      <c r="F1229" t="s">
        <v>187</v>
      </c>
      <c r="G1229" s="1">
        <v>45915</v>
      </c>
      <c r="H1229" s="1">
        <v>45919</v>
      </c>
      <c r="I1229" s="2">
        <v>390</v>
      </c>
      <c r="J1229" t="s">
        <v>776</v>
      </c>
      <c r="K1229" t="s">
        <v>800</v>
      </c>
      <c r="L1229" t="s">
        <v>823</v>
      </c>
      <c r="M1229" t="s">
        <v>830</v>
      </c>
      <c r="N1229" t="str">
        <f t="shared" si="57"/>
        <v>T-3</v>
      </c>
      <c r="O1229">
        <f t="shared" si="58"/>
        <v>2025</v>
      </c>
      <c r="P1229" t="str">
        <f t="shared" si="59"/>
        <v>9. septiembre</v>
      </c>
    </row>
    <row r="1230" spans="1:16" x14ac:dyDescent="0.35">
      <c r="A1230">
        <v>491927</v>
      </c>
      <c r="B1230" t="s">
        <v>4</v>
      </c>
      <c r="C1230" t="s">
        <v>136</v>
      </c>
      <c r="D1230" t="s">
        <v>436</v>
      </c>
      <c r="E1230" t="s">
        <v>737</v>
      </c>
      <c r="F1230" t="s">
        <v>187</v>
      </c>
      <c r="G1230" s="1">
        <v>45922</v>
      </c>
      <c r="H1230" s="1">
        <v>45926</v>
      </c>
      <c r="I1230" s="2">
        <v>1300</v>
      </c>
      <c r="J1230" t="s">
        <v>776</v>
      </c>
      <c r="K1230" t="s">
        <v>783</v>
      </c>
      <c r="L1230" t="s">
        <v>823</v>
      </c>
      <c r="M1230" t="s">
        <v>828</v>
      </c>
      <c r="N1230" t="str">
        <f t="shared" si="57"/>
        <v>T-3</v>
      </c>
      <c r="O1230">
        <f t="shared" si="58"/>
        <v>2025</v>
      </c>
      <c r="P1230" t="str">
        <f t="shared" si="59"/>
        <v>9. septiembre</v>
      </c>
    </row>
    <row r="1231" spans="1:16" x14ac:dyDescent="0.35">
      <c r="A1231">
        <v>712391</v>
      </c>
      <c r="B1231" t="s">
        <v>56</v>
      </c>
      <c r="C1231" t="s">
        <v>138</v>
      </c>
      <c r="D1231" t="s">
        <v>518</v>
      </c>
      <c r="E1231" t="s">
        <v>737</v>
      </c>
      <c r="F1231" t="s">
        <v>187</v>
      </c>
      <c r="G1231" s="1">
        <v>45922</v>
      </c>
      <c r="H1231" s="1">
        <v>45926</v>
      </c>
      <c r="I1231" s="2">
        <v>780</v>
      </c>
      <c r="J1231" t="s">
        <v>776</v>
      </c>
      <c r="K1231" t="s">
        <v>783</v>
      </c>
      <c r="L1231" t="s">
        <v>823</v>
      </c>
      <c r="M1231" t="s">
        <v>828</v>
      </c>
      <c r="N1231" t="str">
        <f t="shared" si="57"/>
        <v>T-3</v>
      </c>
      <c r="O1231">
        <f t="shared" si="58"/>
        <v>2025</v>
      </c>
      <c r="P1231" t="str">
        <f t="shared" si="59"/>
        <v>9. septiembre</v>
      </c>
    </row>
    <row r="1232" spans="1:16" x14ac:dyDescent="0.35">
      <c r="A1232">
        <v>604045</v>
      </c>
      <c r="B1232" t="s">
        <v>13</v>
      </c>
      <c r="C1232" t="s">
        <v>138</v>
      </c>
      <c r="D1232" t="s">
        <v>435</v>
      </c>
      <c r="E1232" t="s">
        <v>737</v>
      </c>
      <c r="F1232" t="s">
        <v>187</v>
      </c>
      <c r="G1232" s="1">
        <v>45915</v>
      </c>
      <c r="H1232" s="1">
        <v>45918</v>
      </c>
      <c r="I1232" s="2">
        <v>416</v>
      </c>
      <c r="J1232" t="s">
        <v>776</v>
      </c>
      <c r="K1232" t="s">
        <v>783</v>
      </c>
      <c r="L1232" t="s">
        <v>824</v>
      </c>
      <c r="M1232" t="s">
        <v>829</v>
      </c>
      <c r="N1232" t="str">
        <f t="shared" si="57"/>
        <v>T-3</v>
      </c>
      <c r="O1232">
        <f t="shared" si="58"/>
        <v>2025</v>
      </c>
      <c r="P1232" t="str">
        <f t="shared" si="59"/>
        <v>9. septiembre</v>
      </c>
    </row>
    <row r="1233" spans="1:16" x14ac:dyDescent="0.35">
      <c r="A1233">
        <v>710308</v>
      </c>
      <c r="B1233" t="s">
        <v>23</v>
      </c>
      <c r="C1233" t="s">
        <v>141</v>
      </c>
      <c r="D1233" t="s">
        <v>519</v>
      </c>
      <c r="E1233" t="s">
        <v>737</v>
      </c>
      <c r="F1233" t="s">
        <v>188</v>
      </c>
      <c r="G1233" s="1">
        <v>45922</v>
      </c>
      <c r="H1233" s="1">
        <v>45926</v>
      </c>
      <c r="I1233" s="2">
        <v>2925</v>
      </c>
      <c r="J1233" t="s">
        <v>776</v>
      </c>
      <c r="K1233" t="s">
        <v>783</v>
      </c>
      <c r="L1233" t="s">
        <v>823</v>
      </c>
      <c r="M1233" t="s">
        <v>830</v>
      </c>
      <c r="N1233" t="str">
        <f t="shared" si="57"/>
        <v>T-3</v>
      </c>
      <c r="O1233">
        <f t="shared" si="58"/>
        <v>2025</v>
      </c>
      <c r="P1233" t="str">
        <f t="shared" si="59"/>
        <v>9. septiembre</v>
      </c>
    </row>
    <row r="1234" spans="1:16" x14ac:dyDescent="0.35">
      <c r="A1234">
        <v>403021</v>
      </c>
      <c r="B1234" t="s">
        <v>118</v>
      </c>
      <c r="C1234" t="s">
        <v>141</v>
      </c>
      <c r="D1234" t="s">
        <v>519</v>
      </c>
      <c r="E1234" t="s">
        <v>737</v>
      </c>
      <c r="F1234" t="s">
        <v>188</v>
      </c>
      <c r="G1234" s="1">
        <v>45922</v>
      </c>
      <c r="H1234" s="1">
        <v>45926</v>
      </c>
      <c r="I1234" s="2">
        <v>975</v>
      </c>
      <c r="J1234" t="s">
        <v>776</v>
      </c>
      <c r="K1234" t="s">
        <v>783</v>
      </c>
      <c r="L1234" t="s">
        <v>823</v>
      </c>
      <c r="M1234" t="s">
        <v>830</v>
      </c>
      <c r="N1234" t="str">
        <f t="shared" si="57"/>
        <v>T-3</v>
      </c>
      <c r="O1234">
        <f t="shared" si="58"/>
        <v>2025</v>
      </c>
      <c r="P1234" t="str">
        <f t="shared" si="59"/>
        <v>9. septiembre</v>
      </c>
    </row>
    <row r="1235" spans="1:16" x14ac:dyDescent="0.35">
      <c r="A1235">
        <v>408125</v>
      </c>
      <c r="B1235" t="s">
        <v>5</v>
      </c>
      <c r="C1235" t="s">
        <v>138</v>
      </c>
      <c r="D1235" t="s">
        <v>522</v>
      </c>
      <c r="E1235" t="s">
        <v>695</v>
      </c>
      <c r="F1235" t="s">
        <v>188</v>
      </c>
      <c r="G1235" s="1">
        <v>45922</v>
      </c>
      <c r="H1235" s="1">
        <v>45926</v>
      </c>
      <c r="I1235" s="2">
        <v>390</v>
      </c>
      <c r="J1235" t="s">
        <v>776</v>
      </c>
      <c r="K1235" t="s">
        <v>783</v>
      </c>
      <c r="L1235" t="s">
        <v>823</v>
      </c>
      <c r="M1235" t="s">
        <v>828</v>
      </c>
      <c r="N1235" t="str">
        <f t="shared" si="57"/>
        <v>T-3</v>
      </c>
      <c r="O1235">
        <f t="shared" si="58"/>
        <v>2025</v>
      </c>
      <c r="P1235" t="str">
        <f t="shared" si="59"/>
        <v>9. septiembre</v>
      </c>
    </row>
    <row r="1236" spans="1:16" x14ac:dyDescent="0.35">
      <c r="A1236">
        <v>703461</v>
      </c>
      <c r="B1236" t="s">
        <v>30</v>
      </c>
      <c r="C1236" t="s">
        <v>138</v>
      </c>
      <c r="D1236" t="s">
        <v>436</v>
      </c>
      <c r="E1236" t="s">
        <v>737</v>
      </c>
      <c r="F1236" t="s">
        <v>187</v>
      </c>
      <c r="G1236" s="1">
        <v>45922</v>
      </c>
      <c r="H1236" s="1">
        <v>45926</v>
      </c>
      <c r="I1236" s="2">
        <v>325</v>
      </c>
      <c r="J1236" t="s">
        <v>776</v>
      </c>
      <c r="K1236" t="s">
        <v>783</v>
      </c>
      <c r="L1236" t="s">
        <v>823</v>
      </c>
      <c r="M1236" t="s">
        <v>830</v>
      </c>
      <c r="N1236" t="str">
        <f t="shared" si="57"/>
        <v>T-3</v>
      </c>
      <c r="O1236">
        <f t="shared" si="58"/>
        <v>2025</v>
      </c>
      <c r="P1236" t="str">
        <f t="shared" si="59"/>
        <v>9. septiembre</v>
      </c>
    </row>
    <row r="1237" spans="1:16" x14ac:dyDescent="0.35">
      <c r="A1237">
        <v>428360</v>
      </c>
      <c r="B1237" t="s">
        <v>27</v>
      </c>
      <c r="C1237" t="s">
        <v>138</v>
      </c>
      <c r="D1237" t="s">
        <v>324</v>
      </c>
      <c r="E1237" t="s">
        <v>711</v>
      </c>
      <c r="F1237" t="s">
        <v>773</v>
      </c>
      <c r="G1237" s="1">
        <v>45931</v>
      </c>
      <c r="H1237" s="1">
        <v>46010</v>
      </c>
      <c r="I1237" s="2">
        <v>337</v>
      </c>
      <c r="J1237" t="s">
        <v>778</v>
      </c>
      <c r="K1237" t="s">
        <v>783</v>
      </c>
      <c r="L1237" t="s">
        <v>823</v>
      </c>
      <c r="M1237" t="s">
        <v>829</v>
      </c>
      <c r="N1237" t="str">
        <f t="shared" si="57"/>
        <v>T-4</v>
      </c>
      <c r="O1237">
        <f t="shared" si="58"/>
        <v>2025</v>
      </c>
      <c r="P1237" t="str">
        <f t="shared" si="59"/>
        <v>10. octubre</v>
      </c>
    </row>
    <row r="1238" spans="1:16" x14ac:dyDescent="0.35">
      <c r="A1238">
        <v>437975</v>
      </c>
      <c r="B1238" t="s">
        <v>46</v>
      </c>
      <c r="C1238" t="s">
        <v>138</v>
      </c>
      <c r="D1238" t="s">
        <v>304</v>
      </c>
      <c r="E1238" t="s">
        <v>750</v>
      </c>
      <c r="F1238" t="s">
        <v>773</v>
      </c>
      <c r="G1238" s="1">
        <v>45927</v>
      </c>
      <c r="H1238" s="1">
        <v>45961</v>
      </c>
      <c r="I1238" s="2">
        <v>1997</v>
      </c>
      <c r="J1238" t="s">
        <v>779</v>
      </c>
      <c r="K1238" t="s">
        <v>789</v>
      </c>
      <c r="L1238" t="s">
        <v>823</v>
      </c>
      <c r="M1238" t="s">
        <v>830</v>
      </c>
      <c r="N1238" t="str">
        <f t="shared" si="57"/>
        <v>T-3</v>
      </c>
      <c r="O1238">
        <f t="shared" si="58"/>
        <v>2025</v>
      </c>
      <c r="P1238" t="str">
        <f t="shared" si="59"/>
        <v>9. septiembre</v>
      </c>
    </row>
    <row r="1239" spans="1:16" x14ac:dyDescent="0.35">
      <c r="A1239">
        <v>717711</v>
      </c>
      <c r="B1239" t="s">
        <v>27</v>
      </c>
      <c r="C1239" t="s">
        <v>138</v>
      </c>
      <c r="D1239" t="s">
        <v>378</v>
      </c>
      <c r="E1239" t="s">
        <v>652</v>
      </c>
      <c r="F1239" t="s">
        <v>187</v>
      </c>
      <c r="G1239" s="1">
        <v>45915</v>
      </c>
      <c r="H1239" s="1">
        <v>45918</v>
      </c>
      <c r="I1239" s="2">
        <v>624</v>
      </c>
      <c r="J1239" t="s">
        <v>776</v>
      </c>
      <c r="K1239" t="s">
        <v>783</v>
      </c>
      <c r="L1239" t="s">
        <v>823</v>
      </c>
      <c r="M1239" t="s">
        <v>830</v>
      </c>
      <c r="N1239" t="str">
        <f t="shared" si="57"/>
        <v>T-3</v>
      </c>
      <c r="O1239">
        <f t="shared" si="58"/>
        <v>2025</v>
      </c>
      <c r="P1239" t="str">
        <f t="shared" si="59"/>
        <v>9. septiembre</v>
      </c>
    </row>
    <row r="1240" spans="1:16" x14ac:dyDescent="0.35">
      <c r="A1240">
        <v>459199</v>
      </c>
      <c r="B1240" t="s">
        <v>119</v>
      </c>
      <c r="C1240" t="s">
        <v>139</v>
      </c>
      <c r="D1240" t="s">
        <v>378</v>
      </c>
      <c r="E1240" t="s">
        <v>652</v>
      </c>
      <c r="F1240" t="s">
        <v>187</v>
      </c>
      <c r="G1240" s="1">
        <v>45915</v>
      </c>
      <c r="H1240" s="1">
        <v>45918</v>
      </c>
      <c r="I1240" s="2">
        <v>208</v>
      </c>
      <c r="J1240" t="s">
        <v>776</v>
      </c>
      <c r="K1240" t="s">
        <v>783</v>
      </c>
      <c r="L1240" t="s">
        <v>824</v>
      </c>
      <c r="M1240" t="s">
        <v>828</v>
      </c>
      <c r="N1240" t="str">
        <f t="shared" si="57"/>
        <v>T-3</v>
      </c>
      <c r="O1240">
        <f t="shared" si="58"/>
        <v>2025</v>
      </c>
      <c r="P1240" t="str">
        <f t="shared" si="59"/>
        <v>9. septiembre</v>
      </c>
    </row>
    <row r="1241" spans="1:16" x14ac:dyDescent="0.35">
      <c r="A1241">
        <v>719051</v>
      </c>
      <c r="B1241" t="s">
        <v>8</v>
      </c>
      <c r="C1241" t="s">
        <v>139</v>
      </c>
      <c r="D1241" t="s">
        <v>378</v>
      </c>
      <c r="E1241" t="s">
        <v>652</v>
      </c>
      <c r="F1241" t="s">
        <v>187</v>
      </c>
      <c r="G1241" s="1">
        <v>45922</v>
      </c>
      <c r="H1241" s="1">
        <v>45925</v>
      </c>
      <c r="I1241" s="2">
        <v>832</v>
      </c>
      <c r="J1241" t="s">
        <v>776</v>
      </c>
      <c r="K1241" t="s">
        <v>783</v>
      </c>
      <c r="L1241" t="s">
        <v>823</v>
      </c>
      <c r="M1241" t="s">
        <v>828</v>
      </c>
      <c r="N1241" t="str">
        <f t="shared" si="57"/>
        <v>T-3</v>
      </c>
      <c r="O1241">
        <f t="shared" si="58"/>
        <v>2025</v>
      </c>
      <c r="P1241" t="str">
        <f t="shared" si="59"/>
        <v>9. septiembre</v>
      </c>
    </row>
    <row r="1242" spans="1:16" x14ac:dyDescent="0.35">
      <c r="A1242">
        <v>483838</v>
      </c>
      <c r="B1242" t="s">
        <v>32</v>
      </c>
      <c r="C1242" t="s">
        <v>138</v>
      </c>
      <c r="D1242" t="s">
        <v>525</v>
      </c>
      <c r="E1242" t="s">
        <v>657</v>
      </c>
      <c r="F1242" t="s">
        <v>187</v>
      </c>
      <c r="G1242" s="1">
        <v>45924</v>
      </c>
      <c r="H1242" s="1">
        <v>45925</v>
      </c>
      <c r="I1242" s="2">
        <v>3800</v>
      </c>
      <c r="J1242" t="s">
        <v>779</v>
      </c>
      <c r="K1242" t="s">
        <v>783</v>
      </c>
      <c r="L1242" t="s">
        <v>823</v>
      </c>
      <c r="M1242" t="s">
        <v>830</v>
      </c>
      <c r="N1242" t="str">
        <f t="shared" si="57"/>
        <v>T-3</v>
      </c>
      <c r="O1242">
        <f t="shared" si="58"/>
        <v>2025</v>
      </c>
      <c r="P1242" t="str">
        <f t="shared" si="59"/>
        <v>9. septiembre</v>
      </c>
    </row>
    <row r="1243" spans="1:16" x14ac:dyDescent="0.35">
      <c r="A1243">
        <v>564400</v>
      </c>
      <c r="B1243" t="s">
        <v>45</v>
      </c>
      <c r="C1243" t="s">
        <v>139</v>
      </c>
      <c r="D1243" t="s">
        <v>378</v>
      </c>
      <c r="E1243" t="s">
        <v>652</v>
      </c>
      <c r="F1243" t="s">
        <v>187</v>
      </c>
      <c r="G1243" s="1">
        <v>45915</v>
      </c>
      <c r="H1243" s="1">
        <v>45918</v>
      </c>
      <c r="I1243" s="2">
        <v>208</v>
      </c>
      <c r="J1243" t="s">
        <v>776</v>
      </c>
      <c r="K1243" t="s">
        <v>783</v>
      </c>
      <c r="L1243" t="s">
        <v>823</v>
      </c>
      <c r="M1243" t="s">
        <v>829</v>
      </c>
      <c r="N1243" t="str">
        <f t="shared" si="57"/>
        <v>T-3</v>
      </c>
      <c r="O1243">
        <f t="shared" si="58"/>
        <v>2025</v>
      </c>
      <c r="P1243" t="str">
        <f t="shared" si="59"/>
        <v>9. septiembre</v>
      </c>
    </row>
    <row r="1244" spans="1:16" x14ac:dyDescent="0.35">
      <c r="A1244">
        <v>715649</v>
      </c>
      <c r="B1244" t="s">
        <v>30</v>
      </c>
      <c r="C1244" t="s">
        <v>138</v>
      </c>
      <c r="D1244" t="s">
        <v>378</v>
      </c>
      <c r="E1244" t="s">
        <v>652</v>
      </c>
      <c r="F1244" t="s">
        <v>187</v>
      </c>
      <c r="G1244" s="1">
        <v>45915</v>
      </c>
      <c r="H1244" s="1">
        <v>45918</v>
      </c>
      <c r="I1244" s="2">
        <v>624</v>
      </c>
      <c r="J1244" t="s">
        <v>776</v>
      </c>
      <c r="K1244" t="s">
        <v>783</v>
      </c>
      <c r="L1244" t="s">
        <v>823</v>
      </c>
      <c r="M1244" t="s">
        <v>830</v>
      </c>
      <c r="N1244" t="str">
        <f t="shared" si="57"/>
        <v>T-3</v>
      </c>
      <c r="O1244">
        <f t="shared" si="58"/>
        <v>2025</v>
      </c>
      <c r="P1244" t="str">
        <f t="shared" si="59"/>
        <v>9. septiembre</v>
      </c>
    </row>
    <row r="1245" spans="1:16" x14ac:dyDescent="0.35">
      <c r="A1245">
        <v>720003</v>
      </c>
      <c r="B1245" t="s">
        <v>4</v>
      </c>
      <c r="C1245" t="s">
        <v>136</v>
      </c>
      <c r="D1245" t="s">
        <v>378</v>
      </c>
      <c r="E1245" t="s">
        <v>652</v>
      </c>
      <c r="F1245" t="s">
        <v>187</v>
      </c>
      <c r="G1245" s="1">
        <v>45922</v>
      </c>
      <c r="H1245" s="1">
        <v>45925</v>
      </c>
      <c r="I1245" s="2">
        <v>208</v>
      </c>
      <c r="J1245" t="s">
        <v>776</v>
      </c>
      <c r="K1245" t="s">
        <v>800</v>
      </c>
      <c r="L1245" t="s">
        <v>823</v>
      </c>
      <c r="M1245" t="s">
        <v>830</v>
      </c>
      <c r="N1245" t="str">
        <f t="shared" si="57"/>
        <v>T-3</v>
      </c>
      <c r="O1245">
        <f t="shared" si="58"/>
        <v>2025</v>
      </c>
      <c r="P1245" t="str">
        <f t="shared" si="59"/>
        <v>9. septiembre</v>
      </c>
    </row>
    <row r="1246" spans="1:16" x14ac:dyDescent="0.35">
      <c r="A1246">
        <v>719878</v>
      </c>
      <c r="B1246" t="s">
        <v>20</v>
      </c>
      <c r="C1246" t="s">
        <v>136</v>
      </c>
      <c r="D1246" t="s">
        <v>378</v>
      </c>
      <c r="E1246" t="s">
        <v>652</v>
      </c>
      <c r="F1246" t="s">
        <v>187</v>
      </c>
      <c r="G1246" s="1">
        <v>45915</v>
      </c>
      <c r="H1246" s="1">
        <v>45918</v>
      </c>
      <c r="I1246" s="2">
        <v>416</v>
      </c>
      <c r="J1246" t="s">
        <v>776</v>
      </c>
      <c r="K1246" t="s">
        <v>789</v>
      </c>
      <c r="L1246" t="s">
        <v>824</v>
      </c>
      <c r="M1246" t="s">
        <v>828</v>
      </c>
      <c r="N1246" t="str">
        <f t="shared" si="57"/>
        <v>T-3</v>
      </c>
      <c r="O1246">
        <f t="shared" si="58"/>
        <v>2025</v>
      </c>
      <c r="P1246" t="str">
        <f t="shared" si="59"/>
        <v>9. septiembre</v>
      </c>
    </row>
    <row r="1247" spans="1:16" x14ac:dyDescent="0.35">
      <c r="A1247">
        <v>485439</v>
      </c>
      <c r="B1247" t="s">
        <v>30</v>
      </c>
      <c r="C1247" t="s">
        <v>138</v>
      </c>
      <c r="D1247" t="s">
        <v>169</v>
      </c>
      <c r="E1247" t="s">
        <v>658</v>
      </c>
      <c r="F1247" t="s">
        <v>187</v>
      </c>
      <c r="G1247" s="1">
        <v>45922</v>
      </c>
      <c r="H1247" s="1">
        <v>45925</v>
      </c>
      <c r="I1247" s="2">
        <v>2184</v>
      </c>
      <c r="J1247" t="s">
        <v>774</v>
      </c>
      <c r="K1247" t="s">
        <v>800</v>
      </c>
      <c r="L1247" t="s">
        <v>823</v>
      </c>
      <c r="M1247" t="s">
        <v>828</v>
      </c>
      <c r="N1247" t="str">
        <f t="shared" si="57"/>
        <v>T-3</v>
      </c>
      <c r="O1247">
        <f t="shared" si="58"/>
        <v>2025</v>
      </c>
      <c r="P1247" t="str">
        <f t="shared" si="59"/>
        <v>9. septiembre</v>
      </c>
    </row>
    <row r="1248" spans="1:16" x14ac:dyDescent="0.35">
      <c r="A1248">
        <v>456251</v>
      </c>
      <c r="B1248" t="s">
        <v>30</v>
      </c>
      <c r="C1248" t="s">
        <v>138</v>
      </c>
      <c r="D1248" t="s">
        <v>169</v>
      </c>
      <c r="E1248" t="s">
        <v>658</v>
      </c>
      <c r="F1248" t="s">
        <v>187</v>
      </c>
      <c r="G1248" s="1">
        <v>45922</v>
      </c>
      <c r="H1248" s="1">
        <v>45925</v>
      </c>
      <c r="I1248" s="2">
        <v>312</v>
      </c>
      <c r="J1248" t="s">
        <v>774</v>
      </c>
      <c r="K1248" t="s">
        <v>783</v>
      </c>
      <c r="L1248" t="s">
        <v>823</v>
      </c>
      <c r="M1248" t="s">
        <v>829</v>
      </c>
      <c r="N1248" t="str">
        <f t="shared" si="57"/>
        <v>T-3</v>
      </c>
      <c r="O1248">
        <f t="shared" si="58"/>
        <v>2025</v>
      </c>
      <c r="P1248" t="str">
        <f t="shared" si="59"/>
        <v>9. septiembre</v>
      </c>
    </row>
    <row r="1249" spans="1:16" x14ac:dyDescent="0.35">
      <c r="A1249">
        <v>466843</v>
      </c>
      <c r="B1249" t="s">
        <v>50</v>
      </c>
      <c r="C1249" t="s">
        <v>139</v>
      </c>
      <c r="D1249" t="s">
        <v>169</v>
      </c>
      <c r="E1249" t="s">
        <v>658</v>
      </c>
      <c r="F1249" t="s">
        <v>187</v>
      </c>
      <c r="G1249" s="1">
        <v>45922</v>
      </c>
      <c r="H1249" s="1">
        <v>45925</v>
      </c>
      <c r="I1249" s="2">
        <v>936</v>
      </c>
      <c r="J1249" t="s">
        <v>776</v>
      </c>
      <c r="K1249" t="s">
        <v>783</v>
      </c>
      <c r="L1249" t="s">
        <v>823</v>
      </c>
      <c r="M1249" t="s">
        <v>830</v>
      </c>
      <c r="N1249" t="str">
        <f t="shared" si="57"/>
        <v>T-3</v>
      </c>
      <c r="O1249">
        <f t="shared" si="58"/>
        <v>2025</v>
      </c>
      <c r="P1249" t="str">
        <f t="shared" si="59"/>
        <v>9. septiembre</v>
      </c>
    </row>
    <row r="1250" spans="1:16" x14ac:dyDescent="0.35">
      <c r="A1250">
        <v>403308</v>
      </c>
      <c r="B1250" t="s">
        <v>92</v>
      </c>
      <c r="C1250" t="s">
        <v>139</v>
      </c>
      <c r="D1250" t="s">
        <v>169</v>
      </c>
      <c r="E1250" t="s">
        <v>658</v>
      </c>
      <c r="F1250" t="s">
        <v>187</v>
      </c>
      <c r="G1250" s="1">
        <v>45922</v>
      </c>
      <c r="H1250" s="1">
        <v>45925</v>
      </c>
      <c r="I1250" s="2">
        <v>4056</v>
      </c>
      <c r="J1250" t="s">
        <v>776</v>
      </c>
      <c r="K1250" t="s">
        <v>783</v>
      </c>
      <c r="L1250" t="s">
        <v>823</v>
      </c>
      <c r="M1250" t="s">
        <v>830</v>
      </c>
      <c r="N1250" t="str">
        <f t="shared" si="57"/>
        <v>T-3</v>
      </c>
      <c r="O1250">
        <f t="shared" si="58"/>
        <v>2025</v>
      </c>
      <c r="P1250" t="str">
        <f t="shared" si="59"/>
        <v>9. septiembre</v>
      </c>
    </row>
    <row r="1251" spans="1:16" x14ac:dyDescent="0.35">
      <c r="A1251">
        <v>611273</v>
      </c>
      <c r="B1251" t="s">
        <v>13</v>
      </c>
      <c r="C1251" t="s">
        <v>138</v>
      </c>
      <c r="D1251" t="s">
        <v>169</v>
      </c>
      <c r="E1251" t="s">
        <v>658</v>
      </c>
      <c r="F1251" t="s">
        <v>187</v>
      </c>
      <c r="G1251" s="1">
        <v>45922</v>
      </c>
      <c r="H1251" s="1">
        <v>45925</v>
      </c>
      <c r="I1251" s="2">
        <v>312</v>
      </c>
      <c r="J1251" t="s">
        <v>774</v>
      </c>
      <c r="K1251" t="s">
        <v>783</v>
      </c>
      <c r="L1251" t="s">
        <v>823</v>
      </c>
      <c r="M1251" t="s">
        <v>828</v>
      </c>
      <c r="N1251" t="str">
        <f t="shared" si="57"/>
        <v>T-3</v>
      </c>
      <c r="O1251">
        <f t="shared" si="58"/>
        <v>2025</v>
      </c>
      <c r="P1251" t="str">
        <f t="shared" si="59"/>
        <v>9. septiembre</v>
      </c>
    </row>
    <row r="1252" spans="1:16" x14ac:dyDescent="0.35">
      <c r="A1252">
        <v>474377</v>
      </c>
      <c r="B1252" t="s">
        <v>43</v>
      </c>
      <c r="C1252" t="s">
        <v>138</v>
      </c>
      <c r="D1252" t="s">
        <v>526</v>
      </c>
      <c r="E1252" t="s">
        <v>678</v>
      </c>
      <c r="F1252" t="s">
        <v>187</v>
      </c>
      <c r="G1252" s="1">
        <v>45922</v>
      </c>
      <c r="H1252" s="1">
        <v>45926</v>
      </c>
      <c r="I1252" s="2">
        <v>325</v>
      </c>
      <c r="J1252" t="s">
        <v>776</v>
      </c>
      <c r="K1252" t="s">
        <v>783</v>
      </c>
      <c r="L1252" t="s">
        <v>823</v>
      </c>
      <c r="M1252" t="s">
        <v>830</v>
      </c>
      <c r="N1252" t="str">
        <f t="shared" si="57"/>
        <v>T-3</v>
      </c>
      <c r="O1252">
        <f t="shared" si="58"/>
        <v>2025</v>
      </c>
      <c r="P1252" t="str">
        <f t="shared" si="59"/>
        <v>9. septiembre</v>
      </c>
    </row>
    <row r="1253" spans="1:16" x14ac:dyDescent="0.35">
      <c r="A1253">
        <v>402219</v>
      </c>
      <c r="B1253" t="s">
        <v>101</v>
      </c>
      <c r="C1253" t="s">
        <v>137</v>
      </c>
      <c r="D1253" t="s">
        <v>458</v>
      </c>
      <c r="E1253" t="s">
        <v>678</v>
      </c>
      <c r="F1253" t="s">
        <v>187</v>
      </c>
      <c r="G1253" s="1">
        <v>45915</v>
      </c>
      <c r="H1253" s="1">
        <v>45917</v>
      </c>
      <c r="I1253" s="2">
        <v>2730</v>
      </c>
      <c r="J1253" t="s">
        <v>776</v>
      </c>
      <c r="K1253" t="s">
        <v>783</v>
      </c>
      <c r="L1253" t="s">
        <v>824</v>
      </c>
      <c r="M1253" t="s">
        <v>829</v>
      </c>
      <c r="N1253" t="str">
        <f t="shared" si="57"/>
        <v>T-3</v>
      </c>
      <c r="O1253">
        <f t="shared" si="58"/>
        <v>2025</v>
      </c>
      <c r="P1253" t="str">
        <f t="shared" si="59"/>
        <v>9. septiembre</v>
      </c>
    </row>
    <row r="1254" spans="1:16" x14ac:dyDescent="0.35">
      <c r="A1254">
        <v>712855</v>
      </c>
      <c r="B1254" t="s">
        <v>79</v>
      </c>
      <c r="C1254" t="s">
        <v>137</v>
      </c>
      <c r="D1254" t="s">
        <v>458</v>
      </c>
      <c r="E1254" t="s">
        <v>678</v>
      </c>
      <c r="F1254" t="s">
        <v>187</v>
      </c>
      <c r="G1254" s="1">
        <v>45915</v>
      </c>
      <c r="H1254" s="1">
        <v>45917</v>
      </c>
      <c r="I1254" s="2">
        <v>1365</v>
      </c>
      <c r="J1254" t="s">
        <v>776</v>
      </c>
      <c r="K1254" t="s">
        <v>783</v>
      </c>
      <c r="L1254" t="s">
        <v>823</v>
      </c>
      <c r="M1254" t="s">
        <v>830</v>
      </c>
      <c r="N1254" t="str">
        <f t="shared" si="57"/>
        <v>T-3</v>
      </c>
      <c r="O1254">
        <f t="shared" si="58"/>
        <v>2025</v>
      </c>
      <c r="P1254" t="str">
        <f t="shared" si="59"/>
        <v>9. septiembre</v>
      </c>
    </row>
    <row r="1255" spans="1:16" x14ac:dyDescent="0.35">
      <c r="A1255">
        <v>210170</v>
      </c>
      <c r="B1255" t="s">
        <v>23</v>
      </c>
      <c r="C1255" t="s">
        <v>139</v>
      </c>
      <c r="D1255" t="s">
        <v>526</v>
      </c>
      <c r="E1255" t="s">
        <v>678</v>
      </c>
      <c r="F1255" t="s">
        <v>187</v>
      </c>
      <c r="G1255" s="1">
        <v>45922</v>
      </c>
      <c r="H1255" s="1">
        <v>45926</v>
      </c>
      <c r="I1255" s="2">
        <v>975</v>
      </c>
      <c r="J1255" t="s">
        <v>776</v>
      </c>
      <c r="K1255" t="s">
        <v>783</v>
      </c>
      <c r="L1255" t="s">
        <v>823</v>
      </c>
      <c r="M1255" t="s">
        <v>830</v>
      </c>
      <c r="N1255" t="str">
        <f t="shared" si="57"/>
        <v>T-3</v>
      </c>
      <c r="O1255">
        <f t="shared" si="58"/>
        <v>2025</v>
      </c>
      <c r="P1255" t="str">
        <f t="shared" si="59"/>
        <v>9. septiembre</v>
      </c>
    </row>
    <row r="1256" spans="1:16" x14ac:dyDescent="0.35">
      <c r="A1256">
        <v>401325</v>
      </c>
      <c r="B1256" t="s">
        <v>32</v>
      </c>
      <c r="C1256" t="s">
        <v>141</v>
      </c>
      <c r="D1256" t="s">
        <v>526</v>
      </c>
      <c r="E1256" t="s">
        <v>678</v>
      </c>
      <c r="F1256" t="s">
        <v>187</v>
      </c>
      <c r="G1256" s="1">
        <v>45922</v>
      </c>
      <c r="H1256" s="1">
        <v>45926</v>
      </c>
      <c r="I1256" s="2">
        <v>2275</v>
      </c>
      <c r="J1256" t="s">
        <v>776</v>
      </c>
      <c r="K1256" t="s">
        <v>783</v>
      </c>
      <c r="L1256" t="s">
        <v>823</v>
      </c>
      <c r="M1256" t="s">
        <v>828</v>
      </c>
      <c r="N1256" t="str">
        <f t="shared" si="57"/>
        <v>T-3</v>
      </c>
      <c r="O1256">
        <f t="shared" si="58"/>
        <v>2025</v>
      </c>
      <c r="P1256" t="str">
        <f t="shared" si="59"/>
        <v>9. septiembre</v>
      </c>
    </row>
    <row r="1257" spans="1:16" x14ac:dyDescent="0.35">
      <c r="A1257">
        <v>722650</v>
      </c>
      <c r="B1257" t="s">
        <v>63</v>
      </c>
      <c r="C1257" t="s">
        <v>136</v>
      </c>
      <c r="D1257" t="s">
        <v>459</v>
      </c>
      <c r="E1257" t="s">
        <v>678</v>
      </c>
      <c r="F1257" t="s">
        <v>187</v>
      </c>
      <c r="G1257" s="1">
        <v>45925</v>
      </c>
      <c r="H1257" s="1">
        <v>45926</v>
      </c>
      <c r="I1257" s="2">
        <v>780</v>
      </c>
      <c r="J1257" t="s">
        <v>776</v>
      </c>
      <c r="K1257" t="s">
        <v>783</v>
      </c>
      <c r="L1257" t="s">
        <v>823</v>
      </c>
      <c r="M1257" t="s">
        <v>828</v>
      </c>
      <c r="N1257" t="str">
        <f t="shared" si="57"/>
        <v>T-3</v>
      </c>
      <c r="O1257">
        <f t="shared" si="58"/>
        <v>2025</v>
      </c>
      <c r="P1257" t="str">
        <f t="shared" si="59"/>
        <v>9. septiembre</v>
      </c>
    </row>
    <row r="1258" spans="1:16" x14ac:dyDescent="0.35">
      <c r="A1258">
        <v>484856</v>
      </c>
      <c r="B1258" t="s">
        <v>22</v>
      </c>
      <c r="C1258" t="s">
        <v>138</v>
      </c>
      <c r="D1258" t="s">
        <v>459</v>
      </c>
      <c r="E1258" t="s">
        <v>678</v>
      </c>
      <c r="F1258" t="s">
        <v>187</v>
      </c>
      <c r="G1258" s="1">
        <v>45925</v>
      </c>
      <c r="H1258" s="1">
        <v>45926</v>
      </c>
      <c r="I1258" s="2">
        <v>1430</v>
      </c>
      <c r="J1258" t="s">
        <v>776</v>
      </c>
      <c r="K1258" t="s">
        <v>783</v>
      </c>
      <c r="L1258" t="s">
        <v>823</v>
      </c>
      <c r="M1258" t="s">
        <v>830</v>
      </c>
      <c r="N1258" t="str">
        <f t="shared" si="57"/>
        <v>T-3</v>
      </c>
      <c r="O1258">
        <f t="shared" si="58"/>
        <v>2025</v>
      </c>
      <c r="P1258" t="str">
        <f t="shared" si="59"/>
        <v>9. septiembre</v>
      </c>
    </row>
    <row r="1259" spans="1:16" x14ac:dyDescent="0.35">
      <c r="A1259">
        <v>712169</v>
      </c>
      <c r="B1259" t="s">
        <v>4</v>
      </c>
      <c r="C1259" t="s">
        <v>138</v>
      </c>
      <c r="D1259" t="s">
        <v>527</v>
      </c>
      <c r="E1259" t="s">
        <v>660</v>
      </c>
      <c r="F1259" t="s">
        <v>187</v>
      </c>
      <c r="G1259" s="1">
        <v>45915</v>
      </c>
      <c r="H1259" s="1">
        <v>45918</v>
      </c>
      <c r="I1259" s="2">
        <v>416</v>
      </c>
      <c r="J1259" t="s">
        <v>776</v>
      </c>
      <c r="K1259" t="s">
        <v>783</v>
      </c>
      <c r="L1259" t="s">
        <v>823</v>
      </c>
      <c r="M1259" t="s">
        <v>829</v>
      </c>
      <c r="N1259" t="str">
        <f t="shared" si="57"/>
        <v>T-3</v>
      </c>
      <c r="O1259">
        <f t="shared" si="58"/>
        <v>2025</v>
      </c>
      <c r="P1259" t="str">
        <f t="shared" si="59"/>
        <v>9. septiembre</v>
      </c>
    </row>
    <row r="1260" spans="1:16" x14ac:dyDescent="0.35">
      <c r="A1260">
        <v>497240</v>
      </c>
      <c r="B1260" t="s">
        <v>15</v>
      </c>
      <c r="C1260" t="s">
        <v>136</v>
      </c>
      <c r="D1260" t="s">
        <v>417</v>
      </c>
      <c r="E1260" t="s">
        <v>660</v>
      </c>
      <c r="F1260" t="s">
        <v>187</v>
      </c>
      <c r="G1260" s="1">
        <v>45915</v>
      </c>
      <c r="H1260" s="1">
        <v>45916</v>
      </c>
      <c r="I1260" s="2">
        <v>1248</v>
      </c>
      <c r="J1260" t="s">
        <v>776</v>
      </c>
      <c r="K1260" t="s">
        <v>783</v>
      </c>
      <c r="L1260" t="s">
        <v>823</v>
      </c>
      <c r="M1260" t="s">
        <v>830</v>
      </c>
      <c r="N1260" t="str">
        <f t="shared" si="57"/>
        <v>T-3</v>
      </c>
      <c r="O1260">
        <f t="shared" si="58"/>
        <v>2025</v>
      </c>
      <c r="P1260" t="str">
        <f t="shared" si="59"/>
        <v>9. septiembre</v>
      </c>
    </row>
    <row r="1261" spans="1:16" x14ac:dyDescent="0.35">
      <c r="A1261">
        <v>401558</v>
      </c>
      <c r="B1261" t="s">
        <v>18</v>
      </c>
      <c r="C1261" t="s">
        <v>136</v>
      </c>
      <c r="D1261" t="s">
        <v>404</v>
      </c>
      <c r="E1261" t="s">
        <v>652</v>
      </c>
      <c r="F1261" t="s">
        <v>187</v>
      </c>
      <c r="G1261" s="1">
        <v>45922</v>
      </c>
      <c r="H1261" s="1">
        <v>45926</v>
      </c>
      <c r="I1261" s="2">
        <v>3510</v>
      </c>
      <c r="J1261" t="s">
        <v>774</v>
      </c>
      <c r="K1261" t="s">
        <v>800</v>
      </c>
      <c r="L1261" t="s">
        <v>824</v>
      </c>
      <c r="M1261" t="s">
        <v>830</v>
      </c>
      <c r="N1261" t="str">
        <f t="shared" si="57"/>
        <v>T-3</v>
      </c>
      <c r="O1261">
        <f t="shared" si="58"/>
        <v>2025</v>
      </c>
      <c r="P1261" t="str">
        <f t="shared" si="59"/>
        <v>9. septiembre</v>
      </c>
    </row>
    <row r="1262" spans="1:16" x14ac:dyDescent="0.35">
      <c r="A1262">
        <v>560782</v>
      </c>
      <c r="B1262" t="s">
        <v>5</v>
      </c>
      <c r="C1262" t="s">
        <v>138</v>
      </c>
      <c r="D1262" t="s">
        <v>404</v>
      </c>
      <c r="E1262" t="s">
        <v>652</v>
      </c>
      <c r="F1262" t="s">
        <v>187</v>
      </c>
      <c r="G1262" s="1">
        <v>45922</v>
      </c>
      <c r="H1262" s="1">
        <v>45926</v>
      </c>
      <c r="I1262" s="2">
        <v>1170</v>
      </c>
      <c r="J1262" t="s">
        <v>774</v>
      </c>
      <c r="K1262" t="s">
        <v>783</v>
      </c>
      <c r="L1262" t="s">
        <v>823</v>
      </c>
      <c r="M1262" t="s">
        <v>828</v>
      </c>
      <c r="N1262" t="str">
        <f t="shared" si="57"/>
        <v>T-3</v>
      </c>
      <c r="O1262">
        <f t="shared" si="58"/>
        <v>2025</v>
      </c>
      <c r="P1262" t="str">
        <f t="shared" si="59"/>
        <v>9. septiembre</v>
      </c>
    </row>
    <row r="1263" spans="1:16" x14ac:dyDescent="0.35">
      <c r="A1263">
        <v>566958</v>
      </c>
      <c r="B1263" t="s">
        <v>2</v>
      </c>
      <c r="C1263" t="s">
        <v>138</v>
      </c>
      <c r="D1263" t="s">
        <v>322</v>
      </c>
      <c r="E1263" t="s">
        <v>652</v>
      </c>
      <c r="F1263" t="s">
        <v>187</v>
      </c>
      <c r="G1263" s="1">
        <v>45922</v>
      </c>
      <c r="H1263" s="1">
        <v>45926</v>
      </c>
      <c r="I1263" s="2">
        <v>390</v>
      </c>
      <c r="J1263" t="s">
        <v>774</v>
      </c>
      <c r="K1263" t="s">
        <v>783</v>
      </c>
      <c r="L1263" t="s">
        <v>823</v>
      </c>
      <c r="M1263" t="s">
        <v>828</v>
      </c>
      <c r="N1263" t="str">
        <f t="shared" si="57"/>
        <v>T-3</v>
      </c>
      <c r="O1263">
        <f t="shared" si="58"/>
        <v>2025</v>
      </c>
      <c r="P1263" t="str">
        <f t="shared" si="59"/>
        <v>9. septiembre</v>
      </c>
    </row>
    <row r="1264" spans="1:16" x14ac:dyDescent="0.35">
      <c r="A1264">
        <v>721235</v>
      </c>
      <c r="B1264" t="s">
        <v>120</v>
      </c>
      <c r="C1264" t="s">
        <v>138</v>
      </c>
      <c r="D1264" t="s">
        <v>322</v>
      </c>
      <c r="E1264" t="s">
        <v>652</v>
      </c>
      <c r="F1264" t="s">
        <v>187</v>
      </c>
      <c r="G1264" s="1">
        <v>45922</v>
      </c>
      <c r="H1264" s="1">
        <v>45926</v>
      </c>
      <c r="I1264" s="2">
        <v>3120</v>
      </c>
      <c r="J1264" t="s">
        <v>774</v>
      </c>
      <c r="K1264" t="s">
        <v>800</v>
      </c>
      <c r="L1264" t="s">
        <v>823</v>
      </c>
      <c r="M1264" t="s">
        <v>829</v>
      </c>
      <c r="N1264" t="str">
        <f t="shared" si="57"/>
        <v>T-3</v>
      </c>
      <c r="O1264">
        <f t="shared" si="58"/>
        <v>2025</v>
      </c>
      <c r="P1264" t="str">
        <f t="shared" si="59"/>
        <v>9. septiembre</v>
      </c>
    </row>
    <row r="1265" spans="1:16" x14ac:dyDescent="0.35">
      <c r="A1265">
        <v>598044</v>
      </c>
      <c r="B1265" t="s">
        <v>27</v>
      </c>
      <c r="C1265" t="s">
        <v>137</v>
      </c>
      <c r="D1265" t="s">
        <v>277</v>
      </c>
      <c r="E1265" t="s">
        <v>652</v>
      </c>
      <c r="F1265" t="s">
        <v>187</v>
      </c>
      <c r="G1265" s="1">
        <v>45922</v>
      </c>
      <c r="H1265" s="1">
        <v>45925</v>
      </c>
      <c r="I1265" s="2">
        <v>2360</v>
      </c>
      <c r="J1265" t="s">
        <v>774</v>
      </c>
      <c r="K1265" t="s">
        <v>783</v>
      </c>
      <c r="L1265" t="s">
        <v>823</v>
      </c>
      <c r="M1265" t="s">
        <v>830</v>
      </c>
      <c r="N1265" t="str">
        <f t="shared" si="57"/>
        <v>T-3</v>
      </c>
      <c r="O1265">
        <f t="shared" si="58"/>
        <v>2025</v>
      </c>
      <c r="P1265" t="str">
        <f t="shared" si="59"/>
        <v>9. septiembre</v>
      </c>
    </row>
    <row r="1266" spans="1:16" x14ac:dyDescent="0.35">
      <c r="A1266">
        <v>467027</v>
      </c>
      <c r="B1266" t="s">
        <v>39</v>
      </c>
      <c r="C1266" t="s">
        <v>139</v>
      </c>
      <c r="D1266" t="s">
        <v>246</v>
      </c>
      <c r="E1266" t="s">
        <v>652</v>
      </c>
      <c r="F1266" t="s">
        <v>187</v>
      </c>
      <c r="G1266" s="1">
        <v>45926</v>
      </c>
      <c r="H1266" s="1">
        <v>45926</v>
      </c>
      <c r="I1266" s="2">
        <v>312</v>
      </c>
      <c r="J1266" t="s">
        <v>774</v>
      </c>
      <c r="K1266" t="s">
        <v>783</v>
      </c>
      <c r="L1266" t="s">
        <v>823</v>
      </c>
      <c r="M1266" t="s">
        <v>830</v>
      </c>
      <c r="N1266" t="str">
        <f t="shared" si="57"/>
        <v>T-3</v>
      </c>
      <c r="O1266">
        <f t="shared" si="58"/>
        <v>2025</v>
      </c>
      <c r="P1266" t="str">
        <f t="shared" si="59"/>
        <v>9. septiembre</v>
      </c>
    </row>
    <row r="1267" spans="1:16" x14ac:dyDescent="0.35">
      <c r="A1267">
        <v>392098</v>
      </c>
      <c r="B1267" t="s">
        <v>13</v>
      </c>
      <c r="C1267" t="s">
        <v>136</v>
      </c>
      <c r="D1267" t="s">
        <v>246</v>
      </c>
      <c r="E1267" t="s">
        <v>652</v>
      </c>
      <c r="F1267" t="s">
        <v>187</v>
      </c>
      <c r="G1267" s="1">
        <v>45926</v>
      </c>
      <c r="H1267" s="1">
        <v>45926</v>
      </c>
      <c r="I1267" s="2">
        <v>468</v>
      </c>
      <c r="J1267" t="s">
        <v>774</v>
      </c>
      <c r="K1267" t="s">
        <v>783</v>
      </c>
      <c r="L1267" t="s">
        <v>824</v>
      </c>
      <c r="M1267" t="s">
        <v>828</v>
      </c>
      <c r="N1267" t="str">
        <f t="shared" si="57"/>
        <v>T-3</v>
      </c>
      <c r="O1267">
        <f t="shared" si="58"/>
        <v>2025</v>
      </c>
      <c r="P1267" t="str">
        <f t="shared" si="59"/>
        <v>9. septiembre</v>
      </c>
    </row>
    <row r="1268" spans="1:16" x14ac:dyDescent="0.35">
      <c r="A1268">
        <v>703295</v>
      </c>
      <c r="B1268" t="s">
        <v>25</v>
      </c>
      <c r="C1268" t="s">
        <v>138</v>
      </c>
      <c r="D1268" t="s">
        <v>468</v>
      </c>
      <c r="E1268" t="s">
        <v>652</v>
      </c>
      <c r="F1268" t="s">
        <v>187</v>
      </c>
      <c r="G1268" s="1">
        <v>45915</v>
      </c>
      <c r="H1268" s="1">
        <v>45918</v>
      </c>
      <c r="I1268" s="2">
        <v>208</v>
      </c>
      <c r="J1268" t="s">
        <v>776</v>
      </c>
      <c r="K1268" t="s">
        <v>783</v>
      </c>
      <c r="L1268" t="s">
        <v>823</v>
      </c>
      <c r="M1268" t="s">
        <v>830</v>
      </c>
      <c r="N1268" t="str">
        <f t="shared" si="57"/>
        <v>T-3</v>
      </c>
      <c r="O1268">
        <f t="shared" si="58"/>
        <v>2025</v>
      </c>
      <c r="P1268" t="str">
        <f t="shared" si="59"/>
        <v>9. septiembre</v>
      </c>
    </row>
    <row r="1269" spans="1:16" x14ac:dyDescent="0.35">
      <c r="A1269">
        <v>409834</v>
      </c>
      <c r="B1269" t="s">
        <v>27</v>
      </c>
      <c r="C1269" t="s">
        <v>139</v>
      </c>
      <c r="D1269" t="s">
        <v>468</v>
      </c>
      <c r="E1269" t="s">
        <v>652</v>
      </c>
      <c r="F1269" t="s">
        <v>187</v>
      </c>
      <c r="G1269" s="1">
        <v>45915</v>
      </c>
      <c r="H1269" s="1">
        <v>45918</v>
      </c>
      <c r="I1269" s="2">
        <v>1040</v>
      </c>
      <c r="J1269" t="s">
        <v>776</v>
      </c>
      <c r="K1269" t="s">
        <v>789</v>
      </c>
      <c r="L1269" t="s">
        <v>823</v>
      </c>
      <c r="M1269" t="s">
        <v>829</v>
      </c>
      <c r="N1269" t="str">
        <f t="shared" si="57"/>
        <v>T-3</v>
      </c>
      <c r="O1269">
        <f t="shared" si="58"/>
        <v>2025</v>
      </c>
      <c r="P1269" t="str">
        <f t="shared" si="59"/>
        <v>9. septiembre</v>
      </c>
    </row>
    <row r="1270" spans="1:16" x14ac:dyDescent="0.35">
      <c r="A1270">
        <v>610536</v>
      </c>
      <c r="B1270" t="s">
        <v>13</v>
      </c>
      <c r="C1270" t="s">
        <v>138</v>
      </c>
      <c r="D1270" t="s">
        <v>468</v>
      </c>
      <c r="E1270" t="s">
        <v>652</v>
      </c>
      <c r="F1270" t="s">
        <v>187</v>
      </c>
      <c r="G1270" s="1">
        <v>45915</v>
      </c>
      <c r="H1270" s="1">
        <v>45918</v>
      </c>
      <c r="I1270" s="2">
        <v>208</v>
      </c>
      <c r="J1270" t="s">
        <v>776</v>
      </c>
      <c r="K1270" t="s">
        <v>783</v>
      </c>
      <c r="L1270" t="s">
        <v>823</v>
      </c>
      <c r="M1270" t="s">
        <v>830</v>
      </c>
      <c r="N1270" t="str">
        <f t="shared" si="57"/>
        <v>T-3</v>
      </c>
      <c r="O1270">
        <f t="shared" si="58"/>
        <v>2025</v>
      </c>
      <c r="P1270" t="str">
        <f t="shared" si="59"/>
        <v>9. septiembre</v>
      </c>
    </row>
    <row r="1271" spans="1:16" x14ac:dyDescent="0.35">
      <c r="A1271">
        <v>708094</v>
      </c>
      <c r="B1271" t="s">
        <v>30</v>
      </c>
      <c r="C1271" t="s">
        <v>138</v>
      </c>
      <c r="D1271" t="s">
        <v>468</v>
      </c>
      <c r="E1271" t="s">
        <v>652</v>
      </c>
      <c r="F1271" t="s">
        <v>187</v>
      </c>
      <c r="G1271" s="1">
        <v>45915</v>
      </c>
      <c r="H1271" s="1">
        <v>45918</v>
      </c>
      <c r="I1271" s="2">
        <v>1456</v>
      </c>
      <c r="J1271" t="s">
        <v>776</v>
      </c>
      <c r="K1271" t="s">
        <v>783</v>
      </c>
      <c r="L1271" t="s">
        <v>823</v>
      </c>
      <c r="M1271" t="s">
        <v>830</v>
      </c>
      <c r="N1271" t="str">
        <f t="shared" si="57"/>
        <v>T-3</v>
      </c>
      <c r="O1271">
        <f t="shared" si="58"/>
        <v>2025</v>
      </c>
      <c r="P1271" t="str">
        <f t="shared" si="59"/>
        <v>9. septiembre</v>
      </c>
    </row>
    <row r="1272" spans="1:16" x14ac:dyDescent="0.35">
      <c r="A1272">
        <v>457995</v>
      </c>
      <c r="B1272" t="s">
        <v>121</v>
      </c>
      <c r="C1272" t="s">
        <v>140</v>
      </c>
      <c r="D1272" t="s">
        <v>528</v>
      </c>
      <c r="E1272" t="s">
        <v>647</v>
      </c>
      <c r="F1272" t="s">
        <v>187</v>
      </c>
      <c r="G1272" s="1">
        <v>45924</v>
      </c>
      <c r="H1272" s="1">
        <v>45925</v>
      </c>
      <c r="I1272" s="2">
        <v>1750</v>
      </c>
      <c r="J1272" t="s">
        <v>774</v>
      </c>
      <c r="K1272" t="s">
        <v>783</v>
      </c>
      <c r="L1272" t="s">
        <v>823</v>
      </c>
      <c r="M1272" t="s">
        <v>828</v>
      </c>
      <c r="N1272" t="str">
        <f t="shared" si="57"/>
        <v>T-3</v>
      </c>
      <c r="O1272">
        <f t="shared" si="58"/>
        <v>2025</v>
      </c>
      <c r="P1272" t="str">
        <f t="shared" si="59"/>
        <v>9. septiembre</v>
      </c>
    </row>
    <row r="1273" spans="1:16" x14ac:dyDescent="0.35">
      <c r="A1273">
        <v>560521</v>
      </c>
      <c r="B1273" t="s">
        <v>5</v>
      </c>
      <c r="C1273" t="s">
        <v>138</v>
      </c>
      <c r="D1273" t="s">
        <v>529</v>
      </c>
      <c r="E1273" t="s">
        <v>751</v>
      </c>
      <c r="F1273" t="s">
        <v>187</v>
      </c>
      <c r="G1273" s="1">
        <v>45771</v>
      </c>
      <c r="H1273" s="1">
        <v>45801</v>
      </c>
      <c r="I1273" s="2">
        <v>1782</v>
      </c>
      <c r="J1273" t="s">
        <v>776</v>
      </c>
      <c r="K1273" t="s">
        <v>783</v>
      </c>
      <c r="L1273" t="s">
        <v>823</v>
      </c>
      <c r="M1273" t="s">
        <v>828</v>
      </c>
      <c r="N1273" t="str">
        <f t="shared" si="57"/>
        <v>T-2</v>
      </c>
      <c r="O1273">
        <f t="shared" si="58"/>
        <v>2025</v>
      </c>
      <c r="P1273" t="str">
        <f t="shared" si="59"/>
        <v>4. abril</v>
      </c>
    </row>
    <row r="1274" spans="1:16" x14ac:dyDescent="0.35">
      <c r="A1274">
        <v>477641</v>
      </c>
      <c r="B1274" t="s">
        <v>5</v>
      </c>
      <c r="C1274" t="s">
        <v>138</v>
      </c>
      <c r="D1274" t="s">
        <v>529</v>
      </c>
      <c r="E1274" t="s">
        <v>751</v>
      </c>
      <c r="F1274" t="s">
        <v>187</v>
      </c>
      <c r="G1274" s="1">
        <v>45819</v>
      </c>
      <c r="H1274" s="1">
        <v>45849</v>
      </c>
      <c r="I1274" s="2">
        <v>2871</v>
      </c>
      <c r="J1274" t="s">
        <v>776</v>
      </c>
      <c r="K1274" t="s">
        <v>789</v>
      </c>
      <c r="L1274" t="s">
        <v>824</v>
      </c>
      <c r="M1274" t="s">
        <v>830</v>
      </c>
      <c r="N1274" t="str">
        <f t="shared" si="57"/>
        <v>T-2</v>
      </c>
      <c r="O1274">
        <f t="shared" si="58"/>
        <v>2025</v>
      </c>
      <c r="P1274" t="str">
        <f t="shared" si="59"/>
        <v>6. junio</v>
      </c>
    </row>
    <row r="1275" spans="1:16" x14ac:dyDescent="0.35">
      <c r="A1275">
        <v>716428</v>
      </c>
      <c r="B1275" t="s">
        <v>10</v>
      </c>
      <c r="C1275" t="s">
        <v>138</v>
      </c>
      <c r="D1275" t="s">
        <v>529</v>
      </c>
      <c r="E1275" t="s">
        <v>751</v>
      </c>
      <c r="F1275" t="s">
        <v>773</v>
      </c>
      <c r="G1275" s="1">
        <v>45915</v>
      </c>
      <c r="H1275" s="1">
        <v>45947</v>
      </c>
      <c r="I1275" s="2">
        <v>1215.5</v>
      </c>
      <c r="J1275" t="s">
        <v>776</v>
      </c>
      <c r="K1275" t="s">
        <v>783</v>
      </c>
      <c r="L1275" t="s">
        <v>823</v>
      </c>
      <c r="M1275" t="s">
        <v>829</v>
      </c>
      <c r="N1275" t="str">
        <f t="shared" si="57"/>
        <v>T-3</v>
      </c>
      <c r="O1275">
        <f t="shared" si="58"/>
        <v>2025</v>
      </c>
      <c r="P1275" t="str">
        <f t="shared" si="59"/>
        <v>9. septiembre</v>
      </c>
    </row>
    <row r="1276" spans="1:16" x14ac:dyDescent="0.35">
      <c r="A1276">
        <v>150926</v>
      </c>
      <c r="B1276" t="s">
        <v>36</v>
      </c>
      <c r="C1276" t="s">
        <v>141</v>
      </c>
      <c r="D1276" t="s">
        <v>530</v>
      </c>
      <c r="E1276" t="s">
        <v>675</v>
      </c>
      <c r="F1276" t="s">
        <v>187</v>
      </c>
      <c r="G1276" s="1">
        <v>45947</v>
      </c>
      <c r="H1276" s="1">
        <v>45961</v>
      </c>
      <c r="I1276" s="2">
        <v>3120</v>
      </c>
      <c r="J1276" t="s">
        <v>779</v>
      </c>
      <c r="K1276" t="s">
        <v>788</v>
      </c>
      <c r="L1276" t="s">
        <v>823</v>
      </c>
      <c r="M1276" t="s">
        <v>830</v>
      </c>
      <c r="N1276" t="str">
        <f t="shared" si="57"/>
        <v>T-4</v>
      </c>
      <c r="O1276">
        <f t="shared" si="58"/>
        <v>2025</v>
      </c>
      <c r="P1276" t="str">
        <f t="shared" si="59"/>
        <v>10. octubre</v>
      </c>
    </row>
    <row r="1277" spans="1:16" x14ac:dyDescent="0.35">
      <c r="A1277">
        <v>723867</v>
      </c>
      <c r="B1277" t="s">
        <v>15</v>
      </c>
      <c r="C1277" t="s">
        <v>136</v>
      </c>
      <c r="D1277" t="s">
        <v>531</v>
      </c>
      <c r="E1277" t="s">
        <v>711</v>
      </c>
      <c r="F1277" t="s">
        <v>773</v>
      </c>
      <c r="G1277" s="1">
        <v>45931</v>
      </c>
      <c r="H1277" s="1">
        <v>46010</v>
      </c>
      <c r="I1277" s="2">
        <v>337</v>
      </c>
      <c r="J1277" t="s">
        <v>778</v>
      </c>
      <c r="K1277" t="s">
        <v>800</v>
      </c>
      <c r="L1277" t="s">
        <v>823</v>
      </c>
      <c r="M1277" t="s">
        <v>830</v>
      </c>
      <c r="N1277" t="str">
        <f t="shared" si="57"/>
        <v>T-4</v>
      </c>
      <c r="O1277">
        <f t="shared" si="58"/>
        <v>2025</v>
      </c>
      <c r="P1277" t="str">
        <f t="shared" si="59"/>
        <v>10. octubre</v>
      </c>
    </row>
    <row r="1278" spans="1:16" x14ac:dyDescent="0.35">
      <c r="A1278">
        <v>701777</v>
      </c>
      <c r="B1278" t="s">
        <v>27</v>
      </c>
      <c r="C1278" t="s">
        <v>138</v>
      </c>
      <c r="D1278" t="s">
        <v>324</v>
      </c>
      <c r="E1278" t="s">
        <v>711</v>
      </c>
      <c r="F1278" t="s">
        <v>773</v>
      </c>
      <c r="G1278" s="1">
        <v>45931</v>
      </c>
      <c r="H1278" s="1">
        <v>46010</v>
      </c>
      <c r="I1278" s="2">
        <v>674</v>
      </c>
      <c r="J1278" t="s">
        <v>778</v>
      </c>
      <c r="K1278" t="s">
        <v>800</v>
      </c>
      <c r="L1278" t="s">
        <v>823</v>
      </c>
      <c r="M1278" t="s">
        <v>828</v>
      </c>
      <c r="N1278" t="str">
        <f t="shared" si="57"/>
        <v>T-4</v>
      </c>
      <c r="O1278">
        <f t="shared" si="58"/>
        <v>2025</v>
      </c>
      <c r="P1278" t="str">
        <f t="shared" si="59"/>
        <v>10. octubre</v>
      </c>
    </row>
    <row r="1279" spans="1:16" x14ac:dyDescent="0.35">
      <c r="A1279">
        <v>405096</v>
      </c>
      <c r="B1279" t="s">
        <v>8</v>
      </c>
      <c r="C1279" t="s">
        <v>138</v>
      </c>
      <c r="D1279" t="s">
        <v>532</v>
      </c>
      <c r="E1279" t="s">
        <v>711</v>
      </c>
      <c r="F1279" t="s">
        <v>773</v>
      </c>
      <c r="G1279" s="1">
        <v>45931</v>
      </c>
      <c r="H1279" s="1">
        <v>46010</v>
      </c>
      <c r="I1279" s="2">
        <v>675</v>
      </c>
      <c r="J1279" t="s">
        <v>778</v>
      </c>
      <c r="K1279" t="s">
        <v>789</v>
      </c>
      <c r="L1279" t="s">
        <v>823</v>
      </c>
      <c r="M1279" t="s">
        <v>828</v>
      </c>
      <c r="N1279" t="str">
        <f t="shared" si="57"/>
        <v>T-4</v>
      </c>
      <c r="O1279">
        <f t="shared" si="58"/>
        <v>2025</v>
      </c>
      <c r="P1279" t="str">
        <f t="shared" si="59"/>
        <v>10. octubre</v>
      </c>
    </row>
    <row r="1280" spans="1:16" x14ac:dyDescent="0.35">
      <c r="A1280">
        <v>244011</v>
      </c>
      <c r="B1280" t="s">
        <v>33</v>
      </c>
      <c r="C1280" t="s">
        <v>138</v>
      </c>
      <c r="D1280" t="s">
        <v>164</v>
      </c>
      <c r="E1280" t="s">
        <v>675</v>
      </c>
      <c r="F1280" t="s">
        <v>187</v>
      </c>
      <c r="G1280" s="1">
        <v>45908</v>
      </c>
      <c r="H1280" s="1">
        <v>45918</v>
      </c>
      <c r="I1280" s="2">
        <v>208</v>
      </c>
      <c r="J1280" t="s">
        <v>779</v>
      </c>
      <c r="K1280" t="s">
        <v>783</v>
      </c>
      <c r="L1280" t="s">
        <v>823</v>
      </c>
      <c r="M1280" t="s">
        <v>829</v>
      </c>
      <c r="N1280" t="str">
        <f t="shared" si="57"/>
        <v>T-3</v>
      </c>
      <c r="O1280">
        <f t="shared" si="58"/>
        <v>2025</v>
      </c>
      <c r="P1280" t="str">
        <f t="shared" si="59"/>
        <v>9. septiembre</v>
      </c>
    </row>
    <row r="1281" spans="1:16" x14ac:dyDescent="0.35">
      <c r="A1281">
        <v>709258</v>
      </c>
      <c r="B1281" t="s">
        <v>4</v>
      </c>
      <c r="C1281" t="s">
        <v>138</v>
      </c>
      <c r="D1281" t="s">
        <v>164</v>
      </c>
      <c r="E1281" t="s">
        <v>675</v>
      </c>
      <c r="F1281" t="s">
        <v>187</v>
      </c>
      <c r="G1281" s="1">
        <v>45908</v>
      </c>
      <c r="H1281" s="1">
        <v>45918</v>
      </c>
      <c r="I1281" s="2">
        <v>208</v>
      </c>
      <c r="J1281" t="s">
        <v>779</v>
      </c>
      <c r="K1281" t="s">
        <v>783</v>
      </c>
      <c r="L1281" t="s">
        <v>823</v>
      </c>
      <c r="M1281" t="s">
        <v>830</v>
      </c>
      <c r="N1281" t="str">
        <f t="shared" si="57"/>
        <v>T-3</v>
      </c>
      <c r="O1281">
        <f t="shared" si="58"/>
        <v>2025</v>
      </c>
      <c r="P1281" t="str">
        <f t="shared" si="59"/>
        <v>9. septiembre</v>
      </c>
    </row>
    <row r="1282" spans="1:16" x14ac:dyDescent="0.35">
      <c r="A1282">
        <v>711132</v>
      </c>
      <c r="B1282" t="s">
        <v>30</v>
      </c>
      <c r="C1282" t="s">
        <v>138</v>
      </c>
      <c r="D1282" t="s">
        <v>164</v>
      </c>
      <c r="E1282" t="s">
        <v>675</v>
      </c>
      <c r="F1282" t="s">
        <v>187</v>
      </c>
      <c r="G1282" s="1">
        <v>45908</v>
      </c>
      <c r="H1282" s="1">
        <v>45918</v>
      </c>
      <c r="I1282" s="2">
        <v>1248</v>
      </c>
      <c r="J1282" t="s">
        <v>779</v>
      </c>
      <c r="K1282" t="s">
        <v>783</v>
      </c>
      <c r="L1282" t="s">
        <v>824</v>
      </c>
      <c r="M1282" t="s">
        <v>830</v>
      </c>
      <c r="N1282" t="str">
        <f t="shared" si="57"/>
        <v>T-3</v>
      </c>
      <c r="O1282">
        <f t="shared" si="58"/>
        <v>2025</v>
      </c>
      <c r="P1282" t="str">
        <f t="shared" si="59"/>
        <v>9. septiembre</v>
      </c>
    </row>
    <row r="1283" spans="1:16" x14ac:dyDescent="0.35">
      <c r="A1283">
        <v>364131</v>
      </c>
      <c r="B1283" t="s">
        <v>39</v>
      </c>
      <c r="C1283" t="s">
        <v>140</v>
      </c>
      <c r="D1283" t="s">
        <v>168</v>
      </c>
      <c r="E1283" t="s">
        <v>647</v>
      </c>
      <c r="F1283" t="s">
        <v>187</v>
      </c>
      <c r="G1283" s="1">
        <v>45917</v>
      </c>
      <c r="H1283" s="1">
        <v>45925</v>
      </c>
      <c r="I1283" s="2">
        <v>216.47</v>
      </c>
      <c r="J1283" t="s">
        <v>776</v>
      </c>
      <c r="K1283" t="s">
        <v>783</v>
      </c>
      <c r="L1283" t="s">
        <v>823</v>
      </c>
      <c r="M1283" t="s">
        <v>828</v>
      </c>
      <c r="N1283" t="str">
        <f t="shared" ref="N1283:N1346" si="60">"T-" &amp; ROUNDUP((MONTH(G1283)/3), 0)</f>
        <v>T-3</v>
      </c>
      <c r="O1283">
        <f t="shared" ref="O1283:O1346" si="61">YEAR(G1283)</f>
        <v>2025</v>
      </c>
      <c r="P1283" t="str">
        <f t="shared" ref="P1283:P1346" si="62">MONTH(G1283) &amp; ". " &amp; TEXT(G1283, "MMMM")</f>
        <v>9. septiembre</v>
      </c>
    </row>
    <row r="1284" spans="1:16" x14ac:dyDescent="0.35">
      <c r="A1284">
        <v>713949</v>
      </c>
      <c r="B1284" t="s">
        <v>30</v>
      </c>
      <c r="C1284" t="s">
        <v>138</v>
      </c>
      <c r="D1284" t="s">
        <v>209</v>
      </c>
      <c r="E1284" t="s">
        <v>647</v>
      </c>
      <c r="F1284" t="s">
        <v>187</v>
      </c>
      <c r="G1284" s="1">
        <v>45922</v>
      </c>
      <c r="H1284" s="1">
        <v>45924</v>
      </c>
      <c r="I1284" s="2">
        <v>228.33</v>
      </c>
      <c r="J1284" t="s">
        <v>776</v>
      </c>
      <c r="K1284" t="s">
        <v>783</v>
      </c>
      <c r="L1284" t="s">
        <v>823</v>
      </c>
      <c r="M1284" t="s">
        <v>830</v>
      </c>
      <c r="N1284" t="str">
        <f t="shared" si="60"/>
        <v>T-3</v>
      </c>
      <c r="O1284">
        <f t="shared" si="61"/>
        <v>2025</v>
      </c>
      <c r="P1284" t="str">
        <f t="shared" si="62"/>
        <v>9. septiembre</v>
      </c>
    </row>
    <row r="1285" spans="1:16" x14ac:dyDescent="0.35">
      <c r="A1285">
        <v>604923</v>
      </c>
      <c r="B1285" t="s">
        <v>13</v>
      </c>
      <c r="C1285" t="s">
        <v>138</v>
      </c>
      <c r="D1285" t="s">
        <v>168</v>
      </c>
      <c r="E1285" t="s">
        <v>647</v>
      </c>
      <c r="F1285" t="s">
        <v>187</v>
      </c>
      <c r="G1285" s="1">
        <v>45917</v>
      </c>
      <c r="H1285" s="1">
        <v>45925</v>
      </c>
      <c r="I1285" s="2">
        <v>1515.29</v>
      </c>
      <c r="J1285" t="s">
        <v>776</v>
      </c>
      <c r="K1285" t="s">
        <v>783</v>
      </c>
      <c r="L1285" t="s">
        <v>823</v>
      </c>
      <c r="M1285" t="s">
        <v>829</v>
      </c>
      <c r="N1285" t="str">
        <f t="shared" si="60"/>
        <v>T-3</v>
      </c>
      <c r="O1285">
        <f t="shared" si="61"/>
        <v>2025</v>
      </c>
      <c r="P1285" t="str">
        <f t="shared" si="62"/>
        <v>9. septiembre</v>
      </c>
    </row>
    <row r="1286" spans="1:16" x14ac:dyDescent="0.35">
      <c r="A1286">
        <v>751686</v>
      </c>
      <c r="B1286" t="s">
        <v>31</v>
      </c>
      <c r="C1286" t="s">
        <v>139</v>
      </c>
      <c r="D1286" t="s">
        <v>533</v>
      </c>
      <c r="E1286" t="s">
        <v>647</v>
      </c>
      <c r="F1286" t="s">
        <v>187</v>
      </c>
      <c r="G1286" s="1">
        <v>45922</v>
      </c>
      <c r="H1286" s="1">
        <v>45924</v>
      </c>
      <c r="I1286" s="2">
        <v>1338.18</v>
      </c>
      <c r="J1286" t="s">
        <v>776</v>
      </c>
      <c r="K1286" t="s">
        <v>783</v>
      </c>
      <c r="L1286" t="s">
        <v>823</v>
      </c>
      <c r="M1286" t="s">
        <v>830</v>
      </c>
      <c r="N1286" t="str">
        <f t="shared" si="60"/>
        <v>T-3</v>
      </c>
      <c r="O1286">
        <f t="shared" si="61"/>
        <v>2025</v>
      </c>
      <c r="P1286" t="str">
        <f t="shared" si="62"/>
        <v>9. septiembre</v>
      </c>
    </row>
    <row r="1287" spans="1:16" x14ac:dyDescent="0.35">
      <c r="A1287">
        <v>719050</v>
      </c>
      <c r="B1287" t="s">
        <v>34</v>
      </c>
      <c r="C1287" t="s">
        <v>138</v>
      </c>
      <c r="D1287" t="s">
        <v>209</v>
      </c>
      <c r="E1287" t="s">
        <v>647</v>
      </c>
      <c r="F1287" t="s">
        <v>187</v>
      </c>
      <c r="G1287" s="1">
        <v>45922</v>
      </c>
      <c r="H1287" s="1">
        <v>45924</v>
      </c>
      <c r="I1287" s="2">
        <v>228.33</v>
      </c>
      <c r="J1287" t="s">
        <v>776</v>
      </c>
      <c r="K1287" t="s">
        <v>783</v>
      </c>
      <c r="L1287" t="s">
        <v>823</v>
      </c>
      <c r="M1287" t="s">
        <v>830</v>
      </c>
      <c r="N1287" t="str">
        <f t="shared" si="60"/>
        <v>T-3</v>
      </c>
      <c r="O1287">
        <f t="shared" si="61"/>
        <v>2025</v>
      </c>
      <c r="P1287" t="str">
        <f t="shared" si="62"/>
        <v>9. septiembre</v>
      </c>
    </row>
    <row r="1288" spans="1:16" x14ac:dyDescent="0.35">
      <c r="A1288">
        <v>400507</v>
      </c>
      <c r="B1288" t="s">
        <v>25</v>
      </c>
      <c r="C1288" t="s">
        <v>138</v>
      </c>
      <c r="D1288" t="s">
        <v>534</v>
      </c>
      <c r="E1288" t="s">
        <v>694</v>
      </c>
      <c r="F1288" t="s">
        <v>187</v>
      </c>
      <c r="G1288" s="1">
        <v>45915</v>
      </c>
      <c r="H1288" s="1">
        <v>45915</v>
      </c>
      <c r="I1288" s="2">
        <v>286</v>
      </c>
      <c r="J1288" t="s">
        <v>778</v>
      </c>
      <c r="K1288" t="s">
        <v>783</v>
      </c>
      <c r="L1288" t="s">
        <v>824</v>
      </c>
      <c r="M1288" t="s">
        <v>828</v>
      </c>
      <c r="N1288" t="str">
        <f t="shared" si="60"/>
        <v>T-3</v>
      </c>
      <c r="O1288">
        <f t="shared" si="61"/>
        <v>2025</v>
      </c>
      <c r="P1288" t="str">
        <f t="shared" si="62"/>
        <v>9. septiembre</v>
      </c>
    </row>
    <row r="1289" spans="1:16" x14ac:dyDescent="0.35">
      <c r="A1289">
        <v>472637</v>
      </c>
      <c r="B1289" t="s">
        <v>37</v>
      </c>
      <c r="C1289" t="s">
        <v>138</v>
      </c>
      <c r="D1289" t="s">
        <v>534</v>
      </c>
      <c r="E1289" t="s">
        <v>694</v>
      </c>
      <c r="F1289" t="s">
        <v>187</v>
      </c>
      <c r="G1289" s="1">
        <v>45908</v>
      </c>
      <c r="H1289" s="1">
        <v>45908</v>
      </c>
      <c r="I1289" s="2">
        <v>350</v>
      </c>
      <c r="J1289" t="s">
        <v>778</v>
      </c>
      <c r="K1289" t="s">
        <v>783</v>
      </c>
      <c r="L1289" t="s">
        <v>823</v>
      </c>
      <c r="M1289" t="s">
        <v>828</v>
      </c>
      <c r="N1289" t="str">
        <f t="shared" si="60"/>
        <v>T-3</v>
      </c>
      <c r="O1289">
        <f t="shared" si="61"/>
        <v>2025</v>
      </c>
      <c r="P1289" t="str">
        <f t="shared" si="62"/>
        <v>9. septiembre</v>
      </c>
    </row>
    <row r="1290" spans="1:16" x14ac:dyDescent="0.35">
      <c r="A1290">
        <v>720848</v>
      </c>
      <c r="B1290" t="s">
        <v>27</v>
      </c>
      <c r="C1290" t="s">
        <v>138</v>
      </c>
      <c r="D1290" t="s">
        <v>534</v>
      </c>
      <c r="E1290" t="s">
        <v>694</v>
      </c>
      <c r="F1290" t="s">
        <v>187</v>
      </c>
      <c r="G1290" s="1">
        <v>45908</v>
      </c>
      <c r="H1290" s="1">
        <v>45908</v>
      </c>
      <c r="I1290" s="2">
        <v>300</v>
      </c>
      <c r="J1290" t="s">
        <v>778</v>
      </c>
      <c r="K1290" t="s">
        <v>785</v>
      </c>
      <c r="L1290" t="s">
        <v>823</v>
      </c>
      <c r="M1290" t="s">
        <v>830</v>
      </c>
      <c r="N1290" t="str">
        <f t="shared" si="60"/>
        <v>T-3</v>
      </c>
      <c r="O1290">
        <f t="shared" si="61"/>
        <v>2025</v>
      </c>
      <c r="P1290" t="str">
        <f t="shared" si="62"/>
        <v>9. septiembre</v>
      </c>
    </row>
    <row r="1291" spans="1:16" x14ac:dyDescent="0.35">
      <c r="A1291">
        <v>418983</v>
      </c>
      <c r="B1291" t="s">
        <v>5</v>
      </c>
      <c r="C1291" t="s">
        <v>138</v>
      </c>
      <c r="D1291" t="s">
        <v>534</v>
      </c>
      <c r="E1291" t="s">
        <v>694</v>
      </c>
      <c r="F1291" t="s">
        <v>187</v>
      </c>
      <c r="G1291" s="1">
        <v>45915</v>
      </c>
      <c r="H1291" s="1">
        <v>45915</v>
      </c>
      <c r="I1291" s="2">
        <v>350</v>
      </c>
      <c r="J1291" t="s">
        <v>778</v>
      </c>
      <c r="K1291" t="s">
        <v>783</v>
      </c>
      <c r="L1291" t="s">
        <v>823</v>
      </c>
      <c r="M1291" t="s">
        <v>829</v>
      </c>
      <c r="N1291" t="str">
        <f t="shared" si="60"/>
        <v>T-3</v>
      </c>
      <c r="O1291">
        <f t="shared" si="61"/>
        <v>2025</v>
      </c>
      <c r="P1291" t="str">
        <f t="shared" si="62"/>
        <v>9. septiembre</v>
      </c>
    </row>
    <row r="1292" spans="1:16" x14ac:dyDescent="0.35">
      <c r="A1292">
        <v>601948</v>
      </c>
      <c r="B1292" t="s">
        <v>13</v>
      </c>
      <c r="C1292" t="s">
        <v>138</v>
      </c>
      <c r="D1292" t="s">
        <v>534</v>
      </c>
      <c r="E1292" t="s">
        <v>694</v>
      </c>
      <c r="F1292" t="s">
        <v>187</v>
      </c>
      <c r="G1292" s="1">
        <v>45915</v>
      </c>
      <c r="H1292" s="1">
        <v>45915</v>
      </c>
      <c r="I1292" s="2">
        <v>350</v>
      </c>
      <c r="J1292" t="s">
        <v>778</v>
      </c>
      <c r="K1292" t="s">
        <v>783</v>
      </c>
      <c r="L1292" t="s">
        <v>823</v>
      </c>
      <c r="M1292" t="s">
        <v>830</v>
      </c>
      <c r="N1292" t="str">
        <f t="shared" si="60"/>
        <v>T-3</v>
      </c>
      <c r="O1292">
        <f t="shared" si="61"/>
        <v>2025</v>
      </c>
      <c r="P1292" t="str">
        <f t="shared" si="62"/>
        <v>9. septiembre</v>
      </c>
    </row>
    <row r="1293" spans="1:16" x14ac:dyDescent="0.35">
      <c r="A1293">
        <v>714119</v>
      </c>
      <c r="B1293" t="s">
        <v>30</v>
      </c>
      <c r="C1293" t="s">
        <v>138</v>
      </c>
      <c r="D1293" t="s">
        <v>534</v>
      </c>
      <c r="E1293" t="s">
        <v>694</v>
      </c>
      <c r="F1293" t="s">
        <v>187</v>
      </c>
      <c r="G1293" s="1">
        <v>45922</v>
      </c>
      <c r="H1293" s="1">
        <v>45922</v>
      </c>
      <c r="I1293" s="2">
        <v>350</v>
      </c>
      <c r="J1293" t="s">
        <v>778</v>
      </c>
      <c r="K1293" t="s">
        <v>783</v>
      </c>
      <c r="L1293" t="s">
        <v>823</v>
      </c>
      <c r="M1293" t="s">
        <v>830</v>
      </c>
      <c r="N1293" t="str">
        <f t="shared" si="60"/>
        <v>T-3</v>
      </c>
      <c r="O1293">
        <f t="shared" si="61"/>
        <v>2025</v>
      </c>
      <c r="P1293" t="str">
        <f t="shared" si="62"/>
        <v>9. septiembre</v>
      </c>
    </row>
    <row r="1294" spans="1:16" x14ac:dyDescent="0.35">
      <c r="A1294">
        <v>457053</v>
      </c>
      <c r="B1294" t="s">
        <v>30</v>
      </c>
      <c r="C1294" t="s">
        <v>138</v>
      </c>
      <c r="D1294" t="s">
        <v>534</v>
      </c>
      <c r="E1294" t="s">
        <v>694</v>
      </c>
      <c r="F1294" t="s">
        <v>187</v>
      </c>
      <c r="G1294" s="1">
        <v>45922</v>
      </c>
      <c r="H1294" s="1">
        <v>45922</v>
      </c>
      <c r="I1294" s="2">
        <v>350</v>
      </c>
      <c r="J1294" t="s">
        <v>778</v>
      </c>
      <c r="K1294" t="s">
        <v>783</v>
      </c>
      <c r="L1294" t="s">
        <v>823</v>
      </c>
      <c r="M1294" t="s">
        <v>828</v>
      </c>
      <c r="N1294" t="str">
        <f t="shared" si="60"/>
        <v>T-3</v>
      </c>
      <c r="O1294">
        <f t="shared" si="61"/>
        <v>2025</v>
      </c>
      <c r="P1294" t="str">
        <f t="shared" si="62"/>
        <v>9. septiembre</v>
      </c>
    </row>
    <row r="1295" spans="1:16" x14ac:dyDescent="0.35">
      <c r="A1295">
        <v>433207</v>
      </c>
      <c r="B1295" t="s">
        <v>5</v>
      </c>
      <c r="C1295" t="s">
        <v>138</v>
      </c>
      <c r="D1295" t="s">
        <v>534</v>
      </c>
      <c r="E1295" t="s">
        <v>694</v>
      </c>
      <c r="F1295" t="s">
        <v>187</v>
      </c>
      <c r="G1295" s="1">
        <v>45915</v>
      </c>
      <c r="H1295" s="1">
        <v>45915</v>
      </c>
      <c r="I1295" s="2">
        <v>350</v>
      </c>
      <c r="J1295" t="s">
        <v>778</v>
      </c>
      <c r="K1295" t="s">
        <v>800</v>
      </c>
      <c r="L1295" t="s">
        <v>824</v>
      </c>
      <c r="M1295" t="s">
        <v>828</v>
      </c>
      <c r="N1295" t="str">
        <f t="shared" si="60"/>
        <v>T-3</v>
      </c>
      <c r="O1295">
        <f t="shared" si="61"/>
        <v>2025</v>
      </c>
      <c r="P1295" t="str">
        <f t="shared" si="62"/>
        <v>9. septiembre</v>
      </c>
    </row>
    <row r="1296" spans="1:16" x14ac:dyDescent="0.35">
      <c r="A1296">
        <v>415846</v>
      </c>
      <c r="B1296" t="s">
        <v>19</v>
      </c>
      <c r="C1296" t="s">
        <v>140</v>
      </c>
      <c r="D1296" t="s">
        <v>534</v>
      </c>
      <c r="E1296" t="s">
        <v>694</v>
      </c>
      <c r="F1296" t="s">
        <v>187</v>
      </c>
      <c r="G1296" s="1">
        <v>45922</v>
      </c>
      <c r="H1296" s="1">
        <v>45922</v>
      </c>
      <c r="I1296" s="2">
        <v>350</v>
      </c>
      <c r="J1296" t="s">
        <v>778</v>
      </c>
      <c r="K1296" t="s">
        <v>783</v>
      </c>
      <c r="L1296" t="s">
        <v>823</v>
      </c>
      <c r="M1296" t="s">
        <v>829</v>
      </c>
      <c r="N1296" t="str">
        <f t="shared" si="60"/>
        <v>T-3</v>
      </c>
      <c r="O1296">
        <f t="shared" si="61"/>
        <v>2025</v>
      </c>
      <c r="P1296" t="str">
        <f t="shared" si="62"/>
        <v>9. septiembre</v>
      </c>
    </row>
    <row r="1297" spans="1:16" x14ac:dyDescent="0.35">
      <c r="A1297">
        <v>722728</v>
      </c>
      <c r="B1297" t="s">
        <v>28</v>
      </c>
      <c r="C1297" t="s">
        <v>138</v>
      </c>
      <c r="D1297" t="s">
        <v>535</v>
      </c>
      <c r="E1297" t="s">
        <v>682</v>
      </c>
      <c r="F1297" t="s">
        <v>187</v>
      </c>
      <c r="G1297" s="1">
        <v>45925</v>
      </c>
      <c r="H1297" s="1">
        <v>45926</v>
      </c>
      <c r="I1297" s="2">
        <v>750</v>
      </c>
      <c r="J1297" t="s">
        <v>777</v>
      </c>
      <c r="K1297" t="s">
        <v>783</v>
      </c>
      <c r="L1297" t="s">
        <v>823</v>
      </c>
      <c r="M1297" t="s">
        <v>830</v>
      </c>
      <c r="N1297" t="str">
        <f t="shared" si="60"/>
        <v>T-3</v>
      </c>
      <c r="O1297">
        <f t="shared" si="61"/>
        <v>2025</v>
      </c>
      <c r="P1297" t="str">
        <f t="shared" si="62"/>
        <v>9. septiembre</v>
      </c>
    </row>
    <row r="1298" spans="1:16" x14ac:dyDescent="0.35">
      <c r="A1298">
        <v>708747</v>
      </c>
      <c r="B1298" t="s">
        <v>24</v>
      </c>
      <c r="C1298" t="s">
        <v>138</v>
      </c>
      <c r="D1298" t="s">
        <v>309</v>
      </c>
      <c r="E1298" t="s">
        <v>682</v>
      </c>
      <c r="F1298" t="s">
        <v>187</v>
      </c>
      <c r="G1298" s="1">
        <v>45922</v>
      </c>
      <c r="H1298" s="1">
        <v>45922</v>
      </c>
      <c r="I1298" s="2">
        <v>960</v>
      </c>
      <c r="J1298" t="s">
        <v>777</v>
      </c>
      <c r="K1298" t="s">
        <v>783</v>
      </c>
      <c r="L1298" t="s">
        <v>823</v>
      </c>
      <c r="M1298" t="s">
        <v>830</v>
      </c>
      <c r="N1298" t="str">
        <f t="shared" si="60"/>
        <v>T-3</v>
      </c>
      <c r="O1298">
        <f t="shared" si="61"/>
        <v>2025</v>
      </c>
      <c r="P1298" t="str">
        <f t="shared" si="62"/>
        <v>9. septiembre</v>
      </c>
    </row>
    <row r="1299" spans="1:16" x14ac:dyDescent="0.35">
      <c r="A1299">
        <v>428730</v>
      </c>
      <c r="B1299" t="s">
        <v>27</v>
      </c>
      <c r="C1299" t="s">
        <v>139</v>
      </c>
      <c r="D1299" t="s">
        <v>267</v>
      </c>
      <c r="E1299" t="s">
        <v>682</v>
      </c>
      <c r="F1299" t="s">
        <v>187</v>
      </c>
      <c r="G1299" s="1">
        <v>45922</v>
      </c>
      <c r="H1299" s="1">
        <v>45922</v>
      </c>
      <c r="I1299" s="2">
        <v>1080</v>
      </c>
      <c r="J1299" t="s">
        <v>777</v>
      </c>
      <c r="K1299" t="s">
        <v>785</v>
      </c>
      <c r="L1299" t="s">
        <v>823</v>
      </c>
      <c r="M1299" t="s">
        <v>828</v>
      </c>
      <c r="N1299" t="str">
        <f t="shared" si="60"/>
        <v>T-3</v>
      </c>
      <c r="O1299">
        <f t="shared" si="61"/>
        <v>2025</v>
      </c>
      <c r="P1299" t="str">
        <f t="shared" si="62"/>
        <v>9. septiembre</v>
      </c>
    </row>
    <row r="1300" spans="1:16" x14ac:dyDescent="0.35">
      <c r="A1300">
        <v>432172</v>
      </c>
      <c r="B1300" t="s">
        <v>32</v>
      </c>
      <c r="C1300" t="s">
        <v>138</v>
      </c>
      <c r="D1300" t="s">
        <v>536</v>
      </c>
      <c r="E1300" t="s">
        <v>647</v>
      </c>
      <c r="F1300" t="s">
        <v>187</v>
      </c>
      <c r="G1300" s="1">
        <v>45922</v>
      </c>
      <c r="H1300" s="1">
        <v>45923</v>
      </c>
      <c r="I1300" s="2">
        <v>1472</v>
      </c>
      <c r="J1300" t="s">
        <v>776</v>
      </c>
      <c r="K1300" t="s">
        <v>783</v>
      </c>
      <c r="L1300" t="s">
        <v>823</v>
      </c>
      <c r="M1300" t="s">
        <v>830</v>
      </c>
      <c r="N1300" t="str">
        <f t="shared" si="60"/>
        <v>T-3</v>
      </c>
      <c r="O1300">
        <f t="shared" si="61"/>
        <v>2025</v>
      </c>
      <c r="P1300" t="str">
        <f t="shared" si="62"/>
        <v>9. septiembre</v>
      </c>
    </row>
    <row r="1301" spans="1:16" x14ac:dyDescent="0.35">
      <c r="A1301">
        <v>703104</v>
      </c>
      <c r="B1301" t="s">
        <v>5</v>
      </c>
      <c r="C1301" t="s">
        <v>138</v>
      </c>
      <c r="D1301" t="s">
        <v>537</v>
      </c>
      <c r="E1301" t="s">
        <v>667</v>
      </c>
      <c r="F1301" t="s">
        <v>187</v>
      </c>
      <c r="G1301" s="1">
        <v>45929</v>
      </c>
      <c r="H1301" s="1">
        <v>45931</v>
      </c>
      <c r="I1301" s="2">
        <v>2180</v>
      </c>
      <c r="J1301" t="s">
        <v>777</v>
      </c>
      <c r="K1301" t="s">
        <v>783</v>
      </c>
      <c r="L1301" t="s">
        <v>823</v>
      </c>
      <c r="M1301" t="s">
        <v>829</v>
      </c>
      <c r="N1301" t="str">
        <f t="shared" si="60"/>
        <v>T-3</v>
      </c>
      <c r="O1301">
        <f t="shared" si="61"/>
        <v>2025</v>
      </c>
      <c r="P1301" t="str">
        <f t="shared" si="62"/>
        <v>9. septiembre</v>
      </c>
    </row>
    <row r="1302" spans="1:16" x14ac:dyDescent="0.35">
      <c r="A1302">
        <v>530669</v>
      </c>
      <c r="B1302" t="s">
        <v>4</v>
      </c>
      <c r="C1302" t="s">
        <v>136</v>
      </c>
      <c r="D1302" t="s">
        <v>225</v>
      </c>
      <c r="E1302" t="s">
        <v>676</v>
      </c>
      <c r="F1302" t="s">
        <v>187</v>
      </c>
      <c r="G1302" s="1">
        <v>45929</v>
      </c>
      <c r="H1302" s="1">
        <v>45929</v>
      </c>
      <c r="I1302" s="2">
        <v>1395.84</v>
      </c>
      <c r="J1302" t="s">
        <v>779</v>
      </c>
      <c r="K1302" t="s">
        <v>783</v>
      </c>
      <c r="L1302" t="s">
        <v>823</v>
      </c>
      <c r="M1302" t="s">
        <v>830</v>
      </c>
      <c r="N1302" t="str">
        <f t="shared" si="60"/>
        <v>T-3</v>
      </c>
      <c r="O1302">
        <f t="shared" si="61"/>
        <v>2025</v>
      </c>
      <c r="P1302" t="str">
        <f t="shared" si="62"/>
        <v>9. septiembre</v>
      </c>
    </row>
    <row r="1303" spans="1:16" x14ac:dyDescent="0.35">
      <c r="A1303">
        <v>496775</v>
      </c>
      <c r="B1303" t="s">
        <v>27</v>
      </c>
      <c r="C1303" t="s">
        <v>139</v>
      </c>
      <c r="D1303" t="s">
        <v>225</v>
      </c>
      <c r="E1303" t="s">
        <v>676</v>
      </c>
      <c r="F1303" t="s">
        <v>187</v>
      </c>
      <c r="G1303" s="1">
        <v>45930</v>
      </c>
      <c r="H1303" s="1">
        <v>45930</v>
      </c>
      <c r="I1303" s="2">
        <v>1395.84</v>
      </c>
      <c r="J1303" t="s">
        <v>779</v>
      </c>
      <c r="K1303" t="s">
        <v>783</v>
      </c>
      <c r="L1303" t="s">
        <v>824</v>
      </c>
      <c r="M1303" t="s">
        <v>830</v>
      </c>
      <c r="N1303" t="str">
        <f t="shared" si="60"/>
        <v>T-3</v>
      </c>
      <c r="O1303">
        <f t="shared" si="61"/>
        <v>2025</v>
      </c>
      <c r="P1303" t="str">
        <f t="shared" si="62"/>
        <v>9. septiembre</v>
      </c>
    </row>
    <row r="1304" spans="1:16" x14ac:dyDescent="0.35">
      <c r="A1304">
        <v>361602</v>
      </c>
      <c r="B1304" t="s">
        <v>31</v>
      </c>
      <c r="C1304" t="s">
        <v>139</v>
      </c>
      <c r="D1304" t="s">
        <v>470</v>
      </c>
      <c r="E1304" t="s">
        <v>652</v>
      </c>
      <c r="F1304" t="s">
        <v>187</v>
      </c>
      <c r="G1304" s="1">
        <v>45922</v>
      </c>
      <c r="H1304" s="1">
        <v>45925</v>
      </c>
      <c r="I1304" s="2">
        <v>520</v>
      </c>
      <c r="J1304" t="s">
        <v>776</v>
      </c>
      <c r="K1304" t="s">
        <v>783</v>
      </c>
      <c r="L1304" t="s">
        <v>823</v>
      </c>
      <c r="M1304" t="s">
        <v>828</v>
      </c>
      <c r="N1304" t="str">
        <f t="shared" si="60"/>
        <v>T-3</v>
      </c>
      <c r="O1304">
        <f t="shared" si="61"/>
        <v>2025</v>
      </c>
      <c r="P1304" t="str">
        <f t="shared" si="62"/>
        <v>9. septiembre</v>
      </c>
    </row>
    <row r="1305" spans="1:16" x14ac:dyDescent="0.35">
      <c r="A1305">
        <v>713306</v>
      </c>
      <c r="B1305" t="s">
        <v>4</v>
      </c>
      <c r="C1305" t="s">
        <v>137</v>
      </c>
      <c r="D1305" t="s">
        <v>470</v>
      </c>
      <c r="E1305" t="s">
        <v>652</v>
      </c>
      <c r="F1305" t="s">
        <v>187</v>
      </c>
      <c r="G1305" s="1">
        <v>45922</v>
      </c>
      <c r="H1305" s="1">
        <v>45925</v>
      </c>
      <c r="I1305" s="2">
        <v>2340</v>
      </c>
      <c r="J1305" t="s">
        <v>776</v>
      </c>
      <c r="K1305" t="s">
        <v>783</v>
      </c>
      <c r="L1305" t="s">
        <v>823</v>
      </c>
      <c r="M1305" t="s">
        <v>828</v>
      </c>
      <c r="N1305" t="str">
        <f t="shared" si="60"/>
        <v>T-3</v>
      </c>
      <c r="O1305">
        <f t="shared" si="61"/>
        <v>2025</v>
      </c>
      <c r="P1305" t="str">
        <f t="shared" si="62"/>
        <v>9. septiembre</v>
      </c>
    </row>
    <row r="1306" spans="1:16" x14ac:dyDescent="0.35">
      <c r="A1306">
        <v>406133</v>
      </c>
      <c r="B1306" t="s">
        <v>122</v>
      </c>
      <c r="C1306" t="s">
        <v>139</v>
      </c>
      <c r="D1306" t="s">
        <v>470</v>
      </c>
      <c r="E1306" t="s">
        <v>652</v>
      </c>
      <c r="F1306" t="s">
        <v>187</v>
      </c>
      <c r="G1306" s="1">
        <v>45922</v>
      </c>
      <c r="H1306" s="1">
        <v>45925</v>
      </c>
      <c r="I1306" s="2">
        <v>260</v>
      </c>
      <c r="J1306" t="s">
        <v>776</v>
      </c>
      <c r="K1306" t="s">
        <v>783</v>
      </c>
      <c r="L1306" t="s">
        <v>823</v>
      </c>
      <c r="M1306" t="s">
        <v>830</v>
      </c>
      <c r="N1306" t="str">
        <f t="shared" si="60"/>
        <v>T-3</v>
      </c>
      <c r="O1306">
        <f t="shared" si="61"/>
        <v>2025</v>
      </c>
      <c r="P1306" t="str">
        <f t="shared" si="62"/>
        <v>9. septiembre</v>
      </c>
    </row>
    <row r="1307" spans="1:16" x14ac:dyDescent="0.35">
      <c r="A1307">
        <v>716930</v>
      </c>
      <c r="B1307" t="s">
        <v>30</v>
      </c>
      <c r="C1307" t="s">
        <v>138</v>
      </c>
      <c r="D1307" t="s">
        <v>177</v>
      </c>
      <c r="E1307" t="s">
        <v>651</v>
      </c>
      <c r="F1307" t="s">
        <v>187</v>
      </c>
      <c r="G1307" s="1">
        <v>45922</v>
      </c>
      <c r="H1307" s="1">
        <v>45924</v>
      </c>
      <c r="I1307" s="2">
        <v>611.54</v>
      </c>
      <c r="J1307" t="s">
        <v>776</v>
      </c>
      <c r="K1307" t="s">
        <v>783</v>
      </c>
      <c r="L1307" t="s">
        <v>823</v>
      </c>
      <c r="M1307" t="s">
        <v>829</v>
      </c>
      <c r="N1307" t="str">
        <f t="shared" si="60"/>
        <v>T-3</v>
      </c>
      <c r="O1307">
        <f t="shared" si="61"/>
        <v>2025</v>
      </c>
      <c r="P1307" t="str">
        <f t="shared" si="62"/>
        <v>9. septiembre</v>
      </c>
    </row>
    <row r="1308" spans="1:16" x14ac:dyDescent="0.35">
      <c r="A1308">
        <v>716634</v>
      </c>
      <c r="B1308" t="s">
        <v>8</v>
      </c>
      <c r="C1308" t="s">
        <v>138</v>
      </c>
      <c r="D1308" t="s">
        <v>177</v>
      </c>
      <c r="E1308" t="s">
        <v>651</v>
      </c>
      <c r="F1308" t="s">
        <v>187</v>
      </c>
      <c r="G1308" s="1">
        <v>45916</v>
      </c>
      <c r="H1308" s="1">
        <v>45923</v>
      </c>
      <c r="I1308" s="2">
        <v>736.11</v>
      </c>
      <c r="J1308" t="s">
        <v>776</v>
      </c>
      <c r="K1308" t="s">
        <v>783</v>
      </c>
      <c r="L1308" t="s">
        <v>823</v>
      </c>
      <c r="M1308" t="s">
        <v>830</v>
      </c>
      <c r="N1308" t="str">
        <f t="shared" si="60"/>
        <v>T-3</v>
      </c>
      <c r="O1308">
        <f t="shared" si="61"/>
        <v>2025</v>
      </c>
      <c r="P1308" t="str">
        <f t="shared" si="62"/>
        <v>9. septiembre</v>
      </c>
    </row>
    <row r="1309" spans="1:16" x14ac:dyDescent="0.35">
      <c r="A1309">
        <v>561925</v>
      </c>
      <c r="B1309" t="s">
        <v>20</v>
      </c>
      <c r="C1309" t="s">
        <v>136</v>
      </c>
      <c r="D1309" t="s">
        <v>177</v>
      </c>
      <c r="E1309" t="s">
        <v>651</v>
      </c>
      <c r="F1309" t="s">
        <v>187</v>
      </c>
      <c r="G1309" s="1">
        <v>45922</v>
      </c>
      <c r="H1309" s="1">
        <v>45924</v>
      </c>
      <c r="I1309" s="2">
        <v>1019.23</v>
      </c>
      <c r="J1309" t="s">
        <v>776</v>
      </c>
      <c r="K1309" t="s">
        <v>783</v>
      </c>
      <c r="L1309" t="s">
        <v>824</v>
      </c>
      <c r="M1309" t="s">
        <v>830</v>
      </c>
      <c r="N1309" t="str">
        <f t="shared" si="60"/>
        <v>T-3</v>
      </c>
      <c r="O1309">
        <f t="shared" si="61"/>
        <v>2025</v>
      </c>
      <c r="P1309" t="str">
        <f t="shared" si="62"/>
        <v>9. septiembre</v>
      </c>
    </row>
    <row r="1310" spans="1:16" x14ac:dyDescent="0.35">
      <c r="A1310">
        <v>717916</v>
      </c>
      <c r="B1310" t="s">
        <v>14</v>
      </c>
      <c r="C1310" t="s">
        <v>137</v>
      </c>
      <c r="D1310" t="s">
        <v>177</v>
      </c>
      <c r="E1310" t="s">
        <v>651</v>
      </c>
      <c r="F1310" t="s">
        <v>187</v>
      </c>
      <c r="G1310" s="1">
        <v>45916</v>
      </c>
      <c r="H1310" s="1">
        <v>45923</v>
      </c>
      <c r="I1310" s="2">
        <v>1472.22</v>
      </c>
      <c r="J1310" t="s">
        <v>776</v>
      </c>
      <c r="K1310" t="s">
        <v>783</v>
      </c>
      <c r="L1310" t="s">
        <v>823</v>
      </c>
      <c r="M1310" t="s">
        <v>828</v>
      </c>
      <c r="N1310" t="str">
        <f t="shared" si="60"/>
        <v>T-3</v>
      </c>
      <c r="O1310">
        <f t="shared" si="61"/>
        <v>2025</v>
      </c>
      <c r="P1310" t="str">
        <f t="shared" si="62"/>
        <v>9. septiembre</v>
      </c>
    </row>
    <row r="1311" spans="1:16" x14ac:dyDescent="0.35">
      <c r="A1311">
        <v>608605</v>
      </c>
      <c r="B1311" t="s">
        <v>13</v>
      </c>
      <c r="C1311" t="s">
        <v>136</v>
      </c>
      <c r="D1311" t="s">
        <v>177</v>
      </c>
      <c r="E1311" t="s">
        <v>651</v>
      </c>
      <c r="F1311" t="s">
        <v>187</v>
      </c>
      <c r="G1311" s="1">
        <v>45922</v>
      </c>
      <c r="H1311" s="1">
        <v>45924</v>
      </c>
      <c r="I1311" s="2">
        <v>815.38</v>
      </c>
      <c r="J1311" t="s">
        <v>776</v>
      </c>
      <c r="K1311" t="s">
        <v>783</v>
      </c>
      <c r="L1311" t="s">
        <v>823</v>
      </c>
      <c r="M1311" t="s">
        <v>828</v>
      </c>
      <c r="N1311" t="str">
        <f t="shared" si="60"/>
        <v>T-3</v>
      </c>
      <c r="O1311">
        <f t="shared" si="61"/>
        <v>2025</v>
      </c>
      <c r="P1311" t="str">
        <f t="shared" si="62"/>
        <v>9. septiembre</v>
      </c>
    </row>
    <row r="1312" spans="1:16" x14ac:dyDescent="0.35">
      <c r="A1312">
        <v>414844</v>
      </c>
      <c r="B1312" t="s">
        <v>11</v>
      </c>
      <c r="C1312" t="s">
        <v>136</v>
      </c>
      <c r="D1312" t="s">
        <v>539</v>
      </c>
      <c r="E1312" t="s">
        <v>694</v>
      </c>
      <c r="F1312" t="s">
        <v>187</v>
      </c>
      <c r="G1312" s="1">
        <v>45761</v>
      </c>
      <c r="H1312" s="1">
        <v>45933</v>
      </c>
      <c r="I1312" s="2">
        <v>1950</v>
      </c>
      <c r="J1312" t="s">
        <v>778</v>
      </c>
      <c r="K1312" t="s">
        <v>789</v>
      </c>
      <c r="L1312" t="s">
        <v>823</v>
      </c>
      <c r="M1312" t="s">
        <v>829</v>
      </c>
      <c r="N1312" t="str">
        <f t="shared" si="60"/>
        <v>T-2</v>
      </c>
      <c r="O1312">
        <f t="shared" si="61"/>
        <v>2025</v>
      </c>
      <c r="P1312" t="str">
        <f t="shared" si="62"/>
        <v>4. abril</v>
      </c>
    </row>
    <row r="1313" spans="1:16" x14ac:dyDescent="0.35">
      <c r="A1313">
        <v>417879</v>
      </c>
      <c r="B1313" t="s">
        <v>24</v>
      </c>
      <c r="C1313" t="s">
        <v>138</v>
      </c>
      <c r="D1313" t="s">
        <v>446</v>
      </c>
      <c r="E1313" t="s">
        <v>740</v>
      </c>
      <c r="F1313" t="s">
        <v>187</v>
      </c>
      <c r="G1313" s="1">
        <v>45915</v>
      </c>
      <c r="H1313" s="1">
        <v>45918</v>
      </c>
      <c r="I1313" s="2">
        <v>208</v>
      </c>
      <c r="J1313" t="s">
        <v>779</v>
      </c>
      <c r="K1313" t="s">
        <v>783</v>
      </c>
      <c r="L1313" t="s">
        <v>823</v>
      </c>
      <c r="M1313" t="s">
        <v>830</v>
      </c>
      <c r="N1313" t="str">
        <f t="shared" si="60"/>
        <v>T-3</v>
      </c>
      <c r="O1313">
        <f t="shared" si="61"/>
        <v>2025</v>
      </c>
      <c r="P1313" t="str">
        <f t="shared" si="62"/>
        <v>9. septiembre</v>
      </c>
    </row>
    <row r="1314" spans="1:16" x14ac:dyDescent="0.35">
      <c r="A1314">
        <v>415880</v>
      </c>
      <c r="B1314" t="s">
        <v>17</v>
      </c>
      <c r="C1314" t="s">
        <v>136</v>
      </c>
      <c r="D1314" t="s">
        <v>446</v>
      </c>
      <c r="E1314" t="s">
        <v>740</v>
      </c>
      <c r="F1314" t="s">
        <v>187</v>
      </c>
      <c r="G1314" s="1">
        <v>45915</v>
      </c>
      <c r="H1314" s="1">
        <v>45918</v>
      </c>
      <c r="I1314" s="2">
        <v>2496</v>
      </c>
      <c r="J1314" t="s">
        <v>779</v>
      </c>
      <c r="K1314" t="s">
        <v>783</v>
      </c>
      <c r="L1314" t="s">
        <v>823</v>
      </c>
      <c r="M1314" t="s">
        <v>830</v>
      </c>
      <c r="N1314" t="str">
        <f t="shared" si="60"/>
        <v>T-3</v>
      </c>
      <c r="O1314">
        <f t="shared" si="61"/>
        <v>2025</v>
      </c>
      <c r="P1314" t="str">
        <f t="shared" si="62"/>
        <v>9. septiembre</v>
      </c>
    </row>
    <row r="1315" spans="1:16" x14ac:dyDescent="0.35">
      <c r="A1315">
        <v>433252</v>
      </c>
      <c r="B1315" t="s">
        <v>13</v>
      </c>
      <c r="C1315" t="s">
        <v>138</v>
      </c>
      <c r="D1315" t="s">
        <v>446</v>
      </c>
      <c r="E1315" t="s">
        <v>740</v>
      </c>
      <c r="F1315" t="s">
        <v>187</v>
      </c>
      <c r="G1315" s="1">
        <v>45915</v>
      </c>
      <c r="H1315" s="1">
        <v>45918</v>
      </c>
      <c r="I1315" s="2">
        <v>2288</v>
      </c>
      <c r="J1315" t="s">
        <v>779</v>
      </c>
      <c r="K1315" t="s">
        <v>783</v>
      </c>
      <c r="L1315" t="s">
        <v>823</v>
      </c>
      <c r="M1315" t="s">
        <v>828</v>
      </c>
      <c r="N1315" t="str">
        <f t="shared" si="60"/>
        <v>T-3</v>
      </c>
      <c r="O1315">
        <f t="shared" si="61"/>
        <v>2025</v>
      </c>
      <c r="P1315" t="str">
        <f t="shared" si="62"/>
        <v>9. septiembre</v>
      </c>
    </row>
    <row r="1316" spans="1:16" x14ac:dyDescent="0.35">
      <c r="A1316">
        <v>560835</v>
      </c>
      <c r="B1316" t="s">
        <v>20</v>
      </c>
      <c r="C1316" t="s">
        <v>136</v>
      </c>
      <c r="D1316" t="s">
        <v>446</v>
      </c>
      <c r="E1316" t="s">
        <v>740</v>
      </c>
      <c r="F1316" t="s">
        <v>187</v>
      </c>
      <c r="G1316" s="1">
        <v>45915</v>
      </c>
      <c r="H1316" s="1">
        <v>45918</v>
      </c>
      <c r="I1316" s="2">
        <v>416</v>
      </c>
      <c r="J1316" t="s">
        <v>779</v>
      </c>
      <c r="K1316" t="s">
        <v>783</v>
      </c>
      <c r="L1316" t="s">
        <v>824</v>
      </c>
      <c r="M1316" t="s">
        <v>830</v>
      </c>
      <c r="N1316" t="str">
        <f t="shared" si="60"/>
        <v>T-3</v>
      </c>
      <c r="O1316">
        <f t="shared" si="61"/>
        <v>2025</v>
      </c>
      <c r="P1316" t="str">
        <f t="shared" si="62"/>
        <v>9. septiembre</v>
      </c>
    </row>
    <row r="1317" spans="1:16" x14ac:dyDescent="0.35">
      <c r="A1317">
        <v>721033</v>
      </c>
      <c r="B1317" t="s">
        <v>27</v>
      </c>
      <c r="C1317" t="s">
        <v>137</v>
      </c>
      <c r="D1317" t="s">
        <v>447</v>
      </c>
      <c r="E1317" t="s">
        <v>740</v>
      </c>
      <c r="F1317" t="s">
        <v>187</v>
      </c>
      <c r="G1317" s="1">
        <v>45915</v>
      </c>
      <c r="H1317" s="1">
        <v>45918</v>
      </c>
      <c r="I1317" s="2">
        <v>208</v>
      </c>
      <c r="J1317" t="s">
        <v>779</v>
      </c>
      <c r="K1317" t="s">
        <v>789</v>
      </c>
      <c r="L1317" t="s">
        <v>823</v>
      </c>
      <c r="M1317" t="s">
        <v>829</v>
      </c>
      <c r="N1317" t="str">
        <f t="shared" si="60"/>
        <v>T-3</v>
      </c>
      <c r="O1317">
        <f t="shared" si="61"/>
        <v>2025</v>
      </c>
      <c r="P1317" t="str">
        <f t="shared" si="62"/>
        <v>9. septiembre</v>
      </c>
    </row>
    <row r="1318" spans="1:16" x14ac:dyDescent="0.35">
      <c r="A1318">
        <v>705092</v>
      </c>
      <c r="B1318" t="s">
        <v>33</v>
      </c>
      <c r="C1318" t="s">
        <v>138</v>
      </c>
      <c r="D1318" t="s">
        <v>447</v>
      </c>
      <c r="E1318" t="s">
        <v>740</v>
      </c>
      <c r="F1318" t="s">
        <v>187</v>
      </c>
      <c r="G1318" s="1">
        <v>45915</v>
      </c>
      <c r="H1318" s="1">
        <v>45918</v>
      </c>
      <c r="I1318" s="2">
        <v>208</v>
      </c>
      <c r="J1318" t="s">
        <v>779</v>
      </c>
      <c r="K1318" t="s">
        <v>783</v>
      </c>
      <c r="L1318" t="s">
        <v>823</v>
      </c>
      <c r="M1318" t="s">
        <v>830</v>
      </c>
      <c r="N1318" t="str">
        <f t="shared" si="60"/>
        <v>T-3</v>
      </c>
      <c r="O1318">
        <f t="shared" si="61"/>
        <v>2025</v>
      </c>
      <c r="P1318" t="str">
        <f t="shared" si="62"/>
        <v>9. septiembre</v>
      </c>
    </row>
    <row r="1319" spans="1:16" x14ac:dyDescent="0.35">
      <c r="A1319">
        <v>495458</v>
      </c>
      <c r="B1319" t="s">
        <v>23</v>
      </c>
      <c r="C1319" t="s">
        <v>138</v>
      </c>
      <c r="D1319" t="s">
        <v>447</v>
      </c>
      <c r="E1319" t="s">
        <v>740</v>
      </c>
      <c r="F1319" t="s">
        <v>187</v>
      </c>
      <c r="G1319" s="1">
        <v>45915</v>
      </c>
      <c r="H1319" s="1">
        <v>45918</v>
      </c>
      <c r="I1319" s="2">
        <v>1456</v>
      </c>
      <c r="J1319" t="s">
        <v>779</v>
      </c>
      <c r="K1319" t="s">
        <v>788</v>
      </c>
      <c r="L1319" t="s">
        <v>823</v>
      </c>
      <c r="M1319" t="s">
        <v>830</v>
      </c>
      <c r="N1319" t="str">
        <f t="shared" si="60"/>
        <v>T-3</v>
      </c>
      <c r="O1319">
        <f t="shared" si="61"/>
        <v>2025</v>
      </c>
      <c r="P1319" t="str">
        <f t="shared" si="62"/>
        <v>9. septiembre</v>
      </c>
    </row>
    <row r="1320" spans="1:16" x14ac:dyDescent="0.35">
      <c r="A1320">
        <v>604556</v>
      </c>
      <c r="B1320" t="s">
        <v>13</v>
      </c>
      <c r="C1320" t="s">
        <v>138</v>
      </c>
      <c r="D1320" t="s">
        <v>447</v>
      </c>
      <c r="E1320" t="s">
        <v>740</v>
      </c>
      <c r="F1320" t="s">
        <v>187</v>
      </c>
      <c r="G1320" s="1">
        <v>45915</v>
      </c>
      <c r="H1320" s="1">
        <v>45918</v>
      </c>
      <c r="I1320" s="2">
        <v>208</v>
      </c>
      <c r="J1320" t="s">
        <v>779</v>
      </c>
      <c r="K1320" t="s">
        <v>783</v>
      </c>
      <c r="L1320" t="s">
        <v>823</v>
      </c>
      <c r="M1320" t="s">
        <v>828</v>
      </c>
      <c r="N1320" t="str">
        <f t="shared" si="60"/>
        <v>T-3</v>
      </c>
      <c r="O1320">
        <f t="shared" si="61"/>
        <v>2025</v>
      </c>
      <c r="P1320" t="str">
        <f t="shared" si="62"/>
        <v>9. septiembre</v>
      </c>
    </row>
    <row r="1321" spans="1:16" x14ac:dyDescent="0.35">
      <c r="A1321">
        <v>713029</v>
      </c>
      <c r="B1321" t="s">
        <v>27</v>
      </c>
      <c r="C1321" t="s">
        <v>137</v>
      </c>
      <c r="D1321" t="s">
        <v>447</v>
      </c>
      <c r="E1321" t="s">
        <v>740</v>
      </c>
      <c r="F1321" t="s">
        <v>187</v>
      </c>
      <c r="G1321" s="1">
        <v>45915</v>
      </c>
      <c r="H1321" s="1">
        <v>45918</v>
      </c>
      <c r="I1321" s="2">
        <v>2288</v>
      </c>
      <c r="J1321" t="s">
        <v>779</v>
      </c>
      <c r="K1321" t="s">
        <v>783</v>
      </c>
      <c r="L1321" t="s">
        <v>823</v>
      </c>
      <c r="M1321" t="s">
        <v>828</v>
      </c>
      <c r="N1321" t="str">
        <f t="shared" si="60"/>
        <v>T-3</v>
      </c>
      <c r="O1321">
        <f t="shared" si="61"/>
        <v>2025</v>
      </c>
      <c r="P1321" t="str">
        <f t="shared" si="62"/>
        <v>9. septiembre</v>
      </c>
    </row>
    <row r="1322" spans="1:16" x14ac:dyDescent="0.35">
      <c r="A1322">
        <v>713847</v>
      </c>
      <c r="B1322" t="s">
        <v>27</v>
      </c>
      <c r="C1322" t="s">
        <v>138</v>
      </c>
      <c r="D1322" t="s">
        <v>448</v>
      </c>
      <c r="E1322" t="s">
        <v>740</v>
      </c>
      <c r="F1322" t="s">
        <v>187</v>
      </c>
      <c r="G1322" s="1">
        <v>45918</v>
      </c>
      <c r="H1322" s="1">
        <v>45923</v>
      </c>
      <c r="I1322" s="2">
        <v>1040</v>
      </c>
      <c r="J1322" t="s">
        <v>779</v>
      </c>
      <c r="K1322" t="s">
        <v>783</v>
      </c>
      <c r="L1322" t="s">
        <v>823</v>
      </c>
      <c r="M1322" t="s">
        <v>830</v>
      </c>
      <c r="N1322" t="str">
        <f t="shared" si="60"/>
        <v>T-3</v>
      </c>
      <c r="O1322">
        <f t="shared" si="61"/>
        <v>2025</v>
      </c>
      <c r="P1322" t="str">
        <f t="shared" si="62"/>
        <v>9. septiembre</v>
      </c>
    </row>
    <row r="1323" spans="1:16" x14ac:dyDescent="0.35">
      <c r="A1323">
        <v>610953</v>
      </c>
      <c r="B1323" t="s">
        <v>13</v>
      </c>
      <c r="C1323" t="s">
        <v>136</v>
      </c>
      <c r="D1323" t="s">
        <v>448</v>
      </c>
      <c r="E1323" t="s">
        <v>740</v>
      </c>
      <c r="F1323" t="s">
        <v>187</v>
      </c>
      <c r="G1323" s="1">
        <v>45918</v>
      </c>
      <c r="H1323" s="1">
        <v>45923</v>
      </c>
      <c r="I1323" s="2">
        <v>208</v>
      </c>
      <c r="J1323" t="s">
        <v>779</v>
      </c>
      <c r="K1323" t="s">
        <v>789</v>
      </c>
      <c r="L1323" t="s">
        <v>823</v>
      </c>
      <c r="M1323" t="s">
        <v>829</v>
      </c>
      <c r="N1323" t="str">
        <f t="shared" si="60"/>
        <v>T-3</v>
      </c>
      <c r="O1323">
        <f t="shared" si="61"/>
        <v>2025</v>
      </c>
      <c r="P1323" t="str">
        <f t="shared" si="62"/>
        <v>9. septiembre</v>
      </c>
    </row>
    <row r="1324" spans="1:16" x14ac:dyDescent="0.35">
      <c r="A1324">
        <v>608549</v>
      </c>
      <c r="B1324" t="s">
        <v>13</v>
      </c>
      <c r="C1324" t="s">
        <v>138</v>
      </c>
      <c r="D1324" t="s">
        <v>448</v>
      </c>
      <c r="E1324" t="s">
        <v>740</v>
      </c>
      <c r="F1324" t="s">
        <v>187</v>
      </c>
      <c r="G1324" s="1">
        <v>45918</v>
      </c>
      <c r="H1324" s="1">
        <v>45923</v>
      </c>
      <c r="I1324" s="2">
        <v>832</v>
      </c>
      <c r="J1324" t="s">
        <v>779</v>
      </c>
      <c r="K1324" t="s">
        <v>783</v>
      </c>
      <c r="L1324" t="s">
        <v>824</v>
      </c>
      <c r="M1324" t="s">
        <v>830</v>
      </c>
      <c r="N1324" t="str">
        <f t="shared" si="60"/>
        <v>T-3</v>
      </c>
      <c r="O1324">
        <f t="shared" si="61"/>
        <v>2025</v>
      </c>
      <c r="P1324" t="str">
        <f t="shared" si="62"/>
        <v>9. septiembre</v>
      </c>
    </row>
    <row r="1325" spans="1:16" x14ac:dyDescent="0.35">
      <c r="A1325">
        <v>478575</v>
      </c>
      <c r="B1325" t="s">
        <v>27</v>
      </c>
      <c r="C1325" t="s">
        <v>139</v>
      </c>
      <c r="D1325" t="s">
        <v>448</v>
      </c>
      <c r="E1325" t="s">
        <v>740</v>
      </c>
      <c r="F1325" t="s">
        <v>187</v>
      </c>
      <c r="G1325" s="1">
        <v>45918</v>
      </c>
      <c r="H1325" s="1">
        <v>45923</v>
      </c>
      <c r="I1325" s="2">
        <v>1040</v>
      </c>
      <c r="J1325" t="s">
        <v>779</v>
      </c>
      <c r="K1325" t="s">
        <v>783</v>
      </c>
      <c r="L1325" t="s">
        <v>823</v>
      </c>
      <c r="M1325" t="s">
        <v>830</v>
      </c>
      <c r="N1325" t="str">
        <f t="shared" si="60"/>
        <v>T-3</v>
      </c>
      <c r="O1325">
        <f t="shared" si="61"/>
        <v>2025</v>
      </c>
      <c r="P1325" t="str">
        <f t="shared" si="62"/>
        <v>9. septiembre</v>
      </c>
    </row>
    <row r="1326" spans="1:16" x14ac:dyDescent="0.35">
      <c r="A1326">
        <v>411307</v>
      </c>
      <c r="B1326" t="s">
        <v>2</v>
      </c>
      <c r="C1326" t="s">
        <v>139</v>
      </c>
      <c r="D1326" t="s">
        <v>452</v>
      </c>
      <c r="E1326" t="s">
        <v>740</v>
      </c>
      <c r="F1326" t="s">
        <v>187</v>
      </c>
      <c r="G1326" s="1">
        <v>45918</v>
      </c>
      <c r="H1326" s="1">
        <v>45923</v>
      </c>
      <c r="I1326" s="2">
        <v>416</v>
      </c>
      <c r="J1326" t="s">
        <v>779</v>
      </c>
      <c r="K1326" t="s">
        <v>789</v>
      </c>
      <c r="L1326" t="s">
        <v>823</v>
      </c>
      <c r="M1326" t="s">
        <v>828</v>
      </c>
      <c r="N1326" t="str">
        <f t="shared" si="60"/>
        <v>T-3</v>
      </c>
      <c r="O1326">
        <f t="shared" si="61"/>
        <v>2025</v>
      </c>
      <c r="P1326" t="str">
        <f t="shared" si="62"/>
        <v>9. septiembre</v>
      </c>
    </row>
    <row r="1327" spans="1:16" x14ac:dyDescent="0.35">
      <c r="A1327">
        <v>567000</v>
      </c>
      <c r="B1327" t="s">
        <v>2</v>
      </c>
      <c r="C1327" t="s">
        <v>138</v>
      </c>
      <c r="D1327" t="s">
        <v>452</v>
      </c>
      <c r="E1327" t="s">
        <v>740</v>
      </c>
      <c r="F1327" t="s">
        <v>187</v>
      </c>
      <c r="G1327" s="1">
        <v>45918</v>
      </c>
      <c r="H1327" s="1">
        <v>45923</v>
      </c>
      <c r="I1327" s="2">
        <v>1456</v>
      </c>
      <c r="J1327" t="s">
        <v>779</v>
      </c>
      <c r="K1327" t="s">
        <v>783</v>
      </c>
      <c r="L1327" t="s">
        <v>823</v>
      </c>
      <c r="M1327" t="s">
        <v>828</v>
      </c>
      <c r="N1327" t="str">
        <f t="shared" si="60"/>
        <v>T-3</v>
      </c>
      <c r="O1327">
        <f t="shared" si="61"/>
        <v>2025</v>
      </c>
      <c r="P1327" t="str">
        <f t="shared" si="62"/>
        <v>9. septiembre</v>
      </c>
    </row>
    <row r="1328" spans="1:16" x14ac:dyDescent="0.35">
      <c r="A1328">
        <v>719870</v>
      </c>
      <c r="B1328" t="s">
        <v>3</v>
      </c>
      <c r="C1328" t="s">
        <v>138</v>
      </c>
      <c r="D1328" t="s">
        <v>452</v>
      </c>
      <c r="E1328" t="s">
        <v>740</v>
      </c>
      <c r="F1328" t="s">
        <v>187</v>
      </c>
      <c r="G1328" s="1">
        <v>45918</v>
      </c>
      <c r="H1328" s="1">
        <v>45923</v>
      </c>
      <c r="I1328" s="2">
        <v>1664</v>
      </c>
      <c r="J1328" t="s">
        <v>779</v>
      </c>
      <c r="K1328" t="s">
        <v>783</v>
      </c>
      <c r="L1328" t="s">
        <v>823</v>
      </c>
      <c r="M1328" t="s">
        <v>829</v>
      </c>
      <c r="N1328" t="str">
        <f t="shared" si="60"/>
        <v>T-3</v>
      </c>
      <c r="O1328">
        <f t="shared" si="61"/>
        <v>2025</v>
      </c>
      <c r="P1328" t="str">
        <f t="shared" si="62"/>
        <v>9. septiembre</v>
      </c>
    </row>
    <row r="1329" spans="1:16" x14ac:dyDescent="0.35">
      <c r="A1329">
        <v>712463</v>
      </c>
      <c r="B1329" t="s">
        <v>32</v>
      </c>
      <c r="C1329" t="s">
        <v>138</v>
      </c>
      <c r="D1329" t="s">
        <v>452</v>
      </c>
      <c r="E1329" t="s">
        <v>740</v>
      </c>
      <c r="F1329" t="s">
        <v>187</v>
      </c>
      <c r="G1329" s="1">
        <v>45918</v>
      </c>
      <c r="H1329" s="1">
        <v>45923</v>
      </c>
      <c r="I1329" s="2">
        <v>208</v>
      </c>
      <c r="J1329" t="s">
        <v>779</v>
      </c>
      <c r="K1329" t="s">
        <v>783</v>
      </c>
      <c r="L1329" t="s">
        <v>823</v>
      </c>
      <c r="M1329" t="s">
        <v>830</v>
      </c>
      <c r="N1329" t="str">
        <f t="shared" si="60"/>
        <v>T-3</v>
      </c>
      <c r="O1329">
        <f t="shared" si="61"/>
        <v>2025</v>
      </c>
      <c r="P1329" t="str">
        <f t="shared" si="62"/>
        <v>9. septiembre</v>
      </c>
    </row>
    <row r="1330" spans="1:16" x14ac:dyDescent="0.35">
      <c r="A1330">
        <v>701011</v>
      </c>
      <c r="B1330" t="s">
        <v>24</v>
      </c>
      <c r="C1330" t="s">
        <v>138</v>
      </c>
      <c r="D1330" t="s">
        <v>541</v>
      </c>
      <c r="E1330" t="s">
        <v>667</v>
      </c>
      <c r="F1330" t="s">
        <v>187</v>
      </c>
      <c r="G1330" s="1">
        <v>45918</v>
      </c>
      <c r="H1330" s="1">
        <v>45918</v>
      </c>
      <c r="I1330" s="2">
        <v>720</v>
      </c>
      <c r="J1330" t="s">
        <v>777</v>
      </c>
      <c r="K1330" t="s">
        <v>783</v>
      </c>
      <c r="L1330" t="s">
        <v>824</v>
      </c>
      <c r="M1330" t="s">
        <v>830</v>
      </c>
      <c r="N1330" t="str">
        <f t="shared" si="60"/>
        <v>T-3</v>
      </c>
      <c r="O1330">
        <f t="shared" si="61"/>
        <v>2025</v>
      </c>
      <c r="P1330" t="str">
        <f t="shared" si="62"/>
        <v>9. septiembre</v>
      </c>
    </row>
    <row r="1331" spans="1:16" x14ac:dyDescent="0.35">
      <c r="A1331">
        <v>720422</v>
      </c>
      <c r="B1331" t="s">
        <v>32</v>
      </c>
      <c r="C1331" t="s">
        <v>136</v>
      </c>
      <c r="D1331" t="s">
        <v>160</v>
      </c>
      <c r="E1331" t="s">
        <v>667</v>
      </c>
      <c r="F1331" t="s">
        <v>187</v>
      </c>
      <c r="G1331" s="1">
        <v>45922</v>
      </c>
      <c r="H1331" s="1">
        <v>45922</v>
      </c>
      <c r="I1331" s="2">
        <v>744</v>
      </c>
      <c r="J1331" t="s">
        <v>777</v>
      </c>
      <c r="K1331" t="s">
        <v>783</v>
      </c>
      <c r="L1331" t="s">
        <v>823</v>
      </c>
      <c r="M1331" t="s">
        <v>828</v>
      </c>
      <c r="N1331" t="str">
        <f t="shared" si="60"/>
        <v>T-3</v>
      </c>
      <c r="O1331">
        <f t="shared" si="61"/>
        <v>2025</v>
      </c>
      <c r="P1331" t="str">
        <f t="shared" si="62"/>
        <v>9. septiembre</v>
      </c>
    </row>
    <row r="1332" spans="1:16" x14ac:dyDescent="0.35">
      <c r="A1332">
        <v>497004</v>
      </c>
      <c r="B1332" t="s">
        <v>30</v>
      </c>
      <c r="C1332" t="s">
        <v>138</v>
      </c>
      <c r="D1332" t="s">
        <v>496</v>
      </c>
      <c r="E1332" t="s">
        <v>667</v>
      </c>
      <c r="F1332" t="s">
        <v>187</v>
      </c>
      <c r="G1332" s="1">
        <v>45929</v>
      </c>
      <c r="H1332" s="1">
        <v>45932</v>
      </c>
      <c r="I1332" s="2">
        <v>260</v>
      </c>
      <c r="J1332" t="s">
        <v>777</v>
      </c>
      <c r="K1332" t="s">
        <v>783</v>
      </c>
      <c r="L1332" t="s">
        <v>823</v>
      </c>
      <c r="M1332" t="s">
        <v>830</v>
      </c>
      <c r="N1332" t="str">
        <f t="shared" si="60"/>
        <v>T-3</v>
      </c>
      <c r="O1332">
        <f t="shared" si="61"/>
        <v>2025</v>
      </c>
      <c r="P1332" t="str">
        <f t="shared" si="62"/>
        <v>9. septiembre</v>
      </c>
    </row>
    <row r="1333" spans="1:16" x14ac:dyDescent="0.35">
      <c r="A1333">
        <v>707652</v>
      </c>
      <c r="B1333" t="s">
        <v>30</v>
      </c>
      <c r="C1333" t="s">
        <v>138</v>
      </c>
      <c r="D1333" t="s">
        <v>388</v>
      </c>
      <c r="E1333" t="s">
        <v>726</v>
      </c>
      <c r="F1333" t="s">
        <v>773</v>
      </c>
      <c r="G1333" s="1">
        <v>46006</v>
      </c>
      <c r="H1333" s="1">
        <v>46006</v>
      </c>
      <c r="I1333" s="2">
        <v>1680</v>
      </c>
      <c r="J1333" t="s">
        <v>774</v>
      </c>
      <c r="K1333" t="s">
        <v>783</v>
      </c>
      <c r="L1333" t="s">
        <v>823</v>
      </c>
      <c r="M1333" t="s">
        <v>829</v>
      </c>
      <c r="N1333" t="str">
        <f t="shared" si="60"/>
        <v>T-4</v>
      </c>
      <c r="O1333">
        <f t="shared" si="61"/>
        <v>2025</v>
      </c>
      <c r="P1333" t="str">
        <f t="shared" si="62"/>
        <v>12. diciembre</v>
      </c>
    </row>
    <row r="1334" spans="1:16" x14ac:dyDescent="0.35">
      <c r="A1334">
        <v>504350</v>
      </c>
      <c r="B1334" t="s">
        <v>5</v>
      </c>
      <c r="C1334" t="s">
        <v>138</v>
      </c>
      <c r="D1334" t="s">
        <v>388</v>
      </c>
      <c r="E1334" t="s">
        <v>726</v>
      </c>
      <c r="F1334" t="s">
        <v>773</v>
      </c>
      <c r="G1334" s="1">
        <v>46006</v>
      </c>
      <c r="H1334" s="1">
        <v>46006</v>
      </c>
      <c r="I1334" s="2">
        <v>1680</v>
      </c>
      <c r="J1334" t="s">
        <v>774</v>
      </c>
      <c r="K1334" t="s">
        <v>783</v>
      </c>
      <c r="L1334" t="s">
        <v>823</v>
      </c>
      <c r="M1334" t="s">
        <v>830</v>
      </c>
      <c r="N1334" t="str">
        <f t="shared" si="60"/>
        <v>T-4</v>
      </c>
      <c r="O1334">
        <f t="shared" si="61"/>
        <v>2025</v>
      </c>
      <c r="P1334" t="str">
        <f t="shared" si="62"/>
        <v>12. diciembre</v>
      </c>
    </row>
    <row r="1335" spans="1:16" x14ac:dyDescent="0.35">
      <c r="A1335">
        <v>457215</v>
      </c>
      <c r="B1335" t="s">
        <v>34</v>
      </c>
      <c r="C1335" t="s">
        <v>141</v>
      </c>
      <c r="D1335" t="s">
        <v>540</v>
      </c>
      <c r="E1335" t="s">
        <v>665</v>
      </c>
      <c r="F1335" t="s">
        <v>187</v>
      </c>
      <c r="G1335" s="1">
        <v>45926</v>
      </c>
      <c r="H1335" s="1">
        <v>45926</v>
      </c>
      <c r="I1335" s="2">
        <v>600</v>
      </c>
      <c r="J1335" t="s">
        <v>777</v>
      </c>
      <c r="K1335" t="s">
        <v>783</v>
      </c>
      <c r="L1335" t="s">
        <v>823</v>
      </c>
      <c r="M1335" t="s">
        <v>830</v>
      </c>
      <c r="N1335" t="str">
        <f t="shared" si="60"/>
        <v>T-3</v>
      </c>
      <c r="O1335">
        <f t="shared" si="61"/>
        <v>2025</v>
      </c>
      <c r="P1335" t="str">
        <f t="shared" si="62"/>
        <v>9. septiembre</v>
      </c>
    </row>
    <row r="1336" spans="1:16" x14ac:dyDescent="0.35">
      <c r="A1336">
        <v>515480</v>
      </c>
      <c r="B1336" t="s">
        <v>13</v>
      </c>
      <c r="C1336" t="s">
        <v>138</v>
      </c>
      <c r="D1336" t="s">
        <v>540</v>
      </c>
      <c r="E1336" t="s">
        <v>665</v>
      </c>
      <c r="F1336" t="s">
        <v>187</v>
      </c>
      <c r="G1336" s="1">
        <v>45926</v>
      </c>
      <c r="H1336" s="1">
        <v>45926</v>
      </c>
      <c r="I1336" s="2">
        <v>600</v>
      </c>
      <c r="J1336" t="s">
        <v>777</v>
      </c>
      <c r="K1336" t="s">
        <v>783</v>
      </c>
      <c r="L1336" t="s">
        <v>823</v>
      </c>
      <c r="M1336" t="s">
        <v>828</v>
      </c>
      <c r="N1336" t="str">
        <f t="shared" si="60"/>
        <v>T-3</v>
      </c>
      <c r="O1336">
        <f t="shared" si="61"/>
        <v>2025</v>
      </c>
      <c r="P1336" t="str">
        <f t="shared" si="62"/>
        <v>9. septiembre</v>
      </c>
    </row>
    <row r="1337" spans="1:16" x14ac:dyDescent="0.35">
      <c r="A1337">
        <v>561741</v>
      </c>
      <c r="B1337" t="s">
        <v>30</v>
      </c>
      <c r="C1337" t="s">
        <v>138</v>
      </c>
      <c r="D1337" t="s">
        <v>450</v>
      </c>
      <c r="E1337" t="s">
        <v>718</v>
      </c>
      <c r="F1337" t="s">
        <v>187</v>
      </c>
      <c r="G1337" s="1">
        <v>45922</v>
      </c>
      <c r="H1337" s="1">
        <v>45924</v>
      </c>
      <c r="I1337" s="2">
        <v>2249</v>
      </c>
      <c r="J1337" t="s">
        <v>777</v>
      </c>
      <c r="K1337" t="s">
        <v>783</v>
      </c>
      <c r="L1337" t="s">
        <v>824</v>
      </c>
      <c r="M1337" t="s">
        <v>828</v>
      </c>
      <c r="N1337" t="str">
        <f t="shared" si="60"/>
        <v>T-3</v>
      </c>
      <c r="O1337">
        <f t="shared" si="61"/>
        <v>2025</v>
      </c>
      <c r="P1337" t="str">
        <f t="shared" si="62"/>
        <v>9. septiembre</v>
      </c>
    </row>
    <row r="1338" spans="1:16" x14ac:dyDescent="0.35">
      <c r="A1338">
        <v>706387</v>
      </c>
      <c r="B1338" t="s">
        <v>71</v>
      </c>
      <c r="C1338" t="s">
        <v>138</v>
      </c>
      <c r="D1338" t="s">
        <v>161</v>
      </c>
      <c r="E1338" t="s">
        <v>679</v>
      </c>
      <c r="F1338" t="s">
        <v>187</v>
      </c>
      <c r="G1338" s="1">
        <v>45926</v>
      </c>
      <c r="H1338" s="1">
        <v>45926</v>
      </c>
      <c r="I1338" s="2">
        <v>300</v>
      </c>
      <c r="J1338" t="s">
        <v>779</v>
      </c>
      <c r="K1338" t="s">
        <v>783</v>
      </c>
      <c r="L1338" t="s">
        <v>823</v>
      </c>
      <c r="M1338" t="s">
        <v>830</v>
      </c>
      <c r="N1338" t="str">
        <f t="shared" si="60"/>
        <v>T-3</v>
      </c>
      <c r="O1338">
        <f t="shared" si="61"/>
        <v>2025</v>
      </c>
      <c r="P1338" t="str">
        <f t="shared" si="62"/>
        <v>9. septiembre</v>
      </c>
    </row>
    <row r="1339" spans="1:16" x14ac:dyDescent="0.35">
      <c r="A1339">
        <v>418063</v>
      </c>
      <c r="B1339" t="s">
        <v>45</v>
      </c>
      <c r="C1339" t="s">
        <v>138</v>
      </c>
      <c r="D1339" t="s">
        <v>161</v>
      </c>
      <c r="E1339" t="s">
        <v>679</v>
      </c>
      <c r="F1339" t="s">
        <v>187</v>
      </c>
      <c r="G1339" s="1">
        <v>45926</v>
      </c>
      <c r="H1339" s="1">
        <v>45926</v>
      </c>
      <c r="I1339" s="2">
        <v>3900</v>
      </c>
      <c r="J1339" t="s">
        <v>779</v>
      </c>
      <c r="K1339" t="s">
        <v>783</v>
      </c>
      <c r="L1339" t="s">
        <v>823</v>
      </c>
      <c r="M1339" t="s">
        <v>829</v>
      </c>
      <c r="N1339" t="str">
        <f t="shared" si="60"/>
        <v>T-3</v>
      </c>
      <c r="O1339">
        <f t="shared" si="61"/>
        <v>2025</v>
      </c>
      <c r="P1339" t="str">
        <f t="shared" si="62"/>
        <v>9. septiembre</v>
      </c>
    </row>
    <row r="1340" spans="1:16" x14ac:dyDescent="0.35">
      <c r="A1340">
        <v>708058</v>
      </c>
      <c r="B1340" t="s">
        <v>4</v>
      </c>
      <c r="C1340" t="s">
        <v>138</v>
      </c>
      <c r="D1340" t="s">
        <v>161</v>
      </c>
      <c r="E1340" t="s">
        <v>679</v>
      </c>
      <c r="F1340" t="s">
        <v>187</v>
      </c>
      <c r="G1340" s="1">
        <v>45933</v>
      </c>
      <c r="H1340" s="1">
        <v>45933</v>
      </c>
      <c r="I1340" s="2">
        <v>777.75</v>
      </c>
      <c r="J1340" t="s">
        <v>779</v>
      </c>
      <c r="K1340" t="s">
        <v>783</v>
      </c>
      <c r="L1340" t="s">
        <v>823</v>
      </c>
      <c r="M1340" t="s">
        <v>830</v>
      </c>
      <c r="N1340" t="str">
        <f t="shared" si="60"/>
        <v>T-4</v>
      </c>
      <c r="O1340">
        <f t="shared" si="61"/>
        <v>2025</v>
      </c>
      <c r="P1340" t="str">
        <f t="shared" si="62"/>
        <v>10. octubre</v>
      </c>
    </row>
    <row r="1341" spans="1:16" x14ac:dyDescent="0.35">
      <c r="A1341">
        <v>717114</v>
      </c>
      <c r="B1341" t="s">
        <v>63</v>
      </c>
      <c r="C1341" t="s">
        <v>136</v>
      </c>
      <c r="D1341" t="s">
        <v>161</v>
      </c>
      <c r="E1341" t="s">
        <v>679</v>
      </c>
      <c r="F1341" t="s">
        <v>187</v>
      </c>
      <c r="G1341" s="1">
        <v>45933</v>
      </c>
      <c r="H1341" s="1">
        <v>45933</v>
      </c>
      <c r="I1341" s="2">
        <v>3422.25</v>
      </c>
      <c r="J1341" t="s">
        <v>779</v>
      </c>
      <c r="K1341" t="s">
        <v>783</v>
      </c>
      <c r="L1341" t="s">
        <v>823</v>
      </c>
      <c r="M1341" t="s">
        <v>830</v>
      </c>
      <c r="N1341" t="str">
        <f t="shared" si="60"/>
        <v>T-4</v>
      </c>
      <c r="O1341">
        <f t="shared" si="61"/>
        <v>2025</v>
      </c>
      <c r="P1341" t="str">
        <f t="shared" si="62"/>
        <v>10. octubre</v>
      </c>
    </row>
    <row r="1342" spans="1:16" x14ac:dyDescent="0.35">
      <c r="A1342">
        <v>719759</v>
      </c>
      <c r="B1342" t="s">
        <v>27</v>
      </c>
      <c r="C1342" t="s">
        <v>138</v>
      </c>
      <c r="D1342" t="s">
        <v>542</v>
      </c>
      <c r="E1342" t="s">
        <v>652</v>
      </c>
      <c r="F1342" t="s">
        <v>187</v>
      </c>
      <c r="G1342" s="1">
        <v>45915</v>
      </c>
      <c r="H1342" s="1">
        <v>45925</v>
      </c>
      <c r="I1342" s="2">
        <v>4680</v>
      </c>
      <c r="J1342" t="s">
        <v>776</v>
      </c>
      <c r="K1342" t="s">
        <v>783</v>
      </c>
      <c r="L1342" t="s">
        <v>823</v>
      </c>
      <c r="M1342" t="s">
        <v>828</v>
      </c>
      <c r="N1342" t="str">
        <f t="shared" si="60"/>
        <v>T-3</v>
      </c>
      <c r="O1342">
        <f t="shared" si="61"/>
        <v>2025</v>
      </c>
      <c r="P1342" t="str">
        <f t="shared" si="62"/>
        <v>9. septiembre</v>
      </c>
    </row>
    <row r="1343" spans="1:16" x14ac:dyDescent="0.35">
      <c r="A1343">
        <v>497738</v>
      </c>
      <c r="B1343" t="s">
        <v>25</v>
      </c>
      <c r="C1343" t="s">
        <v>138</v>
      </c>
      <c r="D1343" t="s">
        <v>436</v>
      </c>
      <c r="E1343" t="s">
        <v>737</v>
      </c>
      <c r="F1343" t="s">
        <v>187</v>
      </c>
      <c r="G1343" s="1">
        <v>45929</v>
      </c>
      <c r="H1343" s="1">
        <v>45933</v>
      </c>
      <c r="I1343" s="2">
        <v>1625</v>
      </c>
      <c r="J1343" t="s">
        <v>776</v>
      </c>
      <c r="K1343" t="s">
        <v>783</v>
      </c>
      <c r="L1343" t="s">
        <v>823</v>
      </c>
      <c r="M1343" t="s">
        <v>828</v>
      </c>
      <c r="N1343" t="str">
        <f t="shared" si="60"/>
        <v>T-3</v>
      </c>
      <c r="O1343">
        <f t="shared" si="61"/>
        <v>2025</v>
      </c>
      <c r="P1343" t="str">
        <f t="shared" si="62"/>
        <v>9. septiembre</v>
      </c>
    </row>
    <row r="1344" spans="1:16" x14ac:dyDescent="0.35">
      <c r="A1344">
        <v>717758</v>
      </c>
      <c r="B1344" t="s">
        <v>42</v>
      </c>
      <c r="C1344" t="s">
        <v>136</v>
      </c>
      <c r="D1344" t="s">
        <v>543</v>
      </c>
      <c r="E1344" t="s">
        <v>737</v>
      </c>
      <c r="F1344" t="s">
        <v>187</v>
      </c>
      <c r="G1344" s="1">
        <v>45929</v>
      </c>
      <c r="H1344" s="1">
        <v>45933</v>
      </c>
      <c r="I1344" s="2">
        <v>5460</v>
      </c>
      <c r="J1344" t="s">
        <v>776</v>
      </c>
      <c r="K1344" t="s">
        <v>783</v>
      </c>
      <c r="L1344" t="s">
        <v>823</v>
      </c>
      <c r="M1344" t="s">
        <v>829</v>
      </c>
      <c r="N1344" t="str">
        <f t="shared" si="60"/>
        <v>T-3</v>
      </c>
      <c r="O1344">
        <f t="shared" si="61"/>
        <v>2025</v>
      </c>
      <c r="P1344" t="str">
        <f t="shared" si="62"/>
        <v>9. septiembre</v>
      </c>
    </row>
    <row r="1345" spans="1:16" x14ac:dyDescent="0.35">
      <c r="A1345">
        <v>446979</v>
      </c>
      <c r="B1345" t="s">
        <v>30</v>
      </c>
      <c r="C1345" t="s">
        <v>138</v>
      </c>
      <c r="D1345" t="s">
        <v>544</v>
      </c>
      <c r="E1345" t="s">
        <v>737</v>
      </c>
      <c r="F1345" t="s">
        <v>187</v>
      </c>
      <c r="G1345" s="1">
        <v>45929</v>
      </c>
      <c r="H1345" s="1">
        <v>45933</v>
      </c>
      <c r="I1345" s="2">
        <v>1625</v>
      </c>
      <c r="J1345" t="s">
        <v>776</v>
      </c>
      <c r="K1345" t="s">
        <v>783</v>
      </c>
      <c r="L1345" t="s">
        <v>824</v>
      </c>
      <c r="M1345" t="s">
        <v>830</v>
      </c>
      <c r="N1345" t="str">
        <f t="shared" si="60"/>
        <v>T-3</v>
      </c>
      <c r="O1345">
        <f t="shared" si="61"/>
        <v>2025</v>
      </c>
      <c r="P1345" t="str">
        <f t="shared" si="62"/>
        <v>9. septiembre</v>
      </c>
    </row>
    <row r="1346" spans="1:16" x14ac:dyDescent="0.35">
      <c r="A1346">
        <v>561413</v>
      </c>
      <c r="B1346" t="s">
        <v>5</v>
      </c>
      <c r="C1346" t="s">
        <v>138</v>
      </c>
      <c r="D1346" t="s">
        <v>507</v>
      </c>
      <c r="E1346" t="s">
        <v>737</v>
      </c>
      <c r="F1346" t="s">
        <v>187</v>
      </c>
      <c r="G1346" s="1">
        <v>45929</v>
      </c>
      <c r="H1346" s="1">
        <v>45932</v>
      </c>
      <c r="I1346" s="2">
        <v>780</v>
      </c>
      <c r="J1346" t="s">
        <v>776</v>
      </c>
      <c r="K1346" t="s">
        <v>783</v>
      </c>
      <c r="L1346" t="s">
        <v>823</v>
      </c>
      <c r="M1346" t="s">
        <v>830</v>
      </c>
      <c r="N1346" t="str">
        <f t="shared" si="60"/>
        <v>T-3</v>
      </c>
      <c r="O1346">
        <f t="shared" si="61"/>
        <v>2025</v>
      </c>
      <c r="P1346" t="str">
        <f t="shared" si="62"/>
        <v>9. septiembre</v>
      </c>
    </row>
    <row r="1347" spans="1:16" x14ac:dyDescent="0.35">
      <c r="A1347">
        <v>473064</v>
      </c>
      <c r="B1347" t="s">
        <v>33</v>
      </c>
      <c r="C1347" t="s">
        <v>138</v>
      </c>
      <c r="D1347" t="s">
        <v>436</v>
      </c>
      <c r="E1347" t="s">
        <v>737</v>
      </c>
      <c r="F1347" t="s">
        <v>187</v>
      </c>
      <c r="G1347" s="1">
        <v>45929</v>
      </c>
      <c r="H1347" s="1">
        <v>45933</v>
      </c>
      <c r="I1347" s="2">
        <v>1625</v>
      </c>
      <c r="J1347" t="s">
        <v>776</v>
      </c>
      <c r="K1347" t="s">
        <v>789</v>
      </c>
      <c r="L1347" t="s">
        <v>823</v>
      </c>
      <c r="M1347" t="s">
        <v>828</v>
      </c>
      <c r="N1347" t="str">
        <f t="shared" ref="N1347:N1410" si="63">"T-" &amp; ROUNDUP((MONTH(G1347)/3), 0)</f>
        <v>T-3</v>
      </c>
      <c r="O1347">
        <f t="shared" ref="O1347:O1410" si="64">YEAR(G1347)</f>
        <v>2025</v>
      </c>
      <c r="P1347" t="str">
        <f t="shared" ref="P1347:P1410" si="65">MONTH(G1347) &amp; ". " &amp; TEXT(G1347, "MMMM")</f>
        <v>9. septiembre</v>
      </c>
    </row>
    <row r="1348" spans="1:16" x14ac:dyDescent="0.35">
      <c r="A1348">
        <v>152109</v>
      </c>
      <c r="B1348" t="s">
        <v>104</v>
      </c>
      <c r="C1348" t="s">
        <v>139</v>
      </c>
      <c r="D1348" t="s">
        <v>543</v>
      </c>
      <c r="E1348" t="s">
        <v>737</v>
      </c>
      <c r="F1348" t="s">
        <v>187</v>
      </c>
      <c r="G1348" s="1">
        <v>45929</v>
      </c>
      <c r="H1348" s="1">
        <v>45933</v>
      </c>
      <c r="I1348" s="2">
        <v>390</v>
      </c>
      <c r="J1348" t="s">
        <v>776</v>
      </c>
      <c r="K1348" t="s">
        <v>783</v>
      </c>
      <c r="L1348" t="s">
        <v>823</v>
      </c>
      <c r="M1348" t="s">
        <v>830</v>
      </c>
      <c r="N1348" t="str">
        <f t="shared" si="63"/>
        <v>T-3</v>
      </c>
      <c r="O1348">
        <f t="shared" si="64"/>
        <v>2025</v>
      </c>
      <c r="P1348" t="str">
        <f t="shared" si="65"/>
        <v>9. septiembre</v>
      </c>
    </row>
    <row r="1349" spans="1:16" x14ac:dyDescent="0.35">
      <c r="A1349">
        <v>719197</v>
      </c>
      <c r="B1349" t="s">
        <v>72</v>
      </c>
      <c r="C1349" t="s">
        <v>138</v>
      </c>
      <c r="D1349" t="s">
        <v>544</v>
      </c>
      <c r="E1349" t="s">
        <v>737</v>
      </c>
      <c r="F1349" t="s">
        <v>187</v>
      </c>
      <c r="G1349" s="1">
        <v>45929</v>
      </c>
      <c r="H1349" s="1">
        <v>45933</v>
      </c>
      <c r="I1349" s="2">
        <v>3575</v>
      </c>
      <c r="J1349" t="s">
        <v>776</v>
      </c>
      <c r="K1349" t="s">
        <v>783</v>
      </c>
      <c r="L1349" t="s">
        <v>823</v>
      </c>
      <c r="M1349" t="s">
        <v>829</v>
      </c>
      <c r="N1349" t="str">
        <f t="shared" si="63"/>
        <v>T-3</v>
      </c>
      <c r="O1349">
        <f t="shared" si="64"/>
        <v>2025</v>
      </c>
      <c r="P1349" t="str">
        <f t="shared" si="65"/>
        <v>9. septiembre</v>
      </c>
    </row>
    <row r="1350" spans="1:16" x14ac:dyDescent="0.35">
      <c r="A1350">
        <v>704618</v>
      </c>
      <c r="B1350" t="s">
        <v>4</v>
      </c>
      <c r="C1350" t="s">
        <v>136</v>
      </c>
      <c r="D1350" t="s">
        <v>507</v>
      </c>
      <c r="E1350" t="s">
        <v>737</v>
      </c>
      <c r="F1350" t="s">
        <v>187</v>
      </c>
      <c r="G1350" s="1">
        <v>45929</v>
      </c>
      <c r="H1350" s="1">
        <v>45932</v>
      </c>
      <c r="I1350" s="2">
        <v>1560</v>
      </c>
      <c r="J1350" t="s">
        <v>776</v>
      </c>
      <c r="K1350" t="s">
        <v>783</v>
      </c>
      <c r="L1350" t="s">
        <v>823</v>
      </c>
      <c r="M1350" t="s">
        <v>830</v>
      </c>
      <c r="N1350" t="str">
        <f t="shared" si="63"/>
        <v>T-3</v>
      </c>
      <c r="O1350">
        <f t="shared" si="64"/>
        <v>2025</v>
      </c>
      <c r="P1350" t="str">
        <f t="shared" si="65"/>
        <v>9. septiembre</v>
      </c>
    </row>
    <row r="1351" spans="1:16" x14ac:dyDescent="0.35">
      <c r="A1351">
        <v>714580</v>
      </c>
      <c r="B1351" t="s">
        <v>27</v>
      </c>
      <c r="C1351" t="s">
        <v>139</v>
      </c>
      <c r="D1351" t="s">
        <v>436</v>
      </c>
      <c r="E1351" t="s">
        <v>737</v>
      </c>
      <c r="F1351" t="s">
        <v>187</v>
      </c>
      <c r="G1351" s="1">
        <v>45929</v>
      </c>
      <c r="H1351" s="1">
        <v>45933</v>
      </c>
      <c r="I1351" s="2">
        <v>325</v>
      </c>
      <c r="J1351" t="s">
        <v>776</v>
      </c>
      <c r="K1351" t="s">
        <v>789</v>
      </c>
      <c r="L1351" t="s">
        <v>824</v>
      </c>
      <c r="M1351" t="s">
        <v>830</v>
      </c>
      <c r="N1351" t="str">
        <f t="shared" si="63"/>
        <v>T-3</v>
      </c>
      <c r="O1351">
        <f t="shared" si="64"/>
        <v>2025</v>
      </c>
      <c r="P1351" t="str">
        <f t="shared" si="65"/>
        <v>9. septiembre</v>
      </c>
    </row>
    <row r="1352" spans="1:16" x14ac:dyDescent="0.35">
      <c r="A1352">
        <v>270266</v>
      </c>
      <c r="B1352" t="s">
        <v>33</v>
      </c>
      <c r="C1352" t="s">
        <v>136</v>
      </c>
      <c r="D1352" t="s">
        <v>436</v>
      </c>
      <c r="E1352" t="s">
        <v>737</v>
      </c>
      <c r="F1352" t="s">
        <v>187</v>
      </c>
      <c r="G1352" s="1">
        <v>45929</v>
      </c>
      <c r="H1352" s="1">
        <v>45933</v>
      </c>
      <c r="I1352" s="2">
        <v>1300</v>
      </c>
      <c r="J1352" t="s">
        <v>776</v>
      </c>
      <c r="K1352" t="s">
        <v>800</v>
      </c>
      <c r="L1352" t="s">
        <v>823</v>
      </c>
      <c r="M1352" t="s">
        <v>828</v>
      </c>
      <c r="N1352" t="str">
        <f t="shared" si="63"/>
        <v>T-3</v>
      </c>
      <c r="O1352">
        <f t="shared" si="64"/>
        <v>2025</v>
      </c>
      <c r="P1352" t="str">
        <f t="shared" si="65"/>
        <v>9. septiembre</v>
      </c>
    </row>
    <row r="1353" spans="1:16" x14ac:dyDescent="0.35">
      <c r="A1353">
        <v>711939</v>
      </c>
      <c r="B1353" t="s">
        <v>17</v>
      </c>
      <c r="C1353" t="s">
        <v>138</v>
      </c>
      <c r="D1353" t="s">
        <v>544</v>
      </c>
      <c r="E1353" t="s">
        <v>737</v>
      </c>
      <c r="F1353" t="s">
        <v>187</v>
      </c>
      <c r="G1353" s="1">
        <v>45929</v>
      </c>
      <c r="H1353" s="1">
        <v>45933</v>
      </c>
      <c r="I1353" s="2">
        <v>325</v>
      </c>
      <c r="J1353" t="s">
        <v>776</v>
      </c>
      <c r="K1353" t="s">
        <v>789</v>
      </c>
      <c r="L1353" t="s">
        <v>823</v>
      </c>
      <c r="M1353" t="s">
        <v>828</v>
      </c>
      <c r="N1353" t="str">
        <f t="shared" si="63"/>
        <v>T-3</v>
      </c>
      <c r="O1353">
        <f t="shared" si="64"/>
        <v>2025</v>
      </c>
      <c r="P1353" t="str">
        <f t="shared" si="65"/>
        <v>9. septiembre</v>
      </c>
    </row>
    <row r="1354" spans="1:16" x14ac:dyDescent="0.35">
      <c r="A1354">
        <v>705990</v>
      </c>
      <c r="B1354" t="s">
        <v>39</v>
      </c>
      <c r="C1354" t="s">
        <v>138</v>
      </c>
      <c r="D1354" t="s">
        <v>543</v>
      </c>
      <c r="E1354" t="s">
        <v>737</v>
      </c>
      <c r="F1354" t="s">
        <v>187</v>
      </c>
      <c r="G1354" s="1">
        <v>45929</v>
      </c>
      <c r="H1354" s="1">
        <v>45933</v>
      </c>
      <c r="I1354" s="2">
        <v>280.47000000000003</v>
      </c>
      <c r="J1354" t="s">
        <v>776</v>
      </c>
      <c r="K1354" t="s">
        <v>789</v>
      </c>
      <c r="L1354" t="s">
        <v>823</v>
      </c>
      <c r="M1354" t="s">
        <v>830</v>
      </c>
      <c r="N1354" t="str">
        <f t="shared" si="63"/>
        <v>T-3</v>
      </c>
      <c r="O1354">
        <f t="shared" si="64"/>
        <v>2025</v>
      </c>
      <c r="P1354" t="str">
        <f t="shared" si="65"/>
        <v>9. septiembre</v>
      </c>
    </row>
    <row r="1355" spans="1:16" x14ac:dyDescent="0.35">
      <c r="A1355">
        <v>446154</v>
      </c>
      <c r="B1355" t="s">
        <v>30</v>
      </c>
      <c r="C1355" t="s">
        <v>138</v>
      </c>
      <c r="D1355" t="s">
        <v>543</v>
      </c>
      <c r="E1355" t="s">
        <v>737</v>
      </c>
      <c r="F1355" t="s">
        <v>187</v>
      </c>
      <c r="G1355" s="1">
        <v>45929</v>
      </c>
      <c r="H1355" s="1">
        <v>45933</v>
      </c>
      <c r="I1355" s="2">
        <v>1199.53</v>
      </c>
      <c r="J1355" t="s">
        <v>776</v>
      </c>
      <c r="K1355" t="s">
        <v>785</v>
      </c>
      <c r="L1355" t="s">
        <v>823</v>
      </c>
      <c r="M1355" t="s">
        <v>829</v>
      </c>
      <c r="N1355" t="str">
        <f t="shared" si="63"/>
        <v>T-3</v>
      </c>
      <c r="O1355">
        <f t="shared" si="64"/>
        <v>2025</v>
      </c>
      <c r="P1355" t="str">
        <f t="shared" si="65"/>
        <v>9. septiembre</v>
      </c>
    </row>
    <row r="1356" spans="1:16" x14ac:dyDescent="0.35">
      <c r="A1356">
        <v>710311</v>
      </c>
      <c r="B1356" t="s">
        <v>14</v>
      </c>
      <c r="C1356" t="s">
        <v>138</v>
      </c>
      <c r="D1356" t="s">
        <v>436</v>
      </c>
      <c r="E1356" t="s">
        <v>737</v>
      </c>
      <c r="F1356" t="s">
        <v>187</v>
      </c>
      <c r="G1356" s="1">
        <v>45929</v>
      </c>
      <c r="H1356" s="1">
        <v>45933</v>
      </c>
      <c r="I1356" s="2">
        <v>2600</v>
      </c>
      <c r="J1356" t="s">
        <v>776</v>
      </c>
      <c r="K1356" t="s">
        <v>783</v>
      </c>
      <c r="L1356" t="s">
        <v>823</v>
      </c>
      <c r="M1356" t="s">
        <v>830</v>
      </c>
      <c r="N1356" t="str">
        <f t="shared" si="63"/>
        <v>T-3</v>
      </c>
      <c r="O1356">
        <f t="shared" si="64"/>
        <v>2025</v>
      </c>
      <c r="P1356" t="str">
        <f t="shared" si="65"/>
        <v>9. septiembre</v>
      </c>
    </row>
    <row r="1357" spans="1:16" x14ac:dyDescent="0.35">
      <c r="A1357">
        <v>486252</v>
      </c>
      <c r="B1357" t="s">
        <v>17</v>
      </c>
      <c r="C1357" t="s">
        <v>138</v>
      </c>
      <c r="D1357" t="s">
        <v>507</v>
      </c>
      <c r="E1357" t="s">
        <v>737</v>
      </c>
      <c r="F1357" t="s">
        <v>187</v>
      </c>
      <c r="G1357" s="1">
        <v>45929</v>
      </c>
      <c r="H1357" s="1">
        <v>45932</v>
      </c>
      <c r="I1357" s="2">
        <v>3380</v>
      </c>
      <c r="J1357" t="s">
        <v>776</v>
      </c>
      <c r="K1357" t="s">
        <v>783</v>
      </c>
      <c r="L1357" t="s">
        <v>823</v>
      </c>
      <c r="M1357" t="s">
        <v>830</v>
      </c>
      <c r="N1357" t="str">
        <f t="shared" si="63"/>
        <v>T-3</v>
      </c>
      <c r="O1357">
        <f t="shared" si="64"/>
        <v>2025</v>
      </c>
      <c r="P1357" t="str">
        <f t="shared" si="65"/>
        <v>9. septiembre</v>
      </c>
    </row>
    <row r="1358" spans="1:16" x14ac:dyDescent="0.35">
      <c r="A1358">
        <v>478027</v>
      </c>
      <c r="B1358" t="s">
        <v>117</v>
      </c>
      <c r="C1358" t="s">
        <v>139</v>
      </c>
      <c r="D1358" t="s">
        <v>393</v>
      </c>
      <c r="E1358" t="s">
        <v>660</v>
      </c>
      <c r="F1358" t="s">
        <v>187</v>
      </c>
      <c r="G1358" s="1">
        <v>45929</v>
      </c>
      <c r="H1358" s="1">
        <v>45936</v>
      </c>
      <c r="I1358" s="2">
        <v>390</v>
      </c>
      <c r="J1358" t="s">
        <v>776</v>
      </c>
      <c r="K1358" t="s">
        <v>783</v>
      </c>
      <c r="L1358" t="s">
        <v>824</v>
      </c>
      <c r="M1358" t="s">
        <v>828</v>
      </c>
      <c r="N1358" t="str">
        <f t="shared" si="63"/>
        <v>T-3</v>
      </c>
      <c r="O1358">
        <f t="shared" si="64"/>
        <v>2025</v>
      </c>
      <c r="P1358" t="str">
        <f t="shared" si="65"/>
        <v>9. septiembre</v>
      </c>
    </row>
    <row r="1359" spans="1:16" x14ac:dyDescent="0.35">
      <c r="A1359">
        <v>497190</v>
      </c>
      <c r="B1359" t="s">
        <v>54</v>
      </c>
      <c r="C1359" t="s">
        <v>137</v>
      </c>
      <c r="D1359" t="s">
        <v>545</v>
      </c>
      <c r="E1359" t="s">
        <v>660</v>
      </c>
      <c r="F1359" t="s">
        <v>187</v>
      </c>
      <c r="G1359" s="1">
        <v>45922</v>
      </c>
      <c r="H1359" s="1">
        <v>45925</v>
      </c>
      <c r="I1359" s="2">
        <v>832</v>
      </c>
      <c r="J1359" t="s">
        <v>776</v>
      </c>
      <c r="K1359" t="s">
        <v>800</v>
      </c>
      <c r="L1359" t="s">
        <v>823</v>
      </c>
      <c r="M1359" t="s">
        <v>828</v>
      </c>
      <c r="N1359" t="str">
        <f t="shared" si="63"/>
        <v>T-3</v>
      </c>
      <c r="O1359">
        <f t="shared" si="64"/>
        <v>2025</v>
      </c>
      <c r="P1359" t="str">
        <f t="shared" si="65"/>
        <v>9. septiembre</v>
      </c>
    </row>
    <row r="1360" spans="1:16" x14ac:dyDescent="0.35">
      <c r="A1360">
        <v>361947</v>
      </c>
      <c r="B1360" t="s">
        <v>17</v>
      </c>
      <c r="C1360" t="s">
        <v>139</v>
      </c>
      <c r="D1360" t="s">
        <v>546</v>
      </c>
      <c r="E1360" t="s">
        <v>660</v>
      </c>
      <c r="F1360" t="s">
        <v>187</v>
      </c>
      <c r="G1360" s="1">
        <v>45929</v>
      </c>
      <c r="H1360" s="1">
        <v>45930</v>
      </c>
      <c r="I1360" s="2">
        <v>832</v>
      </c>
      <c r="J1360" t="s">
        <v>776</v>
      </c>
      <c r="K1360" t="s">
        <v>783</v>
      </c>
      <c r="L1360" t="s">
        <v>823</v>
      </c>
      <c r="M1360" t="s">
        <v>829</v>
      </c>
      <c r="N1360" t="str">
        <f t="shared" si="63"/>
        <v>T-3</v>
      </c>
      <c r="O1360">
        <f t="shared" si="64"/>
        <v>2025</v>
      </c>
      <c r="P1360" t="str">
        <f t="shared" si="65"/>
        <v>9. septiembre</v>
      </c>
    </row>
    <row r="1361" spans="1:16" x14ac:dyDescent="0.35">
      <c r="A1361">
        <v>709448</v>
      </c>
      <c r="B1361" t="s">
        <v>27</v>
      </c>
      <c r="C1361" t="s">
        <v>137</v>
      </c>
      <c r="D1361" t="s">
        <v>547</v>
      </c>
      <c r="E1361" t="s">
        <v>660</v>
      </c>
      <c r="F1361" t="s">
        <v>187</v>
      </c>
      <c r="G1361" s="1">
        <v>45922</v>
      </c>
      <c r="H1361" s="1">
        <v>45930</v>
      </c>
      <c r="I1361" s="2">
        <v>2340</v>
      </c>
      <c r="J1361" t="s">
        <v>776</v>
      </c>
      <c r="K1361" t="s">
        <v>783</v>
      </c>
      <c r="L1361" t="s">
        <v>823</v>
      </c>
      <c r="M1361" t="s">
        <v>830</v>
      </c>
      <c r="N1361" t="str">
        <f t="shared" si="63"/>
        <v>T-3</v>
      </c>
      <c r="O1361">
        <f t="shared" si="64"/>
        <v>2025</v>
      </c>
      <c r="P1361" t="str">
        <f t="shared" si="65"/>
        <v>9. septiembre</v>
      </c>
    </row>
    <row r="1362" spans="1:16" x14ac:dyDescent="0.35">
      <c r="A1362">
        <v>361535</v>
      </c>
      <c r="B1362" t="s">
        <v>5</v>
      </c>
      <c r="C1362" t="s">
        <v>139</v>
      </c>
      <c r="D1362" t="s">
        <v>393</v>
      </c>
      <c r="E1362" t="s">
        <v>660</v>
      </c>
      <c r="F1362" t="s">
        <v>187</v>
      </c>
      <c r="G1362" s="1">
        <v>45929</v>
      </c>
      <c r="H1362" s="1">
        <v>45936</v>
      </c>
      <c r="I1362" s="2">
        <v>1560</v>
      </c>
      <c r="J1362" t="s">
        <v>776</v>
      </c>
      <c r="K1362" t="s">
        <v>783</v>
      </c>
      <c r="L1362" t="s">
        <v>823</v>
      </c>
      <c r="M1362" t="s">
        <v>830</v>
      </c>
      <c r="N1362" t="str">
        <f t="shared" si="63"/>
        <v>T-3</v>
      </c>
      <c r="O1362">
        <f t="shared" si="64"/>
        <v>2025</v>
      </c>
      <c r="P1362" t="str">
        <f t="shared" si="65"/>
        <v>9. septiembre</v>
      </c>
    </row>
    <row r="1363" spans="1:16" x14ac:dyDescent="0.35">
      <c r="A1363">
        <v>714350</v>
      </c>
      <c r="B1363" t="s">
        <v>27</v>
      </c>
      <c r="C1363" t="s">
        <v>137</v>
      </c>
      <c r="D1363" t="s">
        <v>505</v>
      </c>
      <c r="E1363" t="s">
        <v>660</v>
      </c>
      <c r="F1363" t="s">
        <v>187</v>
      </c>
      <c r="G1363" s="1">
        <v>45922</v>
      </c>
      <c r="H1363" s="1">
        <v>45922</v>
      </c>
      <c r="I1363" s="2">
        <v>624</v>
      </c>
      <c r="J1363" t="s">
        <v>776</v>
      </c>
      <c r="K1363" t="s">
        <v>800</v>
      </c>
      <c r="L1363" t="s">
        <v>823</v>
      </c>
      <c r="M1363" t="s">
        <v>828</v>
      </c>
      <c r="N1363" t="str">
        <f t="shared" si="63"/>
        <v>T-3</v>
      </c>
      <c r="O1363">
        <f t="shared" si="64"/>
        <v>2025</v>
      </c>
      <c r="P1363" t="str">
        <f t="shared" si="65"/>
        <v>9. septiembre</v>
      </c>
    </row>
    <row r="1364" spans="1:16" x14ac:dyDescent="0.35">
      <c r="A1364">
        <v>721987</v>
      </c>
      <c r="B1364" t="s">
        <v>23</v>
      </c>
      <c r="C1364" t="s">
        <v>138</v>
      </c>
      <c r="D1364" t="s">
        <v>372</v>
      </c>
      <c r="E1364" t="s">
        <v>658</v>
      </c>
      <c r="F1364" t="s">
        <v>187</v>
      </c>
      <c r="G1364" s="1">
        <v>45933</v>
      </c>
      <c r="H1364" s="1">
        <v>45933</v>
      </c>
      <c r="I1364" s="2">
        <v>2495</v>
      </c>
      <c r="J1364" t="s">
        <v>774</v>
      </c>
      <c r="K1364" t="s">
        <v>783</v>
      </c>
      <c r="L1364" t="s">
        <v>823</v>
      </c>
      <c r="M1364" t="s">
        <v>830</v>
      </c>
      <c r="N1364" t="str">
        <f t="shared" si="63"/>
        <v>T-4</v>
      </c>
      <c r="O1364">
        <f t="shared" si="64"/>
        <v>2025</v>
      </c>
      <c r="P1364" t="str">
        <f t="shared" si="65"/>
        <v>10. octubre</v>
      </c>
    </row>
    <row r="1365" spans="1:16" x14ac:dyDescent="0.35">
      <c r="A1365">
        <v>713779</v>
      </c>
      <c r="B1365" t="s">
        <v>30</v>
      </c>
      <c r="C1365" t="s">
        <v>137</v>
      </c>
      <c r="D1365" t="s">
        <v>372</v>
      </c>
      <c r="E1365" t="s">
        <v>658</v>
      </c>
      <c r="F1365" t="s">
        <v>187</v>
      </c>
      <c r="G1365" s="1">
        <v>45933</v>
      </c>
      <c r="H1365" s="1">
        <v>45933</v>
      </c>
      <c r="I1365" s="2">
        <v>968</v>
      </c>
      <c r="J1365" t="s">
        <v>774</v>
      </c>
      <c r="K1365" t="s">
        <v>783</v>
      </c>
      <c r="L1365" t="s">
        <v>823</v>
      </c>
      <c r="M1365" t="s">
        <v>829</v>
      </c>
      <c r="N1365" t="str">
        <f t="shared" si="63"/>
        <v>T-4</v>
      </c>
      <c r="O1365">
        <f t="shared" si="64"/>
        <v>2025</v>
      </c>
      <c r="P1365" t="str">
        <f t="shared" si="65"/>
        <v>10. octubre</v>
      </c>
    </row>
    <row r="1366" spans="1:16" x14ac:dyDescent="0.35">
      <c r="A1366">
        <v>409149</v>
      </c>
      <c r="B1366" t="s">
        <v>3</v>
      </c>
      <c r="C1366" t="s">
        <v>141</v>
      </c>
      <c r="D1366" t="s">
        <v>372</v>
      </c>
      <c r="E1366" t="s">
        <v>658</v>
      </c>
      <c r="F1366" t="s">
        <v>187</v>
      </c>
      <c r="G1366" s="1">
        <v>45933</v>
      </c>
      <c r="H1366" s="1">
        <v>45933</v>
      </c>
      <c r="I1366" s="2">
        <v>3388</v>
      </c>
      <c r="J1366" t="s">
        <v>776</v>
      </c>
      <c r="K1366" t="s">
        <v>783</v>
      </c>
      <c r="L1366" t="s">
        <v>824</v>
      </c>
      <c r="M1366" t="s">
        <v>830</v>
      </c>
      <c r="N1366" t="str">
        <f t="shared" si="63"/>
        <v>T-4</v>
      </c>
      <c r="O1366">
        <f t="shared" si="64"/>
        <v>2025</v>
      </c>
      <c r="P1366" t="str">
        <f t="shared" si="65"/>
        <v>10. octubre</v>
      </c>
    </row>
    <row r="1367" spans="1:16" x14ac:dyDescent="0.35">
      <c r="A1367">
        <v>405984</v>
      </c>
      <c r="B1367" t="s">
        <v>5</v>
      </c>
      <c r="C1367" t="s">
        <v>138</v>
      </c>
      <c r="D1367" t="s">
        <v>372</v>
      </c>
      <c r="E1367" t="s">
        <v>658</v>
      </c>
      <c r="F1367" t="s">
        <v>187</v>
      </c>
      <c r="G1367" s="1">
        <v>45933</v>
      </c>
      <c r="H1367" s="1">
        <v>45933</v>
      </c>
      <c r="I1367" s="2">
        <v>1452</v>
      </c>
      <c r="J1367" t="s">
        <v>774</v>
      </c>
      <c r="K1367" t="s">
        <v>783</v>
      </c>
      <c r="L1367" t="s">
        <v>823</v>
      </c>
      <c r="M1367" t="s">
        <v>830</v>
      </c>
      <c r="N1367" t="str">
        <f t="shared" si="63"/>
        <v>T-4</v>
      </c>
      <c r="O1367">
        <f t="shared" si="64"/>
        <v>2025</v>
      </c>
      <c r="P1367" t="str">
        <f t="shared" si="65"/>
        <v>10. octubre</v>
      </c>
    </row>
    <row r="1368" spans="1:16" x14ac:dyDescent="0.35">
      <c r="A1368">
        <v>465661</v>
      </c>
      <c r="B1368" t="s">
        <v>25</v>
      </c>
      <c r="C1368" t="s">
        <v>139</v>
      </c>
      <c r="D1368" t="s">
        <v>548</v>
      </c>
      <c r="E1368" t="s">
        <v>753</v>
      </c>
      <c r="F1368" t="s">
        <v>187</v>
      </c>
      <c r="G1368" s="1">
        <v>45931</v>
      </c>
      <c r="H1368" s="1">
        <v>45932</v>
      </c>
      <c r="I1368" s="2">
        <v>400</v>
      </c>
      <c r="J1368" t="s">
        <v>776</v>
      </c>
      <c r="K1368" t="s">
        <v>783</v>
      </c>
      <c r="L1368" t="s">
        <v>823</v>
      </c>
      <c r="M1368" t="s">
        <v>828</v>
      </c>
      <c r="N1368" t="str">
        <f t="shared" si="63"/>
        <v>T-4</v>
      </c>
      <c r="O1368">
        <f t="shared" si="64"/>
        <v>2025</v>
      </c>
      <c r="P1368" t="str">
        <f t="shared" si="65"/>
        <v>10. octubre</v>
      </c>
    </row>
    <row r="1369" spans="1:16" x14ac:dyDescent="0.35">
      <c r="A1369">
        <v>708959</v>
      </c>
      <c r="B1369" t="s">
        <v>33</v>
      </c>
      <c r="C1369" t="s">
        <v>136</v>
      </c>
      <c r="D1369" t="s">
        <v>548</v>
      </c>
      <c r="E1369" t="s">
        <v>753</v>
      </c>
      <c r="F1369" t="s">
        <v>187</v>
      </c>
      <c r="G1369" s="1">
        <v>45931</v>
      </c>
      <c r="H1369" s="1">
        <v>45932</v>
      </c>
      <c r="I1369" s="2">
        <v>400</v>
      </c>
      <c r="J1369" t="s">
        <v>776</v>
      </c>
      <c r="K1369" t="s">
        <v>783</v>
      </c>
      <c r="L1369" t="s">
        <v>823</v>
      </c>
      <c r="M1369" t="s">
        <v>828</v>
      </c>
      <c r="N1369" t="str">
        <f t="shared" si="63"/>
        <v>T-4</v>
      </c>
      <c r="O1369">
        <f t="shared" si="64"/>
        <v>2025</v>
      </c>
      <c r="P1369" t="str">
        <f t="shared" si="65"/>
        <v>10. octubre</v>
      </c>
    </row>
    <row r="1370" spans="1:16" x14ac:dyDescent="0.35">
      <c r="A1370">
        <v>365091</v>
      </c>
      <c r="B1370" t="s">
        <v>30</v>
      </c>
      <c r="C1370" t="s">
        <v>138</v>
      </c>
      <c r="D1370" t="s">
        <v>549</v>
      </c>
      <c r="E1370" t="s">
        <v>660</v>
      </c>
      <c r="F1370" t="s">
        <v>187</v>
      </c>
      <c r="G1370" s="1">
        <v>45925</v>
      </c>
      <c r="H1370" s="1">
        <v>45926</v>
      </c>
      <c r="I1370" s="2">
        <v>1326</v>
      </c>
      <c r="J1370" t="s">
        <v>776</v>
      </c>
      <c r="K1370" t="s">
        <v>783</v>
      </c>
      <c r="L1370" t="s">
        <v>823</v>
      </c>
      <c r="M1370" t="s">
        <v>830</v>
      </c>
      <c r="N1370" t="str">
        <f t="shared" si="63"/>
        <v>T-3</v>
      </c>
      <c r="O1370">
        <f t="shared" si="64"/>
        <v>2025</v>
      </c>
      <c r="P1370" t="str">
        <f t="shared" si="65"/>
        <v>9. septiembre</v>
      </c>
    </row>
    <row r="1371" spans="1:16" x14ac:dyDescent="0.35">
      <c r="A1371">
        <v>567392</v>
      </c>
      <c r="B1371" t="s">
        <v>5</v>
      </c>
      <c r="C1371" t="s">
        <v>138</v>
      </c>
      <c r="D1371" t="s">
        <v>442</v>
      </c>
      <c r="E1371" t="s">
        <v>675</v>
      </c>
      <c r="F1371" t="s">
        <v>187</v>
      </c>
      <c r="G1371" s="1">
        <v>45915</v>
      </c>
      <c r="H1371" s="1">
        <v>45923</v>
      </c>
      <c r="I1371" s="2">
        <v>1300</v>
      </c>
      <c r="J1371" t="s">
        <v>779</v>
      </c>
      <c r="K1371" t="s">
        <v>783</v>
      </c>
      <c r="L1371" t="s">
        <v>823</v>
      </c>
      <c r="M1371" t="s">
        <v>829</v>
      </c>
      <c r="N1371" t="str">
        <f t="shared" si="63"/>
        <v>T-3</v>
      </c>
      <c r="O1371">
        <f t="shared" si="64"/>
        <v>2025</v>
      </c>
      <c r="P1371" t="str">
        <f t="shared" si="65"/>
        <v>9. septiembre</v>
      </c>
    </row>
    <row r="1372" spans="1:16" x14ac:dyDescent="0.35">
      <c r="A1372">
        <v>711669</v>
      </c>
      <c r="B1372" t="s">
        <v>28</v>
      </c>
      <c r="C1372" t="s">
        <v>138</v>
      </c>
      <c r="D1372" t="s">
        <v>293</v>
      </c>
      <c r="E1372" t="s">
        <v>675</v>
      </c>
      <c r="F1372" t="s">
        <v>187</v>
      </c>
      <c r="G1372" s="1">
        <v>45917</v>
      </c>
      <c r="H1372" s="1">
        <v>45926</v>
      </c>
      <c r="I1372" s="2">
        <v>960</v>
      </c>
      <c r="J1372" t="s">
        <v>779</v>
      </c>
      <c r="K1372" t="s">
        <v>783</v>
      </c>
      <c r="L1372" t="s">
        <v>824</v>
      </c>
      <c r="M1372" t="s">
        <v>830</v>
      </c>
      <c r="N1372" t="str">
        <f t="shared" si="63"/>
        <v>T-3</v>
      </c>
      <c r="O1372">
        <f t="shared" si="64"/>
        <v>2025</v>
      </c>
      <c r="P1372" t="str">
        <f t="shared" si="65"/>
        <v>9. septiembre</v>
      </c>
    </row>
    <row r="1373" spans="1:16" x14ac:dyDescent="0.35">
      <c r="A1373">
        <v>715401</v>
      </c>
      <c r="B1373" t="s">
        <v>4</v>
      </c>
      <c r="C1373" t="s">
        <v>137</v>
      </c>
      <c r="D1373" t="s">
        <v>428</v>
      </c>
      <c r="E1373" t="s">
        <v>675</v>
      </c>
      <c r="F1373" t="s">
        <v>187</v>
      </c>
      <c r="G1373" s="1">
        <v>45911</v>
      </c>
      <c r="H1373" s="1">
        <v>45926</v>
      </c>
      <c r="I1373" s="2">
        <v>1134.55</v>
      </c>
      <c r="J1373" t="s">
        <v>779</v>
      </c>
      <c r="K1373" t="s">
        <v>783</v>
      </c>
      <c r="L1373" t="s">
        <v>823</v>
      </c>
      <c r="M1373" t="s">
        <v>830</v>
      </c>
      <c r="N1373" t="str">
        <f t="shared" si="63"/>
        <v>T-3</v>
      </c>
      <c r="O1373">
        <f t="shared" si="64"/>
        <v>2025</v>
      </c>
      <c r="P1373" t="str">
        <f t="shared" si="65"/>
        <v>9. septiembre</v>
      </c>
    </row>
    <row r="1374" spans="1:16" x14ac:dyDescent="0.35">
      <c r="A1374">
        <v>422345</v>
      </c>
      <c r="B1374" t="s">
        <v>25</v>
      </c>
      <c r="C1374" t="s">
        <v>139</v>
      </c>
      <c r="D1374" t="s">
        <v>232</v>
      </c>
      <c r="E1374" t="s">
        <v>675</v>
      </c>
      <c r="F1374" t="s">
        <v>187</v>
      </c>
      <c r="G1374" s="1">
        <v>45924</v>
      </c>
      <c r="H1374" s="1">
        <v>45926</v>
      </c>
      <c r="I1374" s="2">
        <v>668.57</v>
      </c>
      <c r="J1374" t="s">
        <v>779</v>
      </c>
      <c r="K1374" t="s">
        <v>783</v>
      </c>
      <c r="L1374" t="s">
        <v>823</v>
      </c>
      <c r="M1374" t="s">
        <v>828</v>
      </c>
      <c r="N1374" t="str">
        <f t="shared" si="63"/>
        <v>T-3</v>
      </c>
      <c r="O1374">
        <f t="shared" si="64"/>
        <v>2025</v>
      </c>
      <c r="P1374" t="str">
        <f t="shared" si="65"/>
        <v>9. septiembre</v>
      </c>
    </row>
    <row r="1375" spans="1:16" x14ac:dyDescent="0.35">
      <c r="A1375">
        <v>723648</v>
      </c>
      <c r="B1375" t="s">
        <v>30</v>
      </c>
      <c r="C1375" t="s">
        <v>137</v>
      </c>
      <c r="D1375" t="s">
        <v>232</v>
      </c>
      <c r="E1375" t="s">
        <v>675</v>
      </c>
      <c r="F1375" t="s">
        <v>187</v>
      </c>
      <c r="G1375" s="1">
        <v>45924</v>
      </c>
      <c r="H1375" s="1">
        <v>45926</v>
      </c>
      <c r="I1375" s="2">
        <v>222.86</v>
      </c>
      <c r="J1375" t="s">
        <v>779</v>
      </c>
      <c r="K1375" t="s">
        <v>783</v>
      </c>
      <c r="L1375" t="s">
        <v>823</v>
      </c>
      <c r="M1375" t="s">
        <v>828</v>
      </c>
      <c r="N1375" t="str">
        <f t="shared" si="63"/>
        <v>T-3</v>
      </c>
      <c r="O1375">
        <f t="shared" si="64"/>
        <v>2025</v>
      </c>
      <c r="P1375" t="str">
        <f t="shared" si="65"/>
        <v>9. septiembre</v>
      </c>
    </row>
    <row r="1376" spans="1:16" x14ac:dyDescent="0.35">
      <c r="A1376">
        <v>561125</v>
      </c>
      <c r="B1376" t="s">
        <v>20</v>
      </c>
      <c r="C1376" t="s">
        <v>136</v>
      </c>
      <c r="D1376" t="s">
        <v>552</v>
      </c>
      <c r="E1376" t="s">
        <v>694</v>
      </c>
      <c r="F1376" t="s">
        <v>187</v>
      </c>
      <c r="G1376" s="1">
        <v>45845</v>
      </c>
      <c r="H1376" s="1">
        <v>45930</v>
      </c>
      <c r="I1376" s="2">
        <v>1050</v>
      </c>
      <c r="J1376" t="s">
        <v>778</v>
      </c>
      <c r="K1376" t="s">
        <v>783</v>
      </c>
      <c r="L1376" t="s">
        <v>823</v>
      </c>
      <c r="M1376" t="s">
        <v>829</v>
      </c>
      <c r="N1376" t="str">
        <f t="shared" si="63"/>
        <v>T-3</v>
      </c>
      <c r="O1376">
        <f t="shared" si="64"/>
        <v>2025</v>
      </c>
      <c r="P1376" t="str">
        <f t="shared" si="65"/>
        <v>7. julio</v>
      </c>
    </row>
    <row r="1377" spans="1:16" x14ac:dyDescent="0.35">
      <c r="A1377">
        <v>706961</v>
      </c>
      <c r="B1377" t="s">
        <v>24</v>
      </c>
      <c r="C1377" t="s">
        <v>138</v>
      </c>
      <c r="D1377" t="s">
        <v>553</v>
      </c>
      <c r="E1377" t="s">
        <v>694</v>
      </c>
      <c r="F1377" t="s">
        <v>187</v>
      </c>
      <c r="G1377" s="1">
        <v>45845</v>
      </c>
      <c r="H1377" s="1">
        <v>45930</v>
      </c>
      <c r="I1377" s="2">
        <v>225</v>
      </c>
      <c r="J1377" t="s">
        <v>778</v>
      </c>
      <c r="K1377" t="s">
        <v>800</v>
      </c>
      <c r="L1377" t="s">
        <v>823</v>
      </c>
      <c r="M1377" t="s">
        <v>830</v>
      </c>
      <c r="N1377" t="str">
        <f t="shared" si="63"/>
        <v>T-3</v>
      </c>
      <c r="O1377">
        <f t="shared" si="64"/>
        <v>2025</v>
      </c>
      <c r="P1377" t="str">
        <f t="shared" si="65"/>
        <v>7. julio</v>
      </c>
    </row>
    <row r="1378" spans="1:16" x14ac:dyDescent="0.35">
      <c r="A1378">
        <v>411817</v>
      </c>
      <c r="B1378" t="s">
        <v>4</v>
      </c>
      <c r="C1378" t="s">
        <v>138</v>
      </c>
      <c r="D1378" t="s">
        <v>554</v>
      </c>
      <c r="E1378" t="s">
        <v>694</v>
      </c>
      <c r="F1378" t="s">
        <v>187</v>
      </c>
      <c r="G1378" s="1">
        <v>45845</v>
      </c>
      <c r="H1378" s="1">
        <v>45930</v>
      </c>
      <c r="I1378" s="2">
        <v>240</v>
      </c>
      <c r="J1378" t="s">
        <v>778</v>
      </c>
      <c r="K1378" t="s">
        <v>787</v>
      </c>
      <c r="L1378" t="s">
        <v>823</v>
      </c>
      <c r="M1378" t="s">
        <v>830</v>
      </c>
      <c r="N1378" t="str">
        <f t="shared" si="63"/>
        <v>T-3</v>
      </c>
      <c r="O1378">
        <f t="shared" si="64"/>
        <v>2025</v>
      </c>
      <c r="P1378" t="str">
        <f t="shared" si="65"/>
        <v>7. julio</v>
      </c>
    </row>
    <row r="1379" spans="1:16" x14ac:dyDescent="0.35">
      <c r="A1379">
        <v>722642</v>
      </c>
      <c r="B1379" t="s">
        <v>23</v>
      </c>
      <c r="C1379" t="s">
        <v>136</v>
      </c>
      <c r="D1379" t="s">
        <v>555</v>
      </c>
      <c r="E1379" t="s">
        <v>694</v>
      </c>
      <c r="F1379" t="s">
        <v>187</v>
      </c>
      <c r="G1379" s="1">
        <v>45845</v>
      </c>
      <c r="H1379" s="1">
        <v>45930</v>
      </c>
      <c r="I1379" s="2">
        <v>480</v>
      </c>
      <c r="J1379" t="s">
        <v>778</v>
      </c>
      <c r="K1379" t="s">
        <v>787</v>
      </c>
      <c r="L1379" t="s">
        <v>824</v>
      </c>
      <c r="M1379" t="s">
        <v>828</v>
      </c>
      <c r="N1379" t="str">
        <f t="shared" si="63"/>
        <v>T-3</v>
      </c>
      <c r="O1379">
        <f t="shared" si="64"/>
        <v>2025</v>
      </c>
      <c r="P1379" t="str">
        <f t="shared" si="65"/>
        <v>7. julio</v>
      </c>
    </row>
    <row r="1380" spans="1:16" x14ac:dyDescent="0.35">
      <c r="A1380">
        <v>701466</v>
      </c>
      <c r="B1380" t="s">
        <v>20</v>
      </c>
      <c r="C1380" t="s">
        <v>136</v>
      </c>
      <c r="D1380" t="s">
        <v>378</v>
      </c>
      <c r="E1380" t="s">
        <v>694</v>
      </c>
      <c r="F1380" t="s">
        <v>187</v>
      </c>
      <c r="G1380" s="1">
        <v>45845</v>
      </c>
      <c r="H1380" s="1">
        <v>45930</v>
      </c>
      <c r="I1380" s="2">
        <v>337.5</v>
      </c>
      <c r="J1380" t="s">
        <v>778</v>
      </c>
      <c r="K1380" t="s">
        <v>783</v>
      </c>
      <c r="L1380" t="s">
        <v>823</v>
      </c>
      <c r="M1380" t="s">
        <v>830</v>
      </c>
      <c r="N1380" t="str">
        <f t="shared" si="63"/>
        <v>T-3</v>
      </c>
      <c r="O1380">
        <f t="shared" si="64"/>
        <v>2025</v>
      </c>
      <c r="P1380" t="str">
        <f t="shared" si="65"/>
        <v>7. julio</v>
      </c>
    </row>
    <row r="1381" spans="1:16" x14ac:dyDescent="0.35">
      <c r="A1381">
        <v>708100</v>
      </c>
      <c r="B1381" t="s">
        <v>23</v>
      </c>
      <c r="C1381" t="s">
        <v>141</v>
      </c>
      <c r="D1381" t="s">
        <v>394</v>
      </c>
      <c r="E1381" t="s">
        <v>694</v>
      </c>
      <c r="F1381" t="s">
        <v>187</v>
      </c>
      <c r="G1381" s="1">
        <v>45845</v>
      </c>
      <c r="H1381" s="1">
        <v>45930</v>
      </c>
      <c r="I1381" s="2">
        <v>675</v>
      </c>
      <c r="J1381" t="s">
        <v>778</v>
      </c>
      <c r="K1381" t="s">
        <v>783</v>
      </c>
      <c r="L1381" t="s">
        <v>823</v>
      </c>
      <c r="M1381" t="s">
        <v>829</v>
      </c>
      <c r="N1381" t="str">
        <f t="shared" si="63"/>
        <v>T-3</v>
      </c>
      <c r="O1381">
        <f t="shared" si="64"/>
        <v>2025</v>
      </c>
      <c r="P1381" t="str">
        <f t="shared" si="65"/>
        <v>7. julio</v>
      </c>
    </row>
    <row r="1382" spans="1:16" x14ac:dyDescent="0.35">
      <c r="A1382">
        <v>561895</v>
      </c>
      <c r="B1382" t="s">
        <v>5</v>
      </c>
      <c r="C1382" t="s">
        <v>138</v>
      </c>
      <c r="D1382" t="s">
        <v>246</v>
      </c>
      <c r="E1382" t="s">
        <v>652</v>
      </c>
      <c r="F1382" t="s">
        <v>187</v>
      </c>
      <c r="G1382" s="1">
        <v>45929</v>
      </c>
      <c r="H1382" s="1">
        <v>45929</v>
      </c>
      <c r="I1382" s="2">
        <v>312</v>
      </c>
      <c r="J1382" t="s">
        <v>774</v>
      </c>
      <c r="K1382" t="s">
        <v>783</v>
      </c>
      <c r="L1382" t="s">
        <v>823</v>
      </c>
      <c r="M1382" t="s">
        <v>830</v>
      </c>
      <c r="N1382" t="str">
        <f t="shared" si="63"/>
        <v>T-3</v>
      </c>
      <c r="O1382">
        <f t="shared" si="64"/>
        <v>2025</v>
      </c>
      <c r="P1382" t="str">
        <f t="shared" si="65"/>
        <v>9. septiembre</v>
      </c>
    </row>
    <row r="1383" spans="1:16" x14ac:dyDescent="0.35">
      <c r="A1383">
        <v>472199</v>
      </c>
      <c r="B1383" t="s">
        <v>9</v>
      </c>
      <c r="C1383" t="s">
        <v>139</v>
      </c>
      <c r="D1383" t="s">
        <v>386</v>
      </c>
      <c r="E1383" t="s">
        <v>652</v>
      </c>
      <c r="F1383" t="s">
        <v>187</v>
      </c>
      <c r="G1383" s="1">
        <v>45929</v>
      </c>
      <c r="H1383" s="1">
        <v>45932</v>
      </c>
      <c r="I1383" s="2">
        <v>590</v>
      </c>
      <c r="J1383" t="s">
        <v>774</v>
      </c>
      <c r="K1383" t="s">
        <v>783</v>
      </c>
      <c r="L1383" t="s">
        <v>823</v>
      </c>
      <c r="M1383" t="s">
        <v>830</v>
      </c>
      <c r="N1383" t="str">
        <f t="shared" si="63"/>
        <v>T-3</v>
      </c>
      <c r="O1383">
        <f t="shared" si="64"/>
        <v>2025</v>
      </c>
      <c r="P1383" t="str">
        <f t="shared" si="65"/>
        <v>9. septiembre</v>
      </c>
    </row>
    <row r="1384" spans="1:16" x14ac:dyDescent="0.35">
      <c r="A1384">
        <v>713656</v>
      </c>
      <c r="B1384" t="s">
        <v>37</v>
      </c>
      <c r="C1384" t="s">
        <v>138</v>
      </c>
      <c r="D1384" t="s">
        <v>385</v>
      </c>
      <c r="E1384" t="s">
        <v>652</v>
      </c>
      <c r="F1384" t="s">
        <v>187</v>
      </c>
      <c r="G1384" s="1">
        <v>45930</v>
      </c>
      <c r="H1384" s="1">
        <v>45933</v>
      </c>
      <c r="I1384" s="2">
        <v>1125</v>
      </c>
      <c r="J1384" t="s">
        <v>774</v>
      </c>
      <c r="K1384" t="s">
        <v>783</v>
      </c>
      <c r="L1384" t="s">
        <v>823</v>
      </c>
      <c r="M1384" t="s">
        <v>828</v>
      </c>
      <c r="N1384" t="str">
        <f t="shared" si="63"/>
        <v>T-3</v>
      </c>
      <c r="O1384">
        <f t="shared" si="64"/>
        <v>2025</v>
      </c>
      <c r="P1384" t="str">
        <f t="shared" si="65"/>
        <v>9. septiembre</v>
      </c>
    </row>
    <row r="1385" spans="1:16" x14ac:dyDescent="0.35">
      <c r="A1385">
        <v>452657</v>
      </c>
      <c r="B1385" t="s">
        <v>54</v>
      </c>
      <c r="C1385" t="s">
        <v>136</v>
      </c>
      <c r="D1385" t="s">
        <v>246</v>
      </c>
      <c r="E1385" t="s">
        <v>652</v>
      </c>
      <c r="F1385" t="s">
        <v>187</v>
      </c>
      <c r="G1385" s="1">
        <v>45929</v>
      </c>
      <c r="H1385" s="1">
        <v>45929</v>
      </c>
      <c r="I1385" s="2">
        <v>468</v>
      </c>
      <c r="J1385" t="s">
        <v>774</v>
      </c>
      <c r="K1385" t="s">
        <v>783</v>
      </c>
      <c r="L1385" t="s">
        <v>823</v>
      </c>
      <c r="M1385" t="s">
        <v>828</v>
      </c>
      <c r="N1385" t="str">
        <f t="shared" si="63"/>
        <v>T-3</v>
      </c>
      <c r="O1385">
        <f t="shared" si="64"/>
        <v>2025</v>
      </c>
      <c r="P1385" t="str">
        <f t="shared" si="65"/>
        <v>9. septiembre</v>
      </c>
    </row>
    <row r="1386" spans="1:16" x14ac:dyDescent="0.35">
      <c r="A1386">
        <v>750059</v>
      </c>
      <c r="B1386" t="s">
        <v>4</v>
      </c>
      <c r="C1386" t="s">
        <v>138</v>
      </c>
      <c r="D1386" t="s">
        <v>386</v>
      </c>
      <c r="E1386" t="s">
        <v>652</v>
      </c>
      <c r="F1386" t="s">
        <v>187</v>
      </c>
      <c r="G1386" s="1">
        <v>45929</v>
      </c>
      <c r="H1386" s="1">
        <v>45932</v>
      </c>
      <c r="I1386" s="2">
        <v>1180</v>
      </c>
      <c r="J1386" t="s">
        <v>774</v>
      </c>
      <c r="K1386" t="s">
        <v>783</v>
      </c>
      <c r="L1386" t="s">
        <v>823</v>
      </c>
      <c r="M1386" t="s">
        <v>830</v>
      </c>
      <c r="N1386" t="str">
        <f t="shared" si="63"/>
        <v>T-3</v>
      </c>
      <c r="O1386">
        <f t="shared" si="64"/>
        <v>2025</v>
      </c>
      <c r="P1386" t="str">
        <f t="shared" si="65"/>
        <v>9. septiembre</v>
      </c>
    </row>
    <row r="1387" spans="1:16" x14ac:dyDescent="0.35">
      <c r="A1387">
        <v>560857</v>
      </c>
      <c r="B1387" t="s">
        <v>22</v>
      </c>
      <c r="C1387" t="s">
        <v>138</v>
      </c>
      <c r="D1387" t="s">
        <v>385</v>
      </c>
      <c r="E1387" t="s">
        <v>652</v>
      </c>
      <c r="F1387" t="s">
        <v>187</v>
      </c>
      <c r="G1387" s="1">
        <v>45930</v>
      </c>
      <c r="H1387" s="1">
        <v>45933</v>
      </c>
      <c r="I1387" s="2">
        <v>1125</v>
      </c>
      <c r="J1387" t="s">
        <v>774</v>
      </c>
      <c r="K1387" t="s">
        <v>786</v>
      </c>
      <c r="L1387" t="s">
        <v>824</v>
      </c>
      <c r="M1387" t="s">
        <v>829</v>
      </c>
      <c r="N1387" t="str">
        <f t="shared" si="63"/>
        <v>T-3</v>
      </c>
      <c r="O1387">
        <f t="shared" si="64"/>
        <v>2025</v>
      </c>
      <c r="P1387" t="str">
        <f t="shared" si="65"/>
        <v>9. septiembre</v>
      </c>
    </row>
    <row r="1388" spans="1:16" x14ac:dyDescent="0.35">
      <c r="A1388">
        <v>452962</v>
      </c>
      <c r="B1388" t="s">
        <v>27</v>
      </c>
      <c r="C1388" t="s">
        <v>139</v>
      </c>
      <c r="D1388" t="s">
        <v>557</v>
      </c>
      <c r="E1388" t="s">
        <v>652</v>
      </c>
      <c r="F1388" t="s">
        <v>187</v>
      </c>
      <c r="G1388" s="1">
        <v>45929</v>
      </c>
      <c r="H1388" s="1">
        <v>45933</v>
      </c>
      <c r="I1388" s="2">
        <v>3510</v>
      </c>
      <c r="J1388" t="s">
        <v>774</v>
      </c>
      <c r="K1388" t="s">
        <v>786</v>
      </c>
      <c r="L1388" t="s">
        <v>823</v>
      </c>
      <c r="M1388" t="s">
        <v>830</v>
      </c>
      <c r="N1388" t="str">
        <f t="shared" si="63"/>
        <v>T-3</v>
      </c>
      <c r="O1388">
        <f t="shared" si="64"/>
        <v>2025</v>
      </c>
      <c r="P1388" t="str">
        <f t="shared" si="65"/>
        <v>9. septiembre</v>
      </c>
    </row>
    <row r="1389" spans="1:16" x14ac:dyDescent="0.35">
      <c r="A1389">
        <v>565704</v>
      </c>
      <c r="B1389" t="s">
        <v>4</v>
      </c>
      <c r="C1389" t="s">
        <v>138</v>
      </c>
      <c r="D1389" t="s">
        <v>286</v>
      </c>
      <c r="E1389" t="s">
        <v>652</v>
      </c>
      <c r="F1389" t="s">
        <v>187</v>
      </c>
      <c r="G1389" s="1">
        <v>45933</v>
      </c>
      <c r="H1389" s="1">
        <v>45933</v>
      </c>
      <c r="I1389" s="2">
        <v>234</v>
      </c>
      <c r="J1389" t="s">
        <v>774</v>
      </c>
      <c r="K1389" t="s">
        <v>786</v>
      </c>
      <c r="L1389" t="s">
        <v>823</v>
      </c>
      <c r="M1389" t="s">
        <v>830</v>
      </c>
      <c r="N1389" t="str">
        <f t="shared" si="63"/>
        <v>T-4</v>
      </c>
      <c r="O1389">
        <f t="shared" si="64"/>
        <v>2025</v>
      </c>
      <c r="P1389" t="str">
        <f t="shared" si="65"/>
        <v>10. octubre</v>
      </c>
    </row>
    <row r="1390" spans="1:16" x14ac:dyDescent="0.35">
      <c r="A1390">
        <v>490444</v>
      </c>
      <c r="B1390" t="s">
        <v>33</v>
      </c>
      <c r="C1390" t="s">
        <v>138</v>
      </c>
      <c r="D1390" t="s">
        <v>286</v>
      </c>
      <c r="E1390" t="s">
        <v>652</v>
      </c>
      <c r="F1390" t="s">
        <v>187</v>
      </c>
      <c r="G1390" s="1">
        <v>45933</v>
      </c>
      <c r="H1390" s="1">
        <v>45933</v>
      </c>
      <c r="I1390" s="2">
        <v>546</v>
      </c>
      <c r="J1390" t="s">
        <v>774</v>
      </c>
      <c r="K1390" t="s">
        <v>783</v>
      </c>
      <c r="L1390" t="s">
        <v>823</v>
      </c>
      <c r="M1390" t="s">
        <v>828</v>
      </c>
      <c r="N1390" t="str">
        <f t="shared" si="63"/>
        <v>T-4</v>
      </c>
      <c r="O1390">
        <f t="shared" si="64"/>
        <v>2025</v>
      </c>
      <c r="P1390" t="str">
        <f t="shared" si="65"/>
        <v>10. octubre</v>
      </c>
    </row>
    <row r="1391" spans="1:16" x14ac:dyDescent="0.35">
      <c r="A1391">
        <v>560724</v>
      </c>
      <c r="B1391" t="s">
        <v>5</v>
      </c>
      <c r="C1391" t="s">
        <v>138</v>
      </c>
      <c r="D1391" t="s">
        <v>385</v>
      </c>
      <c r="E1391" t="s">
        <v>652</v>
      </c>
      <c r="F1391" t="s">
        <v>187</v>
      </c>
      <c r="G1391" s="1">
        <v>45930</v>
      </c>
      <c r="H1391" s="1">
        <v>45933</v>
      </c>
      <c r="I1391" s="2">
        <v>936</v>
      </c>
      <c r="J1391" t="s">
        <v>778</v>
      </c>
      <c r="K1391" t="s">
        <v>786</v>
      </c>
      <c r="L1391" t="s">
        <v>823</v>
      </c>
      <c r="M1391" t="s">
        <v>828</v>
      </c>
      <c r="N1391" t="str">
        <f t="shared" si="63"/>
        <v>T-3</v>
      </c>
      <c r="O1391">
        <f t="shared" si="64"/>
        <v>2025</v>
      </c>
      <c r="P1391" t="str">
        <f t="shared" si="65"/>
        <v>9. septiembre</v>
      </c>
    </row>
    <row r="1392" spans="1:16" x14ac:dyDescent="0.35">
      <c r="A1392">
        <v>560721</v>
      </c>
      <c r="B1392" t="s">
        <v>5</v>
      </c>
      <c r="C1392" t="s">
        <v>138</v>
      </c>
      <c r="D1392" t="s">
        <v>558</v>
      </c>
      <c r="E1392" t="s">
        <v>678</v>
      </c>
      <c r="F1392" t="s">
        <v>187</v>
      </c>
      <c r="G1392" s="1">
        <v>45929</v>
      </c>
      <c r="H1392" s="1">
        <v>45932</v>
      </c>
      <c r="I1392" s="2">
        <v>260</v>
      </c>
      <c r="J1392" t="s">
        <v>776</v>
      </c>
      <c r="K1392" t="s">
        <v>783</v>
      </c>
      <c r="L1392" t="s">
        <v>823</v>
      </c>
      <c r="M1392" t="s">
        <v>829</v>
      </c>
      <c r="N1392" t="str">
        <f t="shared" si="63"/>
        <v>T-3</v>
      </c>
      <c r="O1392">
        <f t="shared" si="64"/>
        <v>2025</v>
      </c>
      <c r="P1392" t="str">
        <f t="shared" si="65"/>
        <v>9. septiembre</v>
      </c>
    </row>
    <row r="1393" spans="1:16" x14ac:dyDescent="0.35">
      <c r="A1393">
        <v>716565</v>
      </c>
      <c r="B1393" t="s">
        <v>63</v>
      </c>
      <c r="C1393" t="s">
        <v>136</v>
      </c>
      <c r="D1393" t="s">
        <v>460</v>
      </c>
      <c r="E1393" t="s">
        <v>678</v>
      </c>
      <c r="F1393" t="s">
        <v>187</v>
      </c>
      <c r="G1393" s="1">
        <v>45929</v>
      </c>
      <c r="H1393" s="1">
        <v>45931</v>
      </c>
      <c r="I1393" s="2">
        <v>208</v>
      </c>
      <c r="J1393" t="s">
        <v>776</v>
      </c>
      <c r="K1393" t="s">
        <v>783</v>
      </c>
      <c r="L1393" t="s">
        <v>824</v>
      </c>
      <c r="M1393" t="s">
        <v>830</v>
      </c>
      <c r="N1393" t="str">
        <f t="shared" si="63"/>
        <v>T-3</v>
      </c>
      <c r="O1393">
        <f t="shared" si="64"/>
        <v>2025</v>
      </c>
      <c r="P1393" t="str">
        <f t="shared" si="65"/>
        <v>9. septiembre</v>
      </c>
    </row>
    <row r="1394" spans="1:16" x14ac:dyDescent="0.35">
      <c r="A1394">
        <v>500860</v>
      </c>
      <c r="B1394" t="s">
        <v>19</v>
      </c>
      <c r="C1394" t="s">
        <v>140</v>
      </c>
      <c r="D1394" t="s">
        <v>465</v>
      </c>
      <c r="E1394" t="s">
        <v>678</v>
      </c>
      <c r="F1394" t="s">
        <v>187</v>
      </c>
      <c r="G1394" s="1">
        <v>45930</v>
      </c>
      <c r="H1394" s="1">
        <v>45933</v>
      </c>
      <c r="I1394" s="2">
        <v>2600</v>
      </c>
      <c r="J1394" t="s">
        <v>776</v>
      </c>
      <c r="K1394" t="s">
        <v>783</v>
      </c>
      <c r="L1394" t="s">
        <v>823</v>
      </c>
      <c r="M1394" t="s">
        <v>830</v>
      </c>
      <c r="N1394" t="str">
        <f t="shared" si="63"/>
        <v>T-3</v>
      </c>
      <c r="O1394">
        <f t="shared" si="64"/>
        <v>2025</v>
      </c>
      <c r="P1394" t="str">
        <f t="shared" si="65"/>
        <v>9. septiembre</v>
      </c>
    </row>
    <row r="1395" spans="1:16" x14ac:dyDescent="0.35">
      <c r="A1395">
        <v>404894</v>
      </c>
      <c r="B1395" t="s">
        <v>5</v>
      </c>
      <c r="C1395" t="s">
        <v>138</v>
      </c>
      <c r="D1395" t="s">
        <v>460</v>
      </c>
      <c r="E1395" t="s">
        <v>678</v>
      </c>
      <c r="F1395" t="s">
        <v>187</v>
      </c>
      <c r="G1395" s="1">
        <v>45929</v>
      </c>
      <c r="H1395" s="1">
        <v>45931</v>
      </c>
      <c r="I1395" s="2">
        <v>1872</v>
      </c>
      <c r="J1395" t="s">
        <v>776</v>
      </c>
      <c r="K1395" t="s">
        <v>783</v>
      </c>
      <c r="L1395" t="s">
        <v>823</v>
      </c>
      <c r="M1395" t="s">
        <v>828</v>
      </c>
      <c r="N1395" t="str">
        <f t="shared" si="63"/>
        <v>T-3</v>
      </c>
      <c r="O1395">
        <f t="shared" si="64"/>
        <v>2025</v>
      </c>
      <c r="P1395" t="str">
        <f t="shared" si="65"/>
        <v>9. septiembre</v>
      </c>
    </row>
    <row r="1396" spans="1:16" x14ac:dyDescent="0.35">
      <c r="A1396">
        <v>412636</v>
      </c>
      <c r="B1396" t="s">
        <v>19</v>
      </c>
      <c r="C1396" t="s">
        <v>138</v>
      </c>
      <c r="D1396" t="s">
        <v>558</v>
      </c>
      <c r="E1396" t="s">
        <v>678</v>
      </c>
      <c r="F1396" t="s">
        <v>187</v>
      </c>
      <c r="G1396" s="1">
        <v>45929</v>
      </c>
      <c r="H1396" s="1">
        <v>45932</v>
      </c>
      <c r="I1396" s="2">
        <v>2860</v>
      </c>
      <c r="J1396" t="s">
        <v>776</v>
      </c>
      <c r="K1396" t="s">
        <v>783</v>
      </c>
      <c r="L1396" t="s">
        <v>823</v>
      </c>
      <c r="M1396" t="s">
        <v>830</v>
      </c>
      <c r="N1396" t="str">
        <f t="shared" si="63"/>
        <v>T-3</v>
      </c>
      <c r="O1396">
        <f t="shared" si="64"/>
        <v>2025</v>
      </c>
      <c r="P1396" t="str">
        <f t="shared" si="65"/>
        <v>9. septiembre</v>
      </c>
    </row>
    <row r="1397" spans="1:16" x14ac:dyDescent="0.35">
      <c r="A1397">
        <v>604367</v>
      </c>
      <c r="B1397" t="s">
        <v>13</v>
      </c>
      <c r="C1397" t="s">
        <v>138</v>
      </c>
      <c r="D1397" t="s">
        <v>465</v>
      </c>
      <c r="E1397" t="s">
        <v>678</v>
      </c>
      <c r="F1397" t="s">
        <v>187</v>
      </c>
      <c r="G1397" s="1">
        <v>45930</v>
      </c>
      <c r="H1397" s="1">
        <v>45933</v>
      </c>
      <c r="I1397" s="2">
        <v>260</v>
      </c>
      <c r="J1397" t="s">
        <v>776</v>
      </c>
      <c r="K1397" t="s">
        <v>783</v>
      </c>
      <c r="L1397" t="s">
        <v>823</v>
      </c>
      <c r="M1397" t="s">
        <v>829</v>
      </c>
      <c r="N1397" t="str">
        <f t="shared" si="63"/>
        <v>T-3</v>
      </c>
      <c r="O1397">
        <f t="shared" si="64"/>
        <v>2025</v>
      </c>
      <c r="P1397" t="str">
        <f t="shared" si="65"/>
        <v>9. septiembre</v>
      </c>
    </row>
    <row r="1398" spans="1:16" x14ac:dyDescent="0.35">
      <c r="A1398">
        <v>705077</v>
      </c>
      <c r="B1398" t="s">
        <v>27</v>
      </c>
      <c r="C1398" t="s">
        <v>138</v>
      </c>
      <c r="D1398" t="s">
        <v>465</v>
      </c>
      <c r="E1398" t="s">
        <v>678</v>
      </c>
      <c r="F1398" t="s">
        <v>187</v>
      </c>
      <c r="G1398" s="1">
        <v>45930</v>
      </c>
      <c r="H1398" s="1">
        <v>45933</v>
      </c>
      <c r="I1398" s="2">
        <v>1300</v>
      </c>
      <c r="J1398" t="s">
        <v>776</v>
      </c>
      <c r="K1398" t="s">
        <v>783</v>
      </c>
      <c r="L1398" t="s">
        <v>823</v>
      </c>
      <c r="M1398" t="s">
        <v>830</v>
      </c>
      <c r="N1398" t="str">
        <f t="shared" si="63"/>
        <v>T-3</v>
      </c>
      <c r="O1398">
        <f t="shared" si="64"/>
        <v>2025</v>
      </c>
      <c r="P1398" t="str">
        <f t="shared" si="65"/>
        <v>9. septiembre</v>
      </c>
    </row>
    <row r="1399" spans="1:16" x14ac:dyDescent="0.35">
      <c r="A1399">
        <v>717023</v>
      </c>
      <c r="B1399" t="s">
        <v>28</v>
      </c>
      <c r="C1399" t="s">
        <v>137</v>
      </c>
      <c r="D1399" t="s">
        <v>460</v>
      </c>
      <c r="E1399" t="s">
        <v>678</v>
      </c>
      <c r="F1399" t="s">
        <v>187</v>
      </c>
      <c r="G1399" s="1">
        <v>45929</v>
      </c>
      <c r="H1399" s="1">
        <v>45931</v>
      </c>
      <c r="I1399" s="2">
        <v>208</v>
      </c>
      <c r="J1399" t="s">
        <v>776</v>
      </c>
      <c r="K1399" t="s">
        <v>783</v>
      </c>
      <c r="L1399" t="s">
        <v>823</v>
      </c>
      <c r="M1399" t="s">
        <v>830</v>
      </c>
      <c r="N1399" t="str">
        <f t="shared" si="63"/>
        <v>T-3</v>
      </c>
      <c r="O1399">
        <f t="shared" si="64"/>
        <v>2025</v>
      </c>
      <c r="P1399" t="str">
        <f t="shared" si="65"/>
        <v>9. septiembre</v>
      </c>
    </row>
    <row r="1400" spans="1:16" x14ac:dyDescent="0.35">
      <c r="A1400">
        <v>405203</v>
      </c>
      <c r="B1400" t="s">
        <v>89</v>
      </c>
      <c r="C1400" t="s">
        <v>141</v>
      </c>
      <c r="D1400" t="s">
        <v>460</v>
      </c>
      <c r="E1400" t="s">
        <v>678</v>
      </c>
      <c r="F1400" t="s">
        <v>187</v>
      </c>
      <c r="G1400" s="1">
        <v>45929</v>
      </c>
      <c r="H1400" s="1">
        <v>45931</v>
      </c>
      <c r="I1400" s="2">
        <v>208</v>
      </c>
      <c r="J1400" t="s">
        <v>776</v>
      </c>
      <c r="K1400" t="s">
        <v>783</v>
      </c>
      <c r="L1400" t="s">
        <v>824</v>
      </c>
      <c r="M1400" t="s">
        <v>828</v>
      </c>
      <c r="N1400" t="str">
        <f t="shared" si="63"/>
        <v>T-3</v>
      </c>
      <c r="O1400">
        <f t="shared" si="64"/>
        <v>2025</v>
      </c>
      <c r="P1400" t="str">
        <f t="shared" si="65"/>
        <v>9. septiembre</v>
      </c>
    </row>
    <row r="1401" spans="1:16" x14ac:dyDescent="0.35">
      <c r="A1401">
        <v>416938</v>
      </c>
      <c r="B1401" t="s">
        <v>5</v>
      </c>
      <c r="C1401" t="s">
        <v>138</v>
      </c>
      <c r="D1401" t="s">
        <v>558</v>
      </c>
      <c r="E1401" t="s">
        <v>678</v>
      </c>
      <c r="F1401" t="s">
        <v>187</v>
      </c>
      <c r="G1401" s="1">
        <v>45929</v>
      </c>
      <c r="H1401" s="1">
        <v>45932</v>
      </c>
      <c r="I1401" s="2">
        <v>780</v>
      </c>
      <c r="J1401" t="s">
        <v>776</v>
      </c>
      <c r="K1401" t="s">
        <v>783</v>
      </c>
      <c r="L1401" t="s">
        <v>823</v>
      </c>
      <c r="M1401" t="s">
        <v>828</v>
      </c>
      <c r="N1401" t="str">
        <f t="shared" si="63"/>
        <v>T-3</v>
      </c>
      <c r="O1401">
        <f t="shared" si="64"/>
        <v>2025</v>
      </c>
      <c r="P1401" t="str">
        <f t="shared" si="65"/>
        <v>9. septiembre</v>
      </c>
    </row>
    <row r="1402" spans="1:16" x14ac:dyDescent="0.35">
      <c r="A1402">
        <v>711738</v>
      </c>
      <c r="B1402" t="s">
        <v>20</v>
      </c>
      <c r="C1402" t="s">
        <v>136</v>
      </c>
      <c r="D1402" t="s">
        <v>558</v>
      </c>
      <c r="E1402" t="s">
        <v>678</v>
      </c>
      <c r="F1402" t="s">
        <v>187</v>
      </c>
      <c r="G1402" s="1">
        <v>45929</v>
      </c>
      <c r="H1402" s="1">
        <v>45932</v>
      </c>
      <c r="I1402" s="2">
        <v>260</v>
      </c>
      <c r="J1402" t="s">
        <v>776</v>
      </c>
      <c r="K1402" t="s">
        <v>787</v>
      </c>
      <c r="L1402" t="s">
        <v>823</v>
      </c>
      <c r="M1402" t="s">
        <v>830</v>
      </c>
      <c r="N1402" t="str">
        <f t="shared" si="63"/>
        <v>T-3</v>
      </c>
      <c r="O1402">
        <f t="shared" si="64"/>
        <v>2025</v>
      </c>
      <c r="P1402" t="str">
        <f t="shared" si="65"/>
        <v>9. septiembre</v>
      </c>
    </row>
    <row r="1403" spans="1:16" x14ac:dyDescent="0.35">
      <c r="A1403">
        <v>560635</v>
      </c>
      <c r="B1403" t="s">
        <v>5</v>
      </c>
      <c r="C1403" t="s">
        <v>138</v>
      </c>
      <c r="D1403" t="s">
        <v>465</v>
      </c>
      <c r="E1403" t="s">
        <v>678</v>
      </c>
      <c r="F1403" t="s">
        <v>187</v>
      </c>
      <c r="G1403" s="1">
        <v>45930</v>
      </c>
      <c r="H1403" s="1">
        <v>45933</v>
      </c>
      <c r="I1403" s="2">
        <v>1999</v>
      </c>
      <c r="J1403" t="s">
        <v>776</v>
      </c>
      <c r="K1403" t="s">
        <v>786</v>
      </c>
      <c r="L1403" t="s">
        <v>823</v>
      </c>
      <c r="M1403" t="s">
        <v>829</v>
      </c>
      <c r="N1403" t="str">
        <f t="shared" si="63"/>
        <v>T-3</v>
      </c>
      <c r="O1403">
        <f t="shared" si="64"/>
        <v>2025</v>
      </c>
      <c r="P1403" t="str">
        <f t="shared" si="65"/>
        <v>9. septiembre</v>
      </c>
    </row>
    <row r="1404" spans="1:16" x14ac:dyDescent="0.35">
      <c r="A1404">
        <v>718856</v>
      </c>
      <c r="B1404" t="s">
        <v>20</v>
      </c>
      <c r="C1404" t="s">
        <v>136</v>
      </c>
      <c r="D1404" t="s">
        <v>476</v>
      </c>
      <c r="E1404" t="s">
        <v>714</v>
      </c>
      <c r="F1404" t="s">
        <v>187</v>
      </c>
      <c r="G1404" s="1">
        <v>45909</v>
      </c>
      <c r="H1404" s="1">
        <v>45912</v>
      </c>
      <c r="I1404" s="2">
        <v>728</v>
      </c>
      <c r="J1404" t="s">
        <v>779</v>
      </c>
      <c r="K1404" t="s">
        <v>786</v>
      </c>
      <c r="L1404" t="s">
        <v>823</v>
      </c>
      <c r="M1404" t="s">
        <v>830</v>
      </c>
      <c r="N1404" t="str">
        <f t="shared" si="63"/>
        <v>T-3</v>
      </c>
      <c r="O1404">
        <f t="shared" si="64"/>
        <v>2025</v>
      </c>
      <c r="P1404" t="str">
        <f t="shared" si="65"/>
        <v>9. septiembre</v>
      </c>
    </row>
    <row r="1405" spans="1:16" x14ac:dyDescent="0.35">
      <c r="A1405">
        <v>721621</v>
      </c>
      <c r="B1405" t="s">
        <v>11</v>
      </c>
      <c r="C1405" t="s">
        <v>138</v>
      </c>
      <c r="D1405" t="s">
        <v>476</v>
      </c>
      <c r="E1405" t="s">
        <v>714</v>
      </c>
      <c r="F1405" t="s">
        <v>187</v>
      </c>
      <c r="G1405" s="1">
        <v>45909</v>
      </c>
      <c r="H1405" s="1">
        <v>45912</v>
      </c>
      <c r="I1405" s="2">
        <v>2002</v>
      </c>
      <c r="J1405" t="s">
        <v>779</v>
      </c>
      <c r="K1405" t="s">
        <v>786</v>
      </c>
      <c r="L1405" t="s">
        <v>823</v>
      </c>
      <c r="M1405" t="s">
        <v>830</v>
      </c>
      <c r="N1405" t="str">
        <f t="shared" si="63"/>
        <v>T-3</v>
      </c>
      <c r="O1405">
        <f t="shared" si="64"/>
        <v>2025</v>
      </c>
      <c r="P1405" t="str">
        <f t="shared" si="65"/>
        <v>9. septiembre</v>
      </c>
    </row>
    <row r="1406" spans="1:16" x14ac:dyDescent="0.35">
      <c r="A1406">
        <v>447428</v>
      </c>
      <c r="B1406" t="s">
        <v>30</v>
      </c>
      <c r="C1406" t="s">
        <v>138</v>
      </c>
      <c r="D1406" t="s">
        <v>476</v>
      </c>
      <c r="E1406" t="s">
        <v>714</v>
      </c>
      <c r="F1406" t="s">
        <v>187</v>
      </c>
      <c r="G1406" s="1">
        <v>45909</v>
      </c>
      <c r="H1406" s="1">
        <v>45912</v>
      </c>
      <c r="I1406" s="2">
        <v>1638</v>
      </c>
      <c r="J1406" t="s">
        <v>779</v>
      </c>
      <c r="K1406" t="s">
        <v>786</v>
      </c>
      <c r="L1406" t="s">
        <v>823</v>
      </c>
      <c r="M1406" t="s">
        <v>828</v>
      </c>
      <c r="N1406" t="str">
        <f t="shared" si="63"/>
        <v>T-3</v>
      </c>
      <c r="O1406">
        <f t="shared" si="64"/>
        <v>2025</v>
      </c>
      <c r="P1406" t="str">
        <f t="shared" si="65"/>
        <v>9. septiembre</v>
      </c>
    </row>
    <row r="1407" spans="1:16" x14ac:dyDescent="0.35">
      <c r="A1407">
        <v>507662</v>
      </c>
      <c r="B1407" t="s">
        <v>45</v>
      </c>
      <c r="C1407" t="s">
        <v>138</v>
      </c>
      <c r="D1407" t="s">
        <v>423</v>
      </c>
      <c r="E1407" t="s">
        <v>694</v>
      </c>
      <c r="F1407" t="s">
        <v>187</v>
      </c>
      <c r="G1407" s="1">
        <v>45845</v>
      </c>
      <c r="H1407" s="1">
        <v>45930</v>
      </c>
      <c r="I1407" s="2">
        <v>225</v>
      </c>
      <c r="J1407" t="s">
        <v>778</v>
      </c>
      <c r="K1407" t="s">
        <v>797</v>
      </c>
      <c r="L1407" t="s">
        <v>823</v>
      </c>
      <c r="M1407" t="s">
        <v>828</v>
      </c>
      <c r="N1407" t="str">
        <f t="shared" si="63"/>
        <v>T-3</v>
      </c>
      <c r="O1407">
        <f t="shared" si="64"/>
        <v>2025</v>
      </c>
      <c r="P1407" t="str">
        <f t="shared" si="65"/>
        <v>7. julio</v>
      </c>
    </row>
    <row r="1408" spans="1:16" x14ac:dyDescent="0.35">
      <c r="A1408">
        <v>702427</v>
      </c>
      <c r="B1408" t="s">
        <v>25</v>
      </c>
      <c r="C1408" t="s">
        <v>138</v>
      </c>
      <c r="D1408" t="s">
        <v>434</v>
      </c>
      <c r="E1408" t="s">
        <v>694</v>
      </c>
      <c r="F1408" t="s">
        <v>187</v>
      </c>
      <c r="G1408" s="1">
        <v>45845</v>
      </c>
      <c r="H1408" s="1">
        <v>45930</v>
      </c>
      <c r="I1408" s="2">
        <v>300</v>
      </c>
      <c r="J1408" t="s">
        <v>778</v>
      </c>
      <c r="K1408" t="s">
        <v>786</v>
      </c>
      <c r="L1408" t="s">
        <v>824</v>
      </c>
      <c r="M1408" t="s">
        <v>829</v>
      </c>
      <c r="N1408" t="str">
        <f t="shared" si="63"/>
        <v>T-3</v>
      </c>
      <c r="O1408">
        <f t="shared" si="64"/>
        <v>2025</v>
      </c>
      <c r="P1408" t="str">
        <f t="shared" si="65"/>
        <v>7. julio</v>
      </c>
    </row>
    <row r="1409" spans="1:16" x14ac:dyDescent="0.35">
      <c r="A1409">
        <v>751268</v>
      </c>
      <c r="B1409" t="s">
        <v>31</v>
      </c>
      <c r="C1409" t="s">
        <v>138</v>
      </c>
      <c r="D1409" t="s">
        <v>356</v>
      </c>
      <c r="E1409" t="s">
        <v>694</v>
      </c>
      <c r="F1409" t="s">
        <v>187</v>
      </c>
      <c r="G1409" s="1">
        <v>45845</v>
      </c>
      <c r="H1409" s="1">
        <v>45930</v>
      </c>
      <c r="I1409" s="2">
        <v>600</v>
      </c>
      <c r="J1409" t="s">
        <v>778</v>
      </c>
      <c r="K1409" t="s">
        <v>786</v>
      </c>
      <c r="L1409" t="s">
        <v>823</v>
      </c>
      <c r="M1409" t="s">
        <v>830</v>
      </c>
      <c r="N1409" t="str">
        <f t="shared" si="63"/>
        <v>T-3</v>
      </c>
      <c r="O1409">
        <f t="shared" si="64"/>
        <v>2025</v>
      </c>
      <c r="P1409" t="str">
        <f t="shared" si="65"/>
        <v>7. julio</v>
      </c>
    </row>
    <row r="1410" spans="1:16" x14ac:dyDescent="0.35">
      <c r="A1410">
        <v>419838</v>
      </c>
      <c r="B1410" t="s">
        <v>28</v>
      </c>
      <c r="C1410" t="s">
        <v>138</v>
      </c>
      <c r="D1410" t="s">
        <v>559</v>
      </c>
      <c r="E1410" t="s">
        <v>694</v>
      </c>
      <c r="F1410" t="s">
        <v>187</v>
      </c>
      <c r="G1410" s="1">
        <v>45845</v>
      </c>
      <c r="H1410" s="1">
        <v>45930</v>
      </c>
      <c r="I1410" s="2">
        <v>1530</v>
      </c>
      <c r="J1410" t="s">
        <v>778</v>
      </c>
      <c r="K1410" t="s">
        <v>797</v>
      </c>
      <c r="L1410" t="s">
        <v>823</v>
      </c>
      <c r="M1410" t="s">
        <v>830</v>
      </c>
      <c r="N1410" t="str">
        <f t="shared" si="63"/>
        <v>T-3</v>
      </c>
      <c r="O1410">
        <f t="shared" si="64"/>
        <v>2025</v>
      </c>
      <c r="P1410" t="str">
        <f t="shared" si="65"/>
        <v>7. julio</v>
      </c>
    </row>
    <row r="1411" spans="1:16" x14ac:dyDescent="0.35">
      <c r="A1411">
        <v>717965</v>
      </c>
      <c r="B1411" t="s">
        <v>23</v>
      </c>
      <c r="C1411" t="s">
        <v>137</v>
      </c>
      <c r="D1411" t="s">
        <v>560</v>
      </c>
      <c r="E1411" t="s">
        <v>694</v>
      </c>
      <c r="F1411" t="s">
        <v>187</v>
      </c>
      <c r="G1411" s="1">
        <v>45845</v>
      </c>
      <c r="H1411" s="1">
        <v>45930</v>
      </c>
      <c r="I1411" s="2">
        <v>427.5</v>
      </c>
      <c r="J1411" t="s">
        <v>778</v>
      </c>
      <c r="K1411" t="s">
        <v>786</v>
      </c>
      <c r="L1411" t="s">
        <v>823</v>
      </c>
      <c r="M1411" t="s">
        <v>828</v>
      </c>
      <c r="N1411" t="str">
        <f t="shared" ref="N1411:N1474" si="66">"T-" &amp; ROUNDUP((MONTH(G1411)/3), 0)</f>
        <v>T-3</v>
      </c>
      <c r="O1411">
        <f t="shared" ref="O1411:O1474" si="67">YEAR(G1411)</f>
        <v>2025</v>
      </c>
      <c r="P1411" t="str">
        <f t="shared" ref="P1411:P1474" si="68">MONTH(G1411) &amp; ". " &amp; TEXT(G1411, "MMMM")</f>
        <v>7. julio</v>
      </c>
    </row>
    <row r="1412" spans="1:16" x14ac:dyDescent="0.35">
      <c r="A1412">
        <v>707167</v>
      </c>
      <c r="B1412" t="s">
        <v>27</v>
      </c>
      <c r="C1412" t="s">
        <v>138</v>
      </c>
      <c r="D1412" t="s">
        <v>360</v>
      </c>
      <c r="E1412" t="s">
        <v>694</v>
      </c>
      <c r="F1412" t="s">
        <v>187</v>
      </c>
      <c r="G1412" s="1">
        <v>45845</v>
      </c>
      <c r="H1412" s="1">
        <v>45930</v>
      </c>
      <c r="I1412" s="2">
        <v>1320</v>
      </c>
      <c r="J1412" t="s">
        <v>778</v>
      </c>
      <c r="K1412" t="s">
        <v>786</v>
      </c>
      <c r="L1412" t="s">
        <v>823</v>
      </c>
      <c r="M1412" t="s">
        <v>830</v>
      </c>
      <c r="N1412" t="str">
        <f t="shared" si="66"/>
        <v>T-3</v>
      </c>
      <c r="O1412">
        <f t="shared" si="67"/>
        <v>2025</v>
      </c>
      <c r="P1412" t="str">
        <f t="shared" si="68"/>
        <v>7. julio</v>
      </c>
    </row>
    <row r="1413" spans="1:16" x14ac:dyDescent="0.35">
      <c r="A1413">
        <v>719671</v>
      </c>
      <c r="B1413" t="s">
        <v>25</v>
      </c>
      <c r="C1413" t="s">
        <v>138</v>
      </c>
      <c r="D1413" t="s">
        <v>379</v>
      </c>
      <c r="E1413" t="s">
        <v>694</v>
      </c>
      <c r="F1413" t="s">
        <v>187</v>
      </c>
      <c r="G1413" s="1">
        <v>45845</v>
      </c>
      <c r="H1413" s="1">
        <v>45930</v>
      </c>
      <c r="I1413" s="2">
        <v>360</v>
      </c>
      <c r="J1413" t="s">
        <v>778</v>
      </c>
      <c r="K1413" t="s">
        <v>786</v>
      </c>
      <c r="L1413" t="s">
        <v>823</v>
      </c>
      <c r="M1413" t="s">
        <v>829</v>
      </c>
      <c r="N1413" t="str">
        <f t="shared" si="66"/>
        <v>T-3</v>
      </c>
      <c r="O1413">
        <f t="shared" si="67"/>
        <v>2025</v>
      </c>
      <c r="P1413" t="str">
        <f t="shared" si="68"/>
        <v>7. julio</v>
      </c>
    </row>
    <row r="1414" spans="1:16" x14ac:dyDescent="0.35">
      <c r="A1414">
        <v>409706</v>
      </c>
      <c r="B1414" t="s">
        <v>5</v>
      </c>
      <c r="C1414" t="s">
        <v>138</v>
      </c>
      <c r="D1414" t="s">
        <v>419</v>
      </c>
      <c r="E1414" t="s">
        <v>694</v>
      </c>
      <c r="F1414" t="s">
        <v>187</v>
      </c>
      <c r="G1414" s="1">
        <v>45845</v>
      </c>
      <c r="H1414" s="1">
        <v>45930</v>
      </c>
      <c r="I1414" s="2">
        <v>262.5</v>
      </c>
      <c r="J1414" t="s">
        <v>778</v>
      </c>
      <c r="K1414" t="s">
        <v>786</v>
      </c>
      <c r="L1414" t="s">
        <v>824</v>
      </c>
      <c r="M1414" t="s">
        <v>830</v>
      </c>
      <c r="N1414" t="str">
        <f t="shared" si="66"/>
        <v>T-3</v>
      </c>
      <c r="O1414">
        <f t="shared" si="67"/>
        <v>2025</v>
      </c>
      <c r="P1414" t="str">
        <f t="shared" si="68"/>
        <v>7. julio</v>
      </c>
    </row>
    <row r="1415" spans="1:16" x14ac:dyDescent="0.35">
      <c r="A1415">
        <v>720779</v>
      </c>
      <c r="B1415" t="s">
        <v>24</v>
      </c>
      <c r="C1415" t="s">
        <v>138</v>
      </c>
      <c r="D1415" t="s">
        <v>345</v>
      </c>
      <c r="E1415" t="s">
        <v>715</v>
      </c>
      <c r="F1415" t="s">
        <v>187</v>
      </c>
      <c r="G1415" s="1">
        <v>45901</v>
      </c>
      <c r="H1415" s="1">
        <v>45930</v>
      </c>
      <c r="I1415" s="2">
        <v>300</v>
      </c>
      <c r="J1415" t="s">
        <v>779</v>
      </c>
      <c r="K1415" t="s">
        <v>786</v>
      </c>
      <c r="L1415" t="s">
        <v>823</v>
      </c>
      <c r="M1415" t="s">
        <v>830</v>
      </c>
      <c r="N1415" t="str">
        <f t="shared" si="66"/>
        <v>T-3</v>
      </c>
      <c r="O1415">
        <f t="shared" si="67"/>
        <v>2025</v>
      </c>
      <c r="P1415" t="str">
        <f t="shared" si="68"/>
        <v>9. septiembre</v>
      </c>
    </row>
    <row r="1416" spans="1:16" x14ac:dyDescent="0.35">
      <c r="A1416">
        <v>488237</v>
      </c>
      <c r="B1416" t="s">
        <v>97</v>
      </c>
      <c r="C1416" t="s">
        <v>138</v>
      </c>
      <c r="D1416" t="s">
        <v>195</v>
      </c>
      <c r="E1416" t="s">
        <v>654</v>
      </c>
      <c r="F1416" t="s">
        <v>187</v>
      </c>
      <c r="G1416" s="1">
        <v>45922</v>
      </c>
      <c r="H1416" s="1">
        <v>45922</v>
      </c>
      <c r="I1416" s="2">
        <v>209</v>
      </c>
      <c r="J1416" t="s">
        <v>777</v>
      </c>
      <c r="K1416" t="s">
        <v>786</v>
      </c>
      <c r="L1416" t="s">
        <v>823</v>
      </c>
      <c r="M1416" t="s">
        <v>828</v>
      </c>
      <c r="N1416" t="str">
        <f t="shared" si="66"/>
        <v>T-3</v>
      </c>
      <c r="O1416">
        <f t="shared" si="67"/>
        <v>2025</v>
      </c>
      <c r="P1416" t="str">
        <f t="shared" si="68"/>
        <v>9. septiembre</v>
      </c>
    </row>
    <row r="1417" spans="1:16" x14ac:dyDescent="0.35">
      <c r="A1417">
        <v>709582</v>
      </c>
      <c r="B1417" t="s">
        <v>30</v>
      </c>
      <c r="C1417" t="s">
        <v>138</v>
      </c>
      <c r="D1417" t="s">
        <v>195</v>
      </c>
      <c r="E1417" t="s">
        <v>654</v>
      </c>
      <c r="F1417" t="s">
        <v>187</v>
      </c>
      <c r="G1417" s="1">
        <v>45926</v>
      </c>
      <c r="H1417" s="1">
        <v>45926</v>
      </c>
      <c r="I1417" s="2">
        <v>209</v>
      </c>
      <c r="J1417" t="s">
        <v>777</v>
      </c>
      <c r="K1417" t="s">
        <v>786</v>
      </c>
      <c r="L1417" t="s">
        <v>823</v>
      </c>
      <c r="M1417" t="s">
        <v>828</v>
      </c>
      <c r="N1417" t="str">
        <f t="shared" si="66"/>
        <v>T-3</v>
      </c>
      <c r="O1417">
        <f t="shared" si="67"/>
        <v>2025</v>
      </c>
      <c r="P1417" t="str">
        <f t="shared" si="68"/>
        <v>9. septiembre</v>
      </c>
    </row>
    <row r="1418" spans="1:16" x14ac:dyDescent="0.35">
      <c r="A1418">
        <v>709460</v>
      </c>
      <c r="B1418" t="s">
        <v>30</v>
      </c>
      <c r="C1418" t="s">
        <v>138</v>
      </c>
      <c r="D1418" t="s">
        <v>171</v>
      </c>
      <c r="E1418" t="s">
        <v>669</v>
      </c>
      <c r="F1418" t="s">
        <v>187</v>
      </c>
      <c r="G1418" s="1">
        <v>45931</v>
      </c>
      <c r="H1418" s="1">
        <v>45932</v>
      </c>
      <c r="I1418" s="2">
        <v>363.1</v>
      </c>
      <c r="J1418" t="s">
        <v>776</v>
      </c>
      <c r="K1418" t="s">
        <v>786</v>
      </c>
      <c r="L1418" t="s">
        <v>823</v>
      </c>
      <c r="M1418" t="s">
        <v>830</v>
      </c>
      <c r="N1418" t="str">
        <f t="shared" si="66"/>
        <v>T-4</v>
      </c>
      <c r="O1418">
        <f t="shared" si="67"/>
        <v>2025</v>
      </c>
      <c r="P1418" t="str">
        <f t="shared" si="68"/>
        <v>10. octubre</v>
      </c>
    </row>
    <row r="1419" spans="1:16" x14ac:dyDescent="0.35">
      <c r="A1419">
        <v>716925</v>
      </c>
      <c r="B1419" t="s">
        <v>42</v>
      </c>
      <c r="C1419" t="s">
        <v>137</v>
      </c>
      <c r="D1419" t="s">
        <v>171</v>
      </c>
      <c r="E1419" t="s">
        <v>669</v>
      </c>
      <c r="F1419" t="s">
        <v>187</v>
      </c>
      <c r="G1419" s="1">
        <v>45931</v>
      </c>
      <c r="H1419" s="1">
        <v>45932</v>
      </c>
      <c r="I1419" s="2">
        <v>363.1</v>
      </c>
      <c r="J1419" t="s">
        <v>776</v>
      </c>
      <c r="K1419" t="s">
        <v>786</v>
      </c>
      <c r="L1419" t="s">
        <v>823</v>
      </c>
      <c r="M1419" t="s">
        <v>829</v>
      </c>
      <c r="N1419" t="str">
        <f t="shared" si="66"/>
        <v>T-4</v>
      </c>
      <c r="O1419">
        <f t="shared" si="67"/>
        <v>2025</v>
      </c>
      <c r="P1419" t="str">
        <f t="shared" si="68"/>
        <v>10. octubre</v>
      </c>
    </row>
    <row r="1420" spans="1:16" x14ac:dyDescent="0.35">
      <c r="A1420">
        <v>400758</v>
      </c>
      <c r="B1420" t="s">
        <v>5</v>
      </c>
      <c r="C1420" t="s">
        <v>139</v>
      </c>
      <c r="D1420" t="s">
        <v>171</v>
      </c>
      <c r="E1420" t="s">
        <v>669</v>
      </c>
      <c r="F1420" t="s">
        <v>187</v>
      </c>
      <c r="G1420" s="1">
        <v>45931</v>
      </c>
      <c r="H1420" s="1">
        <v>45932</v>
      </c>
      <c r="I1420" s="2">
        <v>653.55999999999995</v>
      </c>
      <c r="J1420" t="s">
        <v>776</v>
      </c>
      <c r="K1420" t="s">
        <v>786</v>
      </c>
      <c r="L1420" t="s">
        <v>823</v>
      </c>
      <c r="M1420" t="s">
        <v>830</v>
      </c>
      <c r="N1420" t="str">
        <f t="shared" si="66"/>
        <v>T-4</v>
      </c>
      <c r="O1420">
        <f t="shared" si="67"/>
        <v>2025</v>
      </c>
      <c r="P1420" t="str">
        <f t="shared" si="68"/>
        <v>10. octubre</v>
      </c>
    </row>
    <row r="1421" spans="1:16" x14ac:dyDescent="0.35">
      <c r="A1421">
        <v>716504</v>
      </c>
      <c r="B1421" t="s">
        <v>63</v>
      </c>
      <c r="C1421" t="s">
        <v>136</v>
      </c>
      <c r="D1421" t="s">
        <v>166</v>
      </c>
      <c r="E1421" t="s">
        <v>714</v>
      </c>
      <c r="F1421" t="s">
        <v>187</v>
      </c>
      <c r="G1421" s="1">
        <v>45911</v>
      </c>
      <c r="H1421" s="1">
        <v>45916</v>
      </c>
      <c r="I1421" s="2">
        <v>364</v>
      </c>
      <c r="J1421" t="s">
        <v>779</v>
      </c>
      <c r="K1421" t="s">
        <v>786</v>
      </c>
      <c r="L1421" t="s">
        <v>824</v>
      </c>
      <c r="M1421" t="s">
        <v>830</v>
      </c>
      <c r="N1421" t="str">
        <f t="shared" si="66"/>
        <v>T-3</v>
      </c>
      <c r="O1421">
        <f t="shared" si="67"/>
        <v>2025</v>
      </c>
      <c r="P1421" t="str">
        <f t="shared" si="68"/>
        <v>9. septiembre</v>
      </c>
    </row>
    <row r="1422" spans="1:16" x14ac:dyDescent="0.35">
      <c r="A1422">
        <v>501724</v>
      </c>
      <c r="B1422" t="s">
        <v>5</v>
      </c>
      <c r="C1422" t="s">
        <v>139</v>
      </c>
      <c r="D1422" t="s">
        <v>166</v>
      </c>
      <c r="E1422" t="s">
        <v>714</v>
      </c>
      <c r="F1422" t="s">
        <v>187</v>
      </c>
      <c r="G1422" s="1">
        <v>45911</v>
      </c>
      <c r="H1422" s="1">
        <v>45916</v>
      </c>
      <c r="I1422" s="2">
        <v>1638</v>
      </c>
      <c r="J1422" t="s">
        <v>779</v>
      </c>
      <c r="K1422" t="s">
        <v>786</v>
      </c>
      <c r="L1422" t="s">
        <v>823</v>
      </c>
      <c r="M1422" t="s">
        <v>828</v>
      </c>
      <c r="N1422" t="str">
        <f t="shared" si="66"/>
        <v>T-3</v>
      </c>
      <c r="O1422">
        <f t="shared" si="67"/>
        <v>2025</v>
      </c>
      <c r="P1422" t="str">
        <f t="shared" si="68"/>
        <v>9. septiembre</v>
      </c>
    </row>
    <row r="1423" spans="1:16" x14ac:dyDescent="0.35">
      <c r="A1423">
        <v>712321</v>
      </c>
      <c r="B1423" t="s">
        <v>15</v>
      </c>
      <c r="C1423" t="s">
        <v>136</v>
      </c>
      <c r="D1423" t="s">
        <v>166</v>
      </c>
      <c r="E1423" t="s">
        <v>714</v>
      </c>
      <c r="F1423" t="s">
        <v>187</v>
      </c>
      <c r="G1423" s="1">
        <v>45911</v>
      </c>
      <c r="H1423" s="1">
        <v>45916</v>
      </c>
      <c r="I1423" s="2">
        <v>2366</v>
      </c>
      <c r="J1423" t="s">
        <v>779</v>
      </c>
      <c r="K1423" t="s">
        <v>786</v>
      </c>
      <c r="L1423" t="s">
        <v>823</v>
      </c>
      <c r="M1423" t="s">
        <v>828</v>
      </c>
      <c r="N1423" t="str">
        <f t="shared" si="66"/>
        <v>T-3</v>
      </c>
      <c r="O1423">
        <f t="shared" si="67"/>
        <v>2025</v>
      </c>
      <c r="P1423" t="str">
        <f t="shared" si="68"/>
        <v>9. septiembre</v>
      </c>
    </row>
    <row r="1424" spans="1:16" x14ac:dyDescent="0.35">
      <c r="A1424">
        <v>489928</v>
      </c>
      <c r="B1424" t="s">
        <v>4</v>
      </c>
      <c r="C1424" t="s">
        <v>138</v>
      </c>
      <c r="D1424" t="s">
        <v>475</v>
      </c>
      <c r="E1424" t="s">
        <v>714</v>
      </c>
      <c r="F1424" t="s">
        <v>187</v>
      </c>
      <c r="G1424" s="1">
        <v>45915</v>
      </c>
      <c r="H1424" s="1">
        <v>45916</v>
      </c>
      <c r="I1424" s="2">
        <v>1001</v>
      </c>
      <c r="J1424" t="s">
        <v>779</v>
      </c>
      <c r="K1424" t="s">
        <v>786</v>
      </c>
      <c r="L1424" t="s">
        <v>823</v>
      </c>
      <c r="M1424" t="s">
        <v>829</v>
      </c>
      <c r="N1424" t="str">
        <f t="shared" si="66"/>
        <v>T-3</v>
      </c>
      <c r="O1424">
        <f t="shared" si="67"/>
        <v>2025</v>
      </c>
      <c r="P1424" t="str">
        <f t="shared" si="68"/>
        <v>9. septiembre</v>
      </c>
    </row>
    <row r="1425" spans="1:16" x14ac:dyDescent="0.35">
      <c r="A1425">
        <v>713002</v>
      </c>
      <c r="B1425" t="s">
        <v>33</v>
      </c>
      <c r="C1425" t="s">
        <v>136</v>
      </c>
      <c r="D1425" t="s">
        <v>475</v>
      </c>
      <c r="E1425" t="s">
        <v>714</v>
      </c>
      <c r="F1425" t="s">
        <v>187</v>
      </c>
      <c r="G1425" s="1">
        <v>45915</v>
      </c>
      <c r="H1425" s="1">
        <v>45916</v>
      </c>
      <c r="I1425" s="2">
        <v>1092</v>
      </c>
      <c r="J1425" t="s">
        <v>779</v>
      </c>
      <c r="K1425" t="s">
        <v>786</v>
      </c>
      <c r="L1425" t="s">
        <v>823</v>
      </c>
      <c r="M1425" t="s">
        <v>830</v>
      </c>
      <c r="N1425" t="str">
        <f t="shared" si="66"/>
        <v>T-3</v>
      </c>
      <c r="O1425">
        <f t="shared" si="67"/>
        <v>2025</v>
      </c>
      <c r="P1425" t="str">
        <f t="shared" si="68"/>
        <v>9. septiembre</v>
      </c>
    </row>
    <row r="1426" spans="1:16" x14ac:dyDescent="0.35">
      <c r="A1426">
        <v>710882</v>
      </c>
      <c r="B1426" t="s">
        <v>2</v>
      </c>
      <c r="C1426" t="s">
        <v>138</v>
      </c>
      <c r="D1426" t="s">
        <v>477</v>
      </c>
      <c r="E1426" t="s">
        <v>714</v>
      </c>
      <c r="F1426" t="s">
        <v>187</v>
      </c>
      <c r="G1426" s="1">
        <v>45924</v>
      </c>
      <c r="H1426" s="1">
        <v>45924</v>
      </c>
      <c r="I1426" s="2">
        <v>390</v>
      </c>
      <c r="J1426" t="s">
        <v>779</v>
      </c>
      <c r="K1426" t="s">
        <v>786</v>
      </c>
      <c r="L1426" t="s">
        <v>823</v>
      </c>
      <c r="M1426" t="s">
        <v>830</v>
      </c>
      <c r="N1426" t="str">
        <f t="shared" si="66"/>
        <v>T-3</v>
      </c>
      <c r="O1426">
        <f t="shared" si="67"/>
        <v>2025</v>
      </c>
      <c r="P1426" t="str">
        <f t="shared" si="68"/>
        <v>9. septiembre</v>
      </c>
    </row>
    <row r="1427" spans="1:16" x14ac:dyDescent="0.35">
      <c r="A1427">
        <v>430963</v>
      </c>
      <c r="B1427" t="s">
        <v>24</v>
      </c>
      <c r="C1427" t="s">
        <v>138</v>
      </c>
      <c r="D1427" t="s">
        <v>478</v>
      </c>
      <c r="E1427" t="s">
        <v>714</v>
      </c>
      <c r="F1427" t="s">
        <v>187</v>
      </c>
      <c r="G1427" s="1">
        <v>45923</v>
      </c>
      <c r="H1427" s="1">
        <v>45924</v>
      </c>
      <c r="I1427" s="2">
        <v>728</v>
      </c>
      <c r="J1427" t="s">
        <v>779</v>
      </c>
      <c r="K1427" t="s">
        <v>786</v>
      </c>
      <c r="L1427" t="s">
        <v>823</v>
      </c>
      <c r="M1427" t="s">
        <v>828</v>
      </c>
      <c r="N1427" t="str">
        <f t="shared" si="66"/>
        <v>T-3</v>
      </c>
      <c r="O1427">
        <f t="shared" si="67"/>
        <v>2025</v>
      </c>
      <c r="P1427" t="str">
        <f t="shared" si="68"/>
        <v>9. septiembre</v>
      </c>
    </row>
    <row r="1428" spans="1:16" x14ac:dyDescent="0.35">
      <c r="A1428">
        <v>470281</v>
      </c>
      <c r="B1428" t="s">
        <v>3</v>
      </c>
      <c r="C1428" t="s">
        <v>141</v>
      </c>
      <c r="D1428" t="s">
        <v>478</v>
      </c>
      <c r="E1428" t="s">
        <v>714</v>
      </c>
      <c r="F1428" t="s">
        <v>187</v>
      </c>
      <c r="G1428" s="1">
        <v>45923</v>
      </c>
      <c r="H1428" s="1">
        <v>45924</v>
      </c>
      <c r="I1428" s="2">
        <v>728</v>
      </c>
      <c r="J1428" t="s">
        <v>779</v>
      </c>
      <c r="K1428" t="s">
        <v>786</v>
      </c>
      <c r="L1428" t="s">
        <v>823</v>
      </c>
      <c r="M1428" t="s">
        <v>830</v>
      </c>
      <c r="N1428" t="str">
        <f t="shared" si="66"/>
        <v>T-3</v>
      </c>
      <c r="O1428">
        <f t="shared" si="67"/>
        <v>2025</v>
      </c>
      <c r="P1428" t="str">
        <f t="shared" si="68"/>
        <v>9. septiembre</v>
      </c>
    </row>
    <row r="1429" spans="1:16" x14ac:dyDescent="0.35">
      <c r="A1429">
        <v>362328</v>
      </c>
      <c r="B1429" t="s">
        <v>61</v>
      </c>
      <c r="C1429" t="s">
        <v>138</v>
      </c>
      <c r="D1429" t="s">
        <v>478</v>
      </c>
      <c r="E1429" t="s">
        <v>714</v>
      </c>
      <c r="F1429" t="s">
        <v>187</v>
      </c>
      <c r="G1429" s="1">
        <v>45925</v>
      </c>
      <c r="H1429" s="1">
        <v>45926</v>
      </c>
      <c r="I1429" s="2">
        <v>455</v>
      </c>
      <c r="J1429" t="s">
        <v>779</v>
      </c>
      <c r="K1429" t="s">
        <v>786</v>
      </c>
      <c r="L1429" t="s">
        <v>824</v>
      </c>
      <c r="M1429" t="s">
        <v>829</v>
      </c>
      <c r="N1429" t="str">
        <f t="shared" si="66"/>
        <v>T-3</v>
      </c>
      <c r="O1429">
        <f t="shared" si="67"/>
        <v>2025</v>
      </c>
      <c r="P1429" t="str">
        <f t="shared" si="68"/>
        <v>9. septiembre</v>
      </c>
    </row>
    <row r="1430" spans="1:16" x14ac:dyDescent="0.35">
      <c r="A1430">
        <v>720351</v>
      </c>
      <c r="B1430" t="s">
        <v>34</v>
      </c>
      <c r="C1430" t="s">
        <v>138</v>
      </c>
      <c r="D1430" t="s">
        <v>478</v>
      </c>
      <c r="E1430" t="s">
        <v>714</v>
      </c>
      <c r="F1430" t="s">
        <v>187</v>
      </c>
      <c r="G1430" s="1">
        <v>45925</v>
      </c>
      <c r="H1430" s="1">
        <v>45926</v>
      </c>
      <c r="I1430" s="2">
        <v>819</v>
      </c>
      <c r="J1430" t="s">
        <v>779</v>
      </c>
      <c r="K1430" t="s">
        <v>786</v>
      </c>
      <c r="L1430" t="s">
        <v>823</v>
      </c>
      <c r="M1430" t="s">
        <v>830</v>
      </c>
      <c r="N1430" t="str">
        <f t="shared" si="66"/>
        <v>T-3</v>
      </c>
      <c r="O1430">
        <f t="shared" si="67"/>
        <v>2025</v>
      </c>
      <c r="P1430" t="str">
        <f t="shared" si="68"/>
        <v>9. septiembre</v>
      </c>
    </row>
    <row r="1431" spans="1:16" x14ac:dyDescent="0.35">
      <c r="A1431">
        <v>719048</v>
      </c>
      <c r="B1431" t="s">
        <v>66</v>
      </c>
      <c r="C1431" t="s">
        <v>138</v>
      </c>
      <c r="D1431" t="s">
        <v>478</v>
      </c>
      <c r="E1431" t="s">
        <v>714</v>
      </c>
      <c r="F1431" t="s">
        <v>187</v>
      </c>
      <c r="G1431" s="1">
        <v>45925</v>
      </c>
      <c r="H1431" s="1">
        <v>45926</v>
      </c>
      <c r="I1431" s="2">
        <v>637</v>
      </c>
      <c r="J1431" t="s">
        <v>779</v>
      </c>
      <c r="K1431" t="s">
        <v>786</v>
      </c>
      <c r="L1431" t="s">
        <v>823</v>
      </c>
      <c r="M1431" t="s">
        <v>830</v>
      </c>
      <c r="N1431" t="str">
        <f t="shared" si="66"/>
        <v>T-3</v>
      </c>
      <c r="O1431">
        <f t="shared" si="67"/>
        <v>2025</v>
      </c>
      <c r="P1431" t="str">
        <f t="shared" si="68"/>
        <v>9. septiembre</v>
      </c>
    </row>
    <row r="1432" spans="1:16" x14ac:dyDescent="0.35">
      <c r="A1432">
        <v>711611</v>
      </c>
      <c r="B1432" t="s">
        <v>5</v>
      </c>
      <c r="C1432" t="s">
        <v>138</v>
      </c>
      <c r="D1432" t="s">
        <v>436</v>
      </c>
      <c r="E1432" t="s">
        <v>737</v>
      </c>
      <c r="F1432" t="s">
        <v>187</v>
      </c>
      <c r="G1432" s="1">
        <v>45936</v>
      </c>
      <c r="H1432" s="1">
        <v>45940</v>
      </c>
      <c r="I1432" s="2">
        <v>1625</v>
      </c>
      <c r="J1432" t="s">
        <v>776</v>
      </c>
      <c r="K1432" t="s">
        <v>786</v>
      </c>
      <c r="L1432" t="s">
        <v>823</v>
      </c>
      <c r="M1432" t="s">
        <v>828</v>
      </c>
      <c r="N1432" t="str">
        <f t="shared" si="66"/>
        <v>T-4</v>
      </c>
      <c r="O1432">
        <f t="shared" si="67"/>
        <v>2025</v>
      </c>
      <c r="P1432" t="str">
        <f t="shared" si="68"/>
        <v>10. octubre</v>
      </c>
    </row>
    <row r="1433" spans="1:16" x14ac:dyDescent="0.35">
      <c r="A1433">
        <v>717918</v>
      </c>
      <c r="B1433" t="s">
        <v>30</v>
      </c>
      <c r="C1433" t="s">
        <v>138</v>
      </c>
      <c r="D1433" t="s">
        <v>543</v>
      </c>
      <c r="E1433" t="s">
        <v>737</v>
      </c>
      <c r="F1433" t="s">
        <v>187</v>
      </c>
      <c r="G1433" s="1">
        <v>45936</v>
      </c>
      <c r="H1433" s="1">
        <v>45940</v>
      </c>
      <c r="I1433" s="2">
        <v>5460</v>
      </c>
      <c r="J1433" t="s">
        <v>776</v>
      </c>
      <c r="K1433" t="s">
        <v>786</v>
      </c>
      <c r="L1433" t="s">
        <v>823</v>
      </c>
      <c r="M1433" t="s">
        <v>828</v>
      </c>
      <c r="N1433" t="str">
        <f t="shared" si="66"/>
        <v>T-4</v>
      </c>
      <c r="O1433">
        <f t="shared" si="67"/>
        <v>2025</v>
      </c>
      <c r="P1433" t="str">
        <f t="shared" si="68"/>
        <v>10. octubre</v>
      </c>
    </row>
    <row r="1434" spans="1:16" x14ac:dyDescent="0.35">
      <c r="A1434">
        <v>561173</v>
      </c>
      <c r="B1434" t="s">
        <v>4</v>
      </c>
      <c r="C1434" t="s">
        <v>138</v>
      </c>
      <c r="D1434" t="s">
        <v>504</v>
      </c>
      <c r="E1434" t="s">
        <v>737</v>
      </c>
      <c r="F1434" t="s">
        <v>187</v>
      </c>
      <c r="G1434" s="1">
        <v>45936</v>
      </c>
      <c r="H1434" s="1">
        <v>45940</v>
      </c>
      <c r="I1434" s="2">
        <v>2600</v>
      </c>
      <c r="J1434" t="s">
        <v>776</v>
      </c>
      <c r="K1434" t="s">
        <v>786</v>
      </c>
      <c r="L1434" t="s">
        <v>823</v>
      </c>
      <c r="M1434" t="s">
        <v>830</v>
      </c>
      <c r="N1434" t="str">
        <f t="shared" si="66"/>
        <v>T-4</v>
      </c>
      <c r="O1434">
        <f t="shared" si="67"/>
        <v>2025</v>
      </c>
      <c r="P1434" t="str">
        <f t="shared" si="68"/>
        <v>10. octubre</v>
      </c>
    </row>
    <row r="1435" spans="1:16" x14ac:dyDescent="0.35">
      <c r="A1435">
        <v>718520</v>
      </c>
      <c r="B1435" t="s">
        <v>2</v>
      </c>
      <c r="C1435" t="s">
        <v>138</v>
      </c>
      <c r="D1435" t="s">
        <v>435</v>
      </c>
      <c r="E1435" t="s">
        <v>737</v>
      </c>
      <c r="F1435" t="s">
        <v>187</v>
      </c>
      <c r="G1435" s="1">
        <v>45936</v>
      </c>
      <c r="H1435" s="1">
        <v>45939</v>
      </c>
      <c r="I1435" s="2">
        <v>832</v>
      </c>
      <c r="J1435" t="s">
        <v>776</v>
      </c>
      <c r="K1435" t="s">
        <v>786</v>
      </c>
      <c r="L1435" t="s">
        <v>824</v>
      </c>
      <c r="M1435" t="s">
        <v>829</v>
      </c>
      <c r="N1435" t="str">
        <f t="shared" si="66"/>
        <v>T-4</v>
      </c>
      <c r="O1435">
        <f t="shared" si="67"/>
        <v>2025</v>
      </c>
      <c r="P1435" t="str">
        <f t="shared" si="68"/>
        <v>10. octubre</v>
      </c>
    </row>
    <row r="1436" spans="1:16" x14ac:dyDescent="0.35">
      <c r="A1436">
        <v>270439</v>
      </c>
      <c r="B1436" t="s">
        <v>33</v>
      </c>
      <c r="C1436" t="s">
        <v>139</v>
      </c>
      <c r="D1436" t="s">
        <v>507</v>
      </c>
      <c r="E1436" t="s">
        <v>737</v>
      </c>
      <c r="F1436" t="s">
        <v>187</v>
      </c>
      <c r="G1436" s="1">
        <v>45936</v>
      </c>
      <c r="H1436" s="1">
        <v>45939</v>
      </c>
      <c r="I1436" s="2">
        <v>1560</v>
      </c>
      <c r="J1436" t="s">
        <v>776</v>
      </c>
      <c r="K1436" t="s">
        <v>786</v>
      </c>
      <c r="L1436" t="s">
        <v>823</v>
      </c>
      <c r="M1436" t="s">
        <v>830</v>
      </c>
      <c r="N1436" t="str">
        <f t="shared" si="66"/>
        <v>T-4</v>
      </c>
      <c r="O1436">
        <f t="shared" si="67"/>
        <v>2025</v>
      </c>
      <c r="P1436" t="str">
        <f t="shared" si="68"/>
        <v>10. octubre</v>
      </c>
    </row>
    <row r="1437" spans="1:16" x14ac:dyDescent="0.35">
      <c r="A1437">
        <v>708564</v>
      </c>
      <c r="B1437" t="s">
        <v>47</v>
      </c>
      <c r="C1437" t="s">
        <v>138</v>
      </c>
      <c r="D1437" t="s">
        <v>562</v>
      </c>
      <c r="E1437" t="s">
        <v>737</v>
      </c>
      <c r="F1437" t="s">
        <v>187</v>
      </c>
      <c r="G1437" s="1">
        <v>45936</v>
      </c>
      <c r="H1437" s="1">
        <v>45940</v>
      </c>
      <c r="I1437" s="2">
        <v>1950</v>
      </c>
      <c r="J1437" t="s">
        <v>776</v>
      </c>
      <c r="K1437" t="s">
        <v>786</v>
      </c>
      <c r="L1437" t="s">
        <v>823</v>
      </c>
      <c r="M1437" t="s">
        <v>830</v>
      </c>
      <c r="N1437" t="str">
        <f t="shared" si="66"/>
        <v>T-4</v>
      </c>
      <c r="O1437">
        <f t="shared" si="67"/>
        <v>2025</v>
      </c>
      <c r="P1437" t="str">
        <f t="shared" si="68"/>
        <v>10. octubre</v>
      </c>
    </row>
    <row r="1438" spans="1:16" x14ac:dyDescent="0.35">
      <c r="A1438">
        <v>416374</v>
      </c>
      <c r="B1438" t="s">
        <v>19</v>
      </c>
      <c r="C1438" t="s">
        <v>138</v>
      </c>
      <c r="D1438" t="s">
        <v>436</v>
      </c>
      <c r="E1438" t="s">
        <v>737</v>
      </c>
      <c r="F1438" t="s">
        <v>187</v>
      </c>
      <c r="G1438" s="1">
        <v>45936</v>
      </c>
      <c r="H1438" s="1">
        <v>45940</v>
      </c>
      <c r="I1438" s="2">
        <v>2275</v>
      </c>
      <c r="J1438" t="s">
        <v>776</v>
      </c>
      <c r="K1438" t="s">
        <v>786</v>
      </c>
      <c r="L1438" t="s">
        <v>823</v>
      </c>
      <c r="M1438" t="s">
        <v>828</v>
      </c>
      <c r="N1438" t="str">
        <f t="shared" si="66"/>
        <v>T-4</v>
      </c>
      <c r="O1438">
        <f t="shared" si="67"/>
        <v>2025</v>
      </c>
      <c r="P1438" t="str">
        <f t="shared" si="68"/>
        <v>10. octubre</v>
      </c>
    </row>
    <row r="1439" spans="1:16" x14ac:dyDescent="0.35">
      <c r="A1439">
        <v>477795</v>
      </c>
      <c r="B1439" t="s">
        <v>42</v>
      </c>
      <c r="C1439" t="s">
        <v>138</v>
      </c>
      <c r="D1439" t="s">
        <v>543</v>
      </c>
      <c r="E1439" t="s">
        <v>737</v>
      </c>
      <c r="F1439" t="s">
        <v>187</v>
      </c>
      <c r="G1439" s="1">
        <v>45936</v>
      </c>
      <c r="H1439" s="1">
        <v>45940</v>
      </c>
      <c r="I1439" s="2">
        <v>2730</v>
      </c>
      <c r="J1439" t="s">
        <v>776</v>
      </c>
      <c r="K1439" t="s">
        <v>786</v>
      </c>
      <c r="L1439" t="s">
        <v>823</v>
      </c>
      <c r="M1439" t="s">
        <v>828</v>
      </c>
      <c r="N1439" t="str">
        <f t="shared" si="66"/>
        <v>T-4</v>
      </c>
      <c r="O1439">
        <f t="shared" si="67"/>
        <v>2025</v>
      </c>
      <c r="P1439" t="str">
        <f t="shared" si="68"/>
        <v>10. octubre</v>
      </c>
    </row>
    <row r="1440" spans="1:16" x14ac:dyDescent="0.35">
      <c r="A1440">
        <v>70186</v>
      </c>
      <c r="B1440" t="s">
        <v>119</v>
      </c>
      <c r="C1440" t="s">
        <v>138</v>
      </c>
      <c r="D1440" t="s">
        <v>504</v>
      </c>
      <c r="E1440" t="s">
        <v>737</v>
      </c>
      <c r="F1440" t="s">
        <v>187</v>
      </c>
      <c r="G1440" s="1">
        <v>45936</v>
      </c>
      <c r="H1440" s="1">
        <v>45940</v>
      </c>
      <c r="I1440" s="2">
        <v>1625</v>
      </c>
      <c r="J1440" t="s">
        <v>776</v>
      </c>
      <c r="K1440" t="s">
        <v>786</v>
      </c>
      <c r="L1440" t="s">
        <v>823</v>
      </c>
      <c r="M1440" t="s">
        <v>829</v>
      </c>
      <c r="N1440" t="str">
        <f t="shared" si="66"/>
        <v>T-4</v>
      </c>
      <c r="O1440">
        <f t="shared" si="67"/>
        <v>2025</v>
      </c>
      <c r="P1440" t="str">
        <f t="shared" si="68"/>
        <v>10. octubre</v>
      </c>
    </row>
    <row r="1441" spans="1:16" x14ac:dyDescent="0.35">
      <c r="A1441">
        <v>429709</v>
      </c>
      <c r="B1441" t="s">
        <v>30</v>
      </c>
      <c r="C1441" t="s">
        <v>138</v>
      </c>
      <c r="D1441" t="s">
        <v>435</v>
      </c>
      <c r="E1441" t="s">
        <v>737</v>
      </c>
      <c r="F1441" t="s">
        <v>187</v>
      </c>
      <c r="G1441" s="1">
        <v>45936</v>
      </c>
      <c r="H1441" s="1">
        <v>45939</v>
      </c>
      <c r="I1441" s="2">
        <v>1248</v>
      </c>
      <c r="J1441" t="s">
        <v>776</v>
      </c>
      <c r="K1441" t="s">
        <v>786</v>
      </c>
      <c r="L1441" t="s">
        <v>823</v>
      </c>
      <c r="M1441" t="s">
        <v>830</v>
      </c>
      <c r="N1441" t="str">
        <f t="shared" si="66"/>
        <v>T-4</v>
      </c>
      <c r="O1441">
        <f t="shared" si="67"/>
        <v>2025</v>
      </c>
      <c r="P1441" t="str">
        <f t="shared" si="68"/>
        <v>10. octubre</v>
      </c>
    </row>
    <row r="1442" spans="1:16" x14ac:dyDescent="0.35">
      <c r="A1442">
        <v>706790</v>
      </c>
      <c r="B1442" t="s">
        <v>56</v>
      </c>
      <c r="C1442" t="s">
        <v>136</v>
      </c>
      <c r="D1442" t="s">
        <v>507</v>
      </c>
      <c r="E1442" t="s">
        <v>737</v>
      </c>
      <c r="F1442" t="s">
        <v>187</v>
      </c>
      <c r="G1442" s="1">
        <v>45936</v>
      </c>
      <c r="H1442" s="1">
        <v>45939</v>
      </c>
      <c r="I1442" s="2">
        <v>1040</v>
      </c>
      <c r="J1442" t="s">
        <v>776</v>
      </c>
      <c r="K1442" t="s">
        <v>786</v>
      </c>
      <c r="L1442" t="s">
        <v>824</v>
      </c>
      <c r="M1442" t="s">
        <v>830</v>
      </c>
      <c r="N1442" t="str">
        <f t="shared" si="66"/>
        <v>T-4</v>
      </c>
      <c r="O1442">
        <f t="shared" si="67"/>
        <v>2025</v>
      </c>
      <c r="P1442" t="str">
        <f t="shared" si="68"/>
        <v>10. octubre</v>
      </c>
    </row>
    <row r="1443" spans="1:16" x14ac:dyDescent="0.35">
      <c r="A1443">
        <v>701609</v>
      </c>
      <c r="B1443" t="s">
        <v>2</v>
      </c>
      <c r="C1443" t="s">
        <v>138</v>
      </c>
      <c r="D1443" t="s">
        <v>436</v>
      </c>
      <c r="E1443" t="s">
        <v>737</v>
      </c>
      <c r="F1443" t="s">
        <v>187</v>
      </c>
      <c r="G1443" s="1">
        <v>45936</v>
      </c>
      <c r="H1443" s="1">
        <v>45940</v>
      </c>
      <c r="I1443" s="2">
        <v>3900</v>
      </c>
      <c r="J1443" t="s">
        <v>776</v>
      </c>
      <c r="K1443" t="s">
        <v>786</v>
      </c>
      <c r="L1443" t="s">
        <v>823</v>
      </c>
      <c r="M1443" t="s">
        <v>828</v>
      </c>
      <c r="N1443" t="str">
        <f t="shared" si="66"/>
        <v>T-4</v>
      </c>
      <c r="O1443">
        <f t="shared" si="67"/>
        <v>2025</v>
      </c>
      <c r="P1443" t="str">
        <f t="shared" si="68"/>
        <v>10. octubre</v>
      </c>
    </row>
    <row r="1444" spans="1:16" x14ac:dyDescent="0.35">
      <c r="A1444">
        <v>701587</v>
      </c>
      <c r="B1444" t="s">
        <v>20</v>
      </c>
      <c r="C1444" t="s">
        <v>136</v>
      </c>
      <c r="D1444" t="s">
        <v>543</v>
      </c>
      <c r="E1444" t="s">
        <v>737</v>
      </c>
      <c r="F1444" t="s">
        <v>187</v>
      </c>
      <c r="G1444" s="1">
        <v>45936</v>
      </c>
      <c r="H1444" s="1">
        <v>45940</v>
      </c>
      <c r="I1444" s="2">
        <v>390</v>
      </c>
      <c r="J1444" t="s">
        <v>776</v>
      </c>
      <c r="K1444" t="s">
        <v>786</v>
      </c>
      <c r="L1444" t="s">
        <v>823</v>
      </c>
      <c r="M1444" t="s">
        <v>830</v>
      </c>
      <c r="N1444" t="str">
        <f t="shared" si="66"/>
        <v>T-4</v>
      </c>
      <c r="O1444">
        <f t="shared" si="67"/>
        <v>2025</v>
      </c>
      <c r="P1444" t="str">
        <f t="shared" si="68"/>
        <v>10. octubre</v>
      </c>
    </row>
    <row r="1445" spans="1:16" x14ac:dyDescent="0.35">
      <c r="A1445">
        <v>611306</v>
      </c>
      <c r="B1445" t="s">
        <v>13</v>
      </c>
      <c r="C1445" t="s">
        <v>138</v>
      </c>
      <c r="D1445" t="s">
        <v>504</v>
      </c>
      <c r="E1445" t="s">
        <v>737</v>
      </c>
      <c r="F1445" t="s">
        <v>187</v>
      </c>
      <c r="G1445" s="1">
        <v>45936</v>
      </c>
      <c r="H1445" s="1">
        <v>45940</v>
      </c>
      <c r="I1445" s="2">
        <v>975</v>
      </c>
      <c r="J1445" t="s">
        <v>776</v>
      </c>
      <c r="K1445" t="s">
        <v>786</v>
      </c>
      <c r="L1445" t="s">
        <v>823</v>
      </c>
      <c r="M1445" t="s">
        <v>829</v>
      </c>
      <c r="N1445" t="str">
        <f t="shared" si="66"/>
        <v>T-4</v>
      </c>
      <c r="O1445">
        <f t="shared" si="67"/>
        <v>2025</v>
      </c>
      <c r="P1445" t="str">
        <f t="shared" si="68"/>
        <v>10. octubre</v>
      </c>
    </row>
    <row r="1446" spans="1:16" x14ac:dyDescent="0.35">
      <c r="A1446">
        <v>704314</v>
      </c>
      <c r="B1446" t="s">
        <v>45</v>
      </c>
      <c r="C1446" t="s">
        <v>138</v>
      </c>
      <c r="D1446" t="s">
        <v>435</v>
      </c>
      <c r="E1446" t="s">
        <v>737</v>
      </c>
      <c r="F1446" t="s">
        <v>187</v>
      </c>
      <c r="G1446" s="1">
        <v>45936</v>
      </c>
      <c r="H1446" s="1">
        <v>45939</v>
      </c>
      <c r="I1446" s="2">
        <v>1040</v>
      </c>
      <c r="J1446" t="s">
        <v>776</v>
      </c>
      <c r="K1446" t="s">
        <v>786</v>
      </c>
      <c r="L1446" t="s">
        <v>823</v>
      </c>
      <c r="M1446" t="s">
        <v>830</v>
      </c>
      <c r="N1446" t="str">
        <f t="shared" si="66"/>
        <v>T-4</v>
      </c>
      <c r="O1446">
        <f t="shared" si="67"/>
        <v>2025</v>
      </c>
      <c r="P1446" t="str">
        <f t="shared" si="68"/>
        <v>10. octubre</v>
      </c>
    </row>
    <row r="1447" spans="1:16" x14ac:dyDescent="0.35">
      <c r="A1447">
        <v>702380</v>
      </c>
      <c r="B1447" t="s">
        <v>27</v>
      </c>
      <c r="C1447" t="s">
        <v>138</v>
      </c>
      <c r="D1447" t="s">
        <v>507</v>
      </c>
      <c r="E1447" t="s">
        <v>737</v>
      </c>
      <c r="F1447" t="s">
        <v>187</v>
      </c>
      <c r="G1447" s="1">
        <v>45936</v>
      </c>
      <c r="H1447" s="1">
        <v>45939</v>
      </c>
      <c r="I1447" s="2">
        <v>2600</v>
      </c>
      <c r="J1447" t="s">
        <v>776</v>
      </c>
      <c r="K1447" t="s">
        <v>786</v>
      </c>
      <c r="L1447" t="s">
        <v>823</v>
      </c>
      <c r="M1447" t="s">
        <v>830</v>
      </c>
      <c r="N1447" t="str">
        <f t="shared" si="66"/>
        <v>T-4</v>
      </c>
      <c r="O1447">
        <f t="shared" si="67"/>
        <v>2025</v>
      </c>
      <c r="P1447" t="str">
        <f t="shared" si="68"/>
        <v>10. octubre</v>
      </c>
    </row>
    <row r="1448" spans="1:16" x14ac:dyDescent="0.35">
      <c r="A1448">
        <v>561513</v>
      </c>
      <c r="B1448" t="s">
        <v>5</v>
      </c>
      <c r="C1448" t="s">
        <v>138</v>
      </c>
      <c r="D1448" t="s">
        <v>562</v>
      </c>
      <c r="E1448" t="s">
        <v>737</v>
      </c>
      <c r="F1448" t="s">
        <v>187</v>
      </c>
      <c r="G1448" s="1">
        <v>45936</v>
      </c>
      <c r="H1448" s="1">
        <v>45940</v>
      </c>
      <c r="I1448" s="2">
        <v>1560</v>
      </c>
      <c r="J1448" t="s">
        <v>776</v>
      </c>
      <c r="K1448" t="s">
        <v>786</v>
      </c>
      <c r="L1448" t="s">
        <v>823</v>
      </c>
      <c r="M1448" t="s">
        <v>828</v>
      </c>
      <c r="N1448" t="str">
        <f t="shared" si="66"/>
        <v>T-4</v>
      </c>
      <c r="O1448">
        <f t="shared" si="67"/>
        <v>2025</v>
      </c>
      <c r="P1448" t="str">
        <f t="shared" si="68"/>
        <v>10. octubre</v>
      </c>
    </row>
    <row r="1449" spans="1:16" x14ac:dyDescent="0.35">
      <c r="A1449">
        <v>724079</v>
      </c>
      <c r="B1449" t="s">
        <v>23</v>
      </c>
      <c r="C1449" t="s">
        <v>138</v>
      </c>
      <c r="D1449" t="s">
        <v>504</v>
      </c>
      <c r="E1449" t="s">
        <v>737</v>
      </c>
      <c r="F1449" t="s">
        <v>187</v>
      </c>
      <c r="G1449" s="1">
        <v>45936</v>
      </c>
      <c r="H1449" s="1">
        <v>45940</v>
      </c>
      <c r="I1449" s="2">
        <v>2275</v>
      </c>
      <c r="J1449" t="s">
        <v>776</v>
      </c>
      <c r="K1449" t="s">
        <v>786</v>
      </c>
      <c r="L1449" t="s">
        <v>823</v>
      </c>
      <c r="M1449" t="s">
        <v>828</v>
      </c>
      <c r="N1449" t="str">
        <f t="shared" si="66"/>
        <v>T-4</v>
      </c>
      <c r="O1449">
        <f t="shared" si="67"/>
        <v>2025</v>
      </c>
      <c r="P1449" t="str">
        <f t="shared" si="68"/>
        <v>10. octubre</v>
      </c>
    </row>
    <row r="1450" spans="1:16" x14ac:dyDescent="0.35">
      <c r="A1450">
        <v>560581</v>
      </c>
      <c r="B1450" t="s">
        <v>45</v>
      </c>
      <c r="C1450" t="s">
        <v>139</v>
      </c>
      <c r="D1450" t="s">
        <v>435</v>
      </c>
      <c r="E1450" t="s">
        <v>737</v>
      </c>
      <c r="F1450" t="s">
        <v>187</v>
      </c>
      <c r="G1450" s="1">
        <v>45936</v>
      </c>
      <c r="H1450" s="1">
        <v>45939</v>
      </c>
      <c r="I1450" s="2">
        <v>624</v>
      </c>
      <c r="J1450" t="s">
        <v>776</v>
      </c>
      <c r="K1450" t="s">
        <v>786</v>
      </c>
      <c r="L1450" t="s">
        <v>824</v>
      </c>
      <c r="M1450" t="s">
        <v>830</v>
      </c>
      <c r="N1450" t="str">
        <f t="shared" si="66"/>
        <v>T-4</v>
      </c>
      <c r="O1450">
        <f t="shared" si="67"/>
        <v>2025</v>
      </c>
      <c r="P1450" t="str">
        <f t="shared" si="68"/>
        <v>10. octubre</v>
      </c>
    </row>
    <row r="1451" spans="1:16" x14ac:dyDescent="0.35">
      <c r="A1451">
        <v>445107</v>
      </c>
      <c r="B1451" t="s">
        <v>39</v>
      </c>
      <c r="C1451" t="s">
        <v>138</v>
      </c>
      <c r="D1451" t="s">
        <v>446</v>
      </c>
      <c r="E1451" t="s">
        <v>740</v>
      </c>
      <c r="F1451" t="s">
        <v>187</v>
      </c>
      <c r="G1451" s="1">
        <v>45922</v>
      </c>
      <c r="H1451" s="1">
        <v>45925</v>
      </c>
      <c r="I1451" s="2">
        <v>2912</v>
      </c>
      <c r="J1451" t="s">
        <v>779</v>
      </c>
      <c r="K1451" t="s">
        <v>786</v>
      </c>
      <c r="L1451" t="s">
        <v>823</v>
      </c>
      <c r="M1451" t="s">
        <v>829</v>
      </c>
      <c r="N1451" t="str">
        <f t="shared" si="66"/>
        <v>T-3</v>
      </c>
      <c r="O1451">
        <f t="shared" si="67"/>
        <v>2025</v>
      </c>
      <c r="P1451" t="str">
        <f t="shared" si="68"/>
        <v>9. septiembre</v>
      </c>
    </row>
    <row r="1452" spans="1:16" x14ac:dyDescent="0.35">
      <c r="A1452">
        <v>270477</v>
      </c>
      <c r="B1452" t="s">
        <v>33</v>
      </c>
      <c r="C1452" t="s">
        <v>138</v>
      </c>
      <c r="D1452" t="s">
        <v>447</v>
      </c>
      <c r="E1452" t="s">
        <v>740</v>
      </c>
      <c r="F1452" t="s">
        <v>187</v>
      </c>
      <c r="G1452" s="1">
        <v>45922</v>
      </c>
      <c r="H1452" s="1">
        <v>45925</v>
      </c>
      <c r="I1452" s="2">
        <v>2288</v>
      </c>
      <c r="J1452" t="s">
        <v>779</v>
      </c>
      <c r="K1452" t="s">
        <v>786</v>
      </c>
      <c r="L1452" t="s">
        <v>823</v>
      </c>
      <c r="M1452" t="s">
        <v>830</v>
      </c>
      <c r="N1452" t="str">
        <f t="shared" si="66"/>
        <v>T-3</v>
      </c>
      <c r="O1452">
        <f t="shared" si="67"/>
        <v>2025</v>
      </c>
      <c r="P1452" t="str">
        <f t="shared" si="68"/>
        <v>9. septiembre</v>
      </c>
    </row>
    <row r="1453" spans="1:16" x14ac:dyDescent="0.35">
      <c r="A1453">
        <v>709362</v>
      </c>
      <c r="B1453" t="s">
        <v>30</v>
      </c>
      <c r="C1453" t="s">
        <v>138</v>
      </c>
      <c r="D1453" t="s">
        <v>446</v>
      </c>
      <c r="E1453" t="s">
        <v>740</v>
      </c>
      <c r="F1453" t="s">
        <v>187</v>
      </c>
      <c r="G1453" s="1">
        <v>45922</v>
      </c>
      <c r="H1453" s="1">
        <v>45925</v>
      </c>
      <c r="I1453" s="2">
        <v>208</v>
      </c>
      <c r="J1453" t="s">
        <v>779</v>
      </c>
      <c r="K1453" t="s">
        <v>786</v>
      </c>
      <c r="L1453" t="s">
        <v>823</v>
      </c>
      <c r="M1453" t="s">
        <v>830</v>
      </c>
      <c r="N1453" t="str">
        <f t="shared" si="66"/>
        <v>T-3</v>
      </c>
      <c r="O1453">
        <f t="shared" si="67"/>
        <v>2025</v>
      </c>
      <c r="P1453" t="str">
        <f t="shared" si="68"/>
        <v>9. septiembre</v>
      </c>
    </row>
    <row r="1454" spans="1:16" x14ac:dyDescent="0.35">
      <c r="A1454">
        <v>413399</v>
      </c>
      <c r="B1454" t="s">
        <v>17</v>
      </c>
      <c r="C1454" t="s">
        <v>138</v>
      </c>
      <c r="D1454" t="s">
        <v>447</v>
      </c>
      <c r="E1454" t="s">
        <v>740</v>
      </c>
      <c r="F1454" t="s">
        <v>187</v>
      </c>
      <c r="G1454" s="1">
        <v>45922</v>
      </c>
      <c r="H1454" s="1">
        <v>45925</v>
      </c>
      <c r="I1454" s="2">
        <v>416</v>
      </c>
      <c r="J1454" t="s">
        <v>779</v>
      </c>
      <c r="K1454" t="s">
        <v>786</v>
      </c>
      <c r="L1454" t="s">
        <v>823</v>
      </c>
      <c r="M1454" t="s">
        <v>828</v>
      </c>
      <c r="N1454" t="str">
        <f t="shared" si="66"/>
        <v>T-3</v>
      </c>
      <c r="O1454">
        <f t="shared" si="67"/>
        <v>2025</v>
      </c>
      <c r="P1454" t="str">
        <f t="shared" si="68"/>
        <v>9. septiembre</v>
      </c>
    </row>
    <row r="1455" spans="1:16" x14ac:dyDescent="0.35">
      <c r="A1455">
        <v>711568</v>
      </c>
      <c r="B1455" t="s">
        <v>17</v>
      </c>
      <c r="C1455" t="s">
        <v>138</v>
      </c>
      <c r="D1455" t="s">
        <v>446</v>
      </c>
      <c r="E1455" t="s">
        <v>740</v>
      </c>
      <c r="F1455" t="s">
        <v>187</v>
      </c>
      <c r="G1455" s="1">
        <v>45922</v>
      </c>
      <c r="H1455" s="1">
        <v>45925</v>
      </c>
      <c r="I1455" s="2">
        <v>2288</v>
      </c>
      <c r="J1455" t="s">
        <v>779</v>
      </c>
      <c r="K1455" t="s">
        <v>797</v>
      </c>
      <c r="L1455" t="s">
        <v>823</v>
      </c>
      <c r="M1455" t="s">
        <v>828</v>
      </c>
      <c r="N1455" t="str">
        <f t="shared" si="66"/>
        <v>T-3</v>
      </c>
      <c r="O1455">
        <f t="shared" si="67"/>
        <v>2025</v>
      </c>
      <c r="P1455" t="str">
        <f t="shared" si="68"/>
        <v>9. septiembre</v>
      </c>
    </row>
    <row r="1456" spans="1:16" x14ac:dyDescent="0.35">
      <c r="A1456">
        <v>717165</v>
      </c>
      <c r="B1456" t="s">
        <v>24</v>
      </c>
      <c r="C1456" t="s">
        <v>137</v>
      </c>
      <c r="D1456" t="s">
        <v>447</v>
      </c>
      <c r="E1456" t="s">
        <v>740</v>
      </c>
      <c r="F1456" t="s">
        <v>187</v>
      </c>
      <c r="G1456" s="1">
        <v>45922</v>
      </c>
      <c r="H1456" s="1">
        <v>45925</v>
      </c>
      <c r="I1456" s="2">
        <v>1248</v>
      </c>
      <c r="J1456" t="s">
        <v>779</v>
      </c>
      <c r="K1456" t="s">
        <v>790</v>
      </c>
      <c r="L1456" t="s">
        <v>824</v>
      </c>
      <c r="M1456" t="s">
        <v>829</v>
      </c>
      <c r="N1456" t="str">
        <f t="shared" si="66"/>
        <v>T-3</v>
      </c>
      <c r="O1456">
        <f t="shared" si="67"/>
        <v>2025</v>
      </c>
      <c r="P1456" t="str">
        <f t="shared" si="68"/>
        <v>9. septiembre</v>
      </c>
    </row>
    <row r="1457" spans="1:16" x14ac:dyDescent="0.35">
      <c r="A1457">
        <v>608689</v>
      </c>
      <c r="B1457" t="s">
        <v>13</v>
      </c>
      <c r="C1457" t="s">
        <v>138</v>
      </c>
      <c r="D1457" t="s">
        <v>232</v>
      </c>
      <c r="E1457" t="s">
        <v>675</v>
      </c>
      <c r="F1457" t="s">
        <v>187</v>
      </c>
      <c r="G1457" s="1">
        <v>45923</v>
      </c>
      <c r="H1457" s="1">
        <v>45930</v>
      </c>
      <c r="I1457" s="2">
        <v>487.5</v>
      </c>
      <c r="J1457" t="s">
        <v>779</v>
      </c>
      <c r="K1457" t="s">
        <v>783</v>
      </c>
      <c r="L1457" t="s">
        <v>823</v>
      </c>
      <c r="M1457" t="s">
        <v>830</v>
      </c>
      <c r="N1457" t="str">
        <f t="shared" si="66"/>
        <v>T-3</v>
      </c>
      <c r="O1457">
        <f t="shared" si="67"/>
        <v>2025</v>
      </c>
      <c r="P1457" t="str">
        <f t="shared" si="68"/>
        <v>9. septiembre</v>
      </c>
    </row>
    <row r="1458" spans="1:16" x14ac:dyDescent="0.35">
      <c r="A1458">
        <v>713790</v>
      </c>
      <c r="B1458" t="s">
        <v>30</v>
      </c>
      <c r="C1458" t="s">
        <v>138</v>
      </c>
      <c r="D1458" t="s">
        <v>232</v>
      </c>
      <c r="E1458" t="s">
        <v>675</v>
      </c>
      <c r="F1458" t="s">
        <v>187</v>
      </c>
      <c r="G1458" s="1">
        <v>45922</v>
      </c>
      <c r="H1458" s="1">
        <v>45929</v>
      </c>
      <c r="I1458" s="2">
        <v>780</v>
      </c>
      <c r="J1458" t="s">
        <v>779</v>
      </c>
      <c r="K1458" t="s">
        <v>785</v>
      </c>
      <c r="L1458" t="s">
        <v>823</v>
      </c>
      <c r="M1458" t="s">
        <v>830</v>
      </c>
      <c r="N1458" t="str">
        <f t="shared" si="66"/>
        <v>T-3</v>
      </c>
      <c r="O1458">
        <f t="shared" si="67"/>
        <v>2025</v>
      </c>
      <c r="P1458" t="str">
        <f t="shared" si="68"/>
        <v>9. septiembre</v>
      </c>
    </row>
    <row r="1459" spans="1:16" x14ac:dyDescent="0.35">
      <c r="A1459">
        <v>708981</v>
      </c>
      <c r="B1459" t="s">
        <v>62</v>
      </c>
      <c r="C1459" t="s">
        <v>138</v>
      </c>
      <c r="D1459" t="s">
        <v>563</v>
      </c>
      <c r="E1459" t="s">
        <v>675</v>
      </c>
      <c r="F1459" t="s">
        <v>187</v>
      </c>
      <c r="G1459" s="1">
        <v>45936</v>
      </c>
      <c r="H1459" s="1">
        <v>45936</v>
      </c>
      <c r="I1459" s="2">
        <v>300</v>
      </c>
      <c r="J1459" t="s">
        <v>779</v>
      </c>
      <c r="K1459" t="s">
        <v>800</v>
      </c>
      <c r="L1459" t="s">
        <v>823</v>
      </c>
      <c r="M1459" t="s">
        <v>828</v>
      </c>
      <c r="N1459" t="str">
        <f t="shared" si="66"/>
        <v>T-4</v>
      </c>
      <c r="O1459">
        <f t="shared" si="67"/>
        <v>2025</v>
      </c>
      <c r="P1459" t="str">
        <f t="shared" si="68"/>
        <v>10. octubre</v>
      </c>
    </row>
    <row r="1460" spans="1:16" x14ac:dyDescent="0.35">
      <c r="A1460">
        <v>407314</v>
      </c>
      <c r="B1460" t="s">
        <v>25</v>
      </c>
      <c r="C1460" t="s">
        <v>138</v>
      </c>
      <c r="D1460" t="s">
        <v>564</v>
      </c>
      <c r="E1460" t="s">
        <v>754</v>
      </c>
      <c r="F1460" t="s">
        <v>187</v>
      </c>
      <c r="G1460" s="1">
        <v>45936</v>
      </c>
      <c r="H1460" s="1">
        <v>45939</v>
      </c>
      <c r="I1460" s="2">
        <v>1000</v>
      </c>
      <c r="J1460" t="s">
        <v>776</v>
      </c>
      <c r="K1460" t="s">
        <v>790</v>
      </c>
      <c r="L1460" t="s">
        <v>823</v>
      </c>
      <c r="M1460" t="s">
        <v>830</v>
      </c>
      <c r="N1460" t="str">
        <f t="shared" si="66"/>
        <v>T-4</v>
      </c>
      <c r="O1460">
        <f t="shared" si="67"/>
        <v>2025</v>
      </c>
      <c r="P1460" t="str">
        <f t="shared" si="68"/>
        <v>10. octubre</v>
      </c>
    </row>
    <row r="1461" spans="1:16" x14ac:dyDescent="0.35">
      <c r="A1461">
        <v>471045</v>
      </c>
      <c r="B1461" t="s">
        <v>37</v>
      </c>
      <c r="C1461" t="s">
        <v>138</v>
      </c>
      <c r="D1461" t="s">
        <v>564</v>
      </c>
      <c r="E1461" t="s">
        <v>754</v>
      </c>
      <c r="F1461" t="s">
        <v>187</v>
      </c>
      <c r="G1461" s="1">
        <v>45936</v>
      </c>
      <c r="H1461" s="1">
        <v>45939</v>
      </c>
      <c r="I1461" s="2">
        <v>4500</v>
      </c>
      <c r="J1461" t="s">
        <v>776</v>
      </c>
      <c r="K1461" t="s">
        <v>783</v>
      </c>
      <c r="L1461" t="s">
        <v>823</v>
      </c>
      <c r="M1461" t="s">
        <v>829</v>
      </c>
      <c r="N1461" t="str">
        <f t="shared" si="66"/>
        <v>T-4</v>
      </c>
      <c r="O1461">
        <f t="shared" si="67"/>
        <v>2025</v>
      </c>
      <c r="P1461" t="str">
        <f t="shared" si="68"/>
        <v>10. octubre</v>
      </c>
    </row>
    <row r="1462" spans="1:16" x14ac:dyDescent="0.35">
      <c r="A1462">
        <v>486877</v>
      </c>
      <c r="B1462" t="s">
        <v>20</v>
      </c>
      <c r="C1462" t="s">
        <v>136</v>
      </c>
      <c r="D1462" t="s">
        <v>564</v>
      </c>
      <c r="E1462" t="s">
        <v>754</v>
      </c>
      <c r="F1462" t="s">
        <v>187</v>
      </c>
      <c r="G1462" s="1">
        <v>45936</v>
      </c>
      <c r="H1462" s="1">
        <v>45939</v>
      </c>
      <c r="I1462" s="2">
        <v>500</v>
      </c>
      <c r="J1462" t="s">
        <v>776</v>
      </c>
      <c r="K1462" t="s">
        <v>790</v>
      </c>
      <c r="L1462" t="s">
        <v>823</v>
      </c>
      <c r="M1462" t="s">
        <v>830</v>
      </c>
      <c r="N1462" t="str">
        <f t="shared" si="66"/>
        <v>T-4</v>
      </c>
      <c r="O1462">
        <f t="shared" si="67"/>
        <v>2025</v>
      </c>
      <c r="P1462" t="str">
        <f t="shared" si="68"/>
        <v>10. octubre</v>
      </c>
    </row>
    <row r="1463" spans="1:16" x14ac:dyDescent="0.35">
      <c r="A1463">
        <v>408843</v>
      </c>
      <c r="B1463" t="s">
        <v>4</v>
      </c>
      <c r="C1463" t="s">
        <v>138</v>
      </c>
      <c r="D1463" t="s">
        <v>564</v>
      </c>
      <c r="E1463" t="s">
        <v>754</v>
      </c>
      <c r="F1463" t="s">
        <v>187</v>
      </c>
      <c r="G1463" s="1">
        <v>45936</v>
      </c>
      <c r="H1463" s="1">
        <v>45939</v>
      </c>
      <c r="I1463" s="2">
        <v>2000</v>
      </c>
      <c r="J1463" t="s">
        <v>776</v>
      </c>
      <c r="K1463" t="s">
        <v>786</v>
      </c>
      <c r="L1463" t="s">
        <v>824</v>
      </c>
      <c r="M1463" t="s">
        <v>830</v>
      </c>
      <c r="N1463" t="str">
        <f t="shared" si="66"/>
        <v>T-4</v>
      </c>
      <c r="O1463">
        <f t="shared" si="67"/>
        <v>2025</v>
      </c>
      <c r="P1463" t="str">
        <f t="shared" si="68"/>
        <v>10. octubre</v>
      </c>
    </row>
    <row r="1464" spans="1:16" x14ac:dyDescent="0.35">
      <c r="A1464">
        <v>752308</v>
      </c>
      <c r="B1464" t="s">
        <v>31</v>
      </c>
      <c r="C1464" t="s">
        <v>139</v>
      </c>
      <c r="D1464" t="s">
        <v>565</v>
      </c>
      <c r="E1464" t="s">
        <v>726</v>
      </c>
      <c r="F1464" t="s">
        <v>773</v>
      </c>
      <c r="G1464" s="1">
        <v>46006</v>
      </c>
      <c r="H1464" s="1">
        <v>46006</v>
      </c>
      <c r="I1464" s="2">
        <v>680</v>
      </c>
      <c r="J1464" t="s">
        <v>774</v>
      </c>
      <c r="K1464" t="s">
        <v>783</v>
      </c>
      <c r="L1464" t="s">
        <v>823</v>
      </c>
      <c r="M1464" t="s">
        <v>828</v>
      </c>
      <c r="N1464" t="str">
        <f t="shared" si="66"/>
        <v>T-4</v>
      </c>
      <c r="O1464">
        <f t="shared" si="67"/>
        <v>2025</v>
      </c>
      <c r="P1464" t="str">
        <f t="shared" si="68"/>
        <v>12. diciembre</v>
      </c>
    </row>
    <row r="1465" spans="1:16" x14ac:dyDescent="0.35">
      <c r="A1465">
        <v>705474</v>
      </c>
      <c r="B1465" t="s">
        <v>2</v>
      </c>
      <c r="C1465" t="s">
        <v>138</v>
      </c>
      <c r="D1465" t="s">
        <v>565</v>
      </c>
      <c r="E1465" t="s">
        <v>726</v>
      </c>
      <c r="F1465" t="s">
        <v>773</v>
      </c>
      <c r="G1465" s="1">
        <v>46006</v>
      </c>
      <c r="H1465" s="1">
        <v>46006</v>
      </c>
      <c r="I1465" s="2">
        <v>680</v>
      </c>
      <c r="J1465" t="s">
        <v>774</v>
      </c>
      <c r="K1465" t="s">
        <v>783</v>
      </c>
      <c r="L1465" t="s">
        <v>823</v>
      </c>
      <c r="M1465" t="s">
        <v>828</v>
      </c>
      <c r="N1465" t="str">
        <f t="shared" si="66"/>
        <v>T-4</v>
      </c>
      <c r="O1465">
        <f t="shared" si="67"/>
        <v>2025</v>
      </c>
      <c r="P1465" t="str">
        <f t="shared" si="68"/>
        <v>12. diciembre</v>
      </c>
    </row>
    <row r="1466" spans="1:16" x14ac:dyDescent="0.35">
      <c r="A1466">
        <v>610483</v>
      </c>
      <c r="B1466" t="s">
        <v>13</v>
      </c>
      <c r="C1466" t="s">
        <v>138</v>
      </c>
      <c r="D1466" t="s">
        <v>566</v>
      </c>
      <c r="E1466" t="s">
        <v>755</v>
      </c>
      <c r="F1466" t="s">
        <v>773</v>
      </c>
      <c r="G1466" s="1">
        <v>45943</v>
      </c>
      <c r="H1466" s="1">
        <v>45984</v>
      </c>
      <c r="I1466" s="2">
        <v>805</v>
      </c>
      <c r="J1466" t="s">
        <v>778</v>
      </c>
      <c r="K1466" t="s">
        <v>783</v>
      </c>
      <c r="L1466" t="s">
        <v>823</v>
      </c>
      <c r="M1466" t="s">
        <v>830</v>
      </c>
      <c r="N1466" t="str">
        <f t="shared" si="66"/>
        <v>T-4</v>
      </c>
      <c r="O1466">
        <f t="shared" si="67"/>
        <v>2025</v>
      </c>
      <c r="P1466" t="str">
        <f t="shared" si="68"/>
        <v>10. octubre</v>
      </c>
    </row>
    <row r="1467" spans="1:16" x14ac:dyDescent="0.35">
      <c r="A1467">
        <v>603046</v>
      </c>
      <c r="B1467" t="s">
        <v>5</v>
      </c>
      <c r="C1467" t="s">
        <v>138</v>
      </c>
      <c r="D1467" t="s">
        <v>148</v>
      </c>
      <c r="E1467" t="s">
        <v>651</v>
      </c>
      <c r="F1467" t="s">
        <v>773</v>
      </c>
      <c r="G1467" s="1">
        <v>46009</v>
      </c>
      <c r="H1467" s="1">
        <v>46009</v>
      </c>
      <c r="I1467" s="2">
        <v>250</v>
      </c>
      <c r="J1467" t="s">
        <v>774</v>
      </c>
      <c r="K1467" t="s">
        <v>800</v>
      </c>
      <c r="L1467" t="s">
        <v>823</v>
      </c>
      <c r="M1467" t="s">
        <v>829</v>
      </c>
      <c r="N1467" t="str">
        <f t="shared" si="66"/>
        <v>T-4</v>
      </c>
      <c r="O1467">
        <f t="shared" si="67"/>
        <v>2025</v>
      </c>
      <c r="P1467" t="str">
        <f t="shared" si="68"/>
        <v>12. diciembre</v>
      </c>
    </row>
    <row r="1468" spans="1:16" x14ac:dyDescent="0.35">
      <c r="A1468">
        <v>705021</v>
      </c>
      <c r="B1468" t="s">
        <v>17</v>
      </c>
      <c r="C1468" t="s">
        <v>139</v>
      </c>
      <c r="D1468" t="s">
        <v>148</v>
      </c>
      <c r="E1468" t="s">
        <v>651</v>
      </c>
      <c r="F1468" t="s">
        <v>773</v>
      </c>
      <c r="G1468" s="1">
        <v>46009</v>
      </c>
      <c r="H1468" s="1">
        <v>46009</v>
      </c>
      <c r="I1468" s="2">
        <v>250</v>
      </c>
      <c r="J1468" t="s">
        <v>774</v>
      </c>
      <c r="K1468" t="s">
        <v>783</v>
      </c>
      <c r="L1468" t="s">
        <v>823</v>
      </c>
      <c r="M1468" t="s">
        <v>830</v>
      </c>
      <c r="N1468" t="str">
        <f t="shared" si="66"/>
        <v>T-4</v>
      </c>
      <c r="O1468">
        <f t="shared" si="67"/>
        <v>2025</v>
      </c>
      <c r="P1468" t="str">
        <f t="shared" si="68"/>
        <v>12. diciembre</v>
      </c>
    </row>
    <row r="1469" spans="1:16" x14ac:dyDescent="0.35">
      <c r="A1469">
        <v>468787</v>
      </c>
      <c r="B1469" t="s">
        <v>39</v>
      </c>
      <c r="C1469" t="s">
        <v>138</v>
      </c>
      <c r="D1469" t="s">
        <v>148</v>
      </c>
      <c r="E1469" t="s">
        <v>651</v>
      </c>
      <c r="F1469" t="s">
        <v>773</v>
      </c>
      <c r="G1469" s="1">
        <v>46009</v>
      </c>
      <c r="H1469" s="1">
        <v>46009</v>
      </c>
      <c r="I1469" s="2">
        <v>250</v>
      </c>
      <c r="J1469" t="s">
        <v>774</v>
      </c>
      <c r="K1469" t="s">
        <v>783</v>
      </c>
      <c r="L1469" t="s">
        <v>823</v>
      </c>
      <c r="M1469" t="s">
        <v>830</v>
      </c>
      <c r="N1469" t="str">
        <f t="shared" si="66"/>
        <v>T-4</v>
      </c>
      <c r="O1469">
        <f t="shared" si="67"/>
        <v>2025</v>
      </c>
      <c r="P1469" t="str">
        <f t="shared" si="68"/>
        <v>12. diciembre</v>
      </c>
    </row>
    <row r="1470" spans="1:16" x14ac:dyDescent="0.35">
      <c r="A1470">
        <v>566511</v>
      </c>
      <c r="B1470" t="s">
        <v>30</v>
      </c>
      <c r="C1470" t="s">
        <v>138</v>
      </c>
      <c r="D1470" t="s">
        <v>148</v>
      </c>
      <c r="E1470" t="s">
        <v>651</v>
      </c>
      <c r="F1470" t="s">
        <v>773</v>
      </c>
      <c r="G1470" s="1">
        <v>46009</v>
      </c>
      <c r="H1470" s="1">
        <v>46009</v>
      </c>
      <c r="I1470" s="2">
        <v>250</v>
      </c>
      <c r="J1470" t="s">
        <v>774</v>
      </c>
      <c r="K1470" t="s">
        <v>783</v>
      </c>
      <c r="L1470" t="s">
        <v>823</v>
      </c>
      <c r="M1470" t="s">
        <v>828</v>
      </c>
      <c r="N1470" t="str">
        <f t="shared" si="66"/>
        <v>T-4</v>
      </c>
      <c r="O1470">
        <f t="shared" si="67"/>
        <v>2025</v>
      </c>
      <c r="P1470" t="str">
        <f t="shared" si="68"/>
        <v>12. diciembre</v>
      </c>
    </row>
    <row r="1471" spans="1:16" x14ac:dyDescent="0.35">
      <c r="A1471">
        <v>20045</v>
      </c>
      <c r="B1471" t="s">
        <v>75</v>
      </c>
      <c r="C1471" t="s">
        <v>139</v>
      </c>
      <c r="D1471" t="s">
        <v>148</v>
      </c>
      <c r="E1471" t="s">
        <v>651</v>
      </c>
      <c r="F1471" t="s">
        <v>773</v>
      </c>
      <c r="G1471" s="1">
        <v>46009</v>
      </c>
      <c r="H1471" s="1">
        <v>46009</v>
      </c>
      <c r="I1471" s="2">
        <v>250</v>
      </c>
      <c r="J1471" t="s">
        <v>774</v>
      </c>
      <c r="K1471" t="s">
        <v>783</v>
      </c>
      <c r="L1471" t="s">
        <v>824</v>
      </c>
      <c r="M1471" t="s">
        <v>828</v>
      </c>
      <c r="N1471" t="str">
        <f t="shared" si="66"/>
        <v>T-4</v>
      </c>
      <c r="O1471">
        <f t="shared" si="67"/>
        <v>2025</v>
      </c>
      <c r="P1471" t="str">
        <f t="shared" si="68"/>
        <v>12. diciembre</v>
      </c>
    </row>
    <row r="1472" spans="1:16" x14ac:dyDescent="0.35">
      <c r="A1472">
        <v>478408</v>
      </c>
      <c r="B1472" t="s">
        <v>5</v>
      </c>
      <c r="C1472" t="s">
        <v>138</v>
      </c>
      <c r="D1472" t="s">
        <v>148</v>
      </c>
      <c r="E1472" t="s">
        <v>651</v>
      </c>
      <c r="F1472" t="s">
        <v>773</v>
      </c>
      <c r="G1472" s="1">
        <v>46009</v>
      </c>
      <c r="H1472" s="1">
        <v>46009</v>
      </c>
      <c r="I1472" s="2">
        <v>250</v>
      </c>
      <c r="J1472" t="s">
        <v>774</v>
      </c>
      <c r="K1472" t="s">
        <v>789</v>
      </c>
      <c r="L1472" t="s">
        <v>823</v>
      </c>
      <c r="M1472" t="s">
        <v>829</v>
      </c>
      <c r="N1472" t="str">
        <f t="shared" si="66"/>
        <v>T-4</v>
      </c>
      <c r="O1472">
        <f t="shared" si="67"/>
        <v>2025</v>
      </c>
      <c r="P1472" t="str">
        <f t="shared" si="68"/>
        <v>12. diciembre</v>
      </c>
    </row>
    <row r="1473" spans="1:16" x14ac:dyDescent="0.35">
      <c r="A1473">
        <v>472972</v>
      </c>
      <c r="B1473" t="s">
        <v>24</v>
      </c>
      <c r="C1473" t="s">
        <v>139</v>
      </c>
      <c r="D1473" t="s">
        <v>148</v>
      </c>
      <c r="E1473" t="s">
        <v>651</v>
      </c>
      <c r="F1473" t="s">
        <v>773</v>
      </c>
      <c r="G1473" s="1">
        <v>46009</v>
      </c>
      <c r="H1473" s="1">
        <v>46009</v>
      </c>
      <c r="I1473" s="2">
        <v>250</v>
      </c>
      <c r="J1473" t="s">
        <v>774</v>
      </c>
      <c r="K1473" t="s">
        <v>785</v>
      </c>
      <c r="L1473" t="s">
        <v>823</v>
      </c>
      <c r="M1473" t="s">
        <v>830</v>
      </c>
      <c r="N1473" t="str">
        <f t="shared" si="66"/>
        <v>T-4</v>
      </c>
      <c r="O1473">
        <f t="shared" si="67"/>
        <v>2025</v>
      </c>
      <c r="P1473" t="str">
        <f t="shared" si="68"/>
        <v>12. diciembre</v>
      </c>
    </row>
    <row r="1474" spans="1:16" x14ac:dyDescent="0.35">
      <c r="A1474">
        <v>722815</v>
      </c>
      <c r="B1474" t="s">
        <v>8</v>
      </c>
      <c r="C1474" t="s">
        <v>138</v>
      </c>
      <c r="D1474" t="s">
        <v>364</v>
      </c>
      <c r="E1474" t="s">
        <v>652</v>
      </c>
      <c r="F1474" t="s">
        <v>187</v>
      </c>
      <c r="G1474" s="1">
        <v>45936</v>
      </c>
      <c r="H1474" s="1">
        <v>45936</v>
      </c>
      <c r="I1474" s="2">
        <v>312</v>
      </c>
      <c r="J1474" t="s">
        <v>774</v>
      </c>
      <c r="K1474" t="s">
        <v>783</v>
      </c>
      <c r="L1474" t="s">
        <v>823</v>
      </c>
      <c r="M1474" t="s">
        <v>830</v>
      </c>
      <c r="N1474" t="str">
        <f t="shared" si="66"/>
        <v>T-4</v>
      </c>
      <c r="O1474">
        <f t="shared" si="67"/>
        <v>2025</v>
      </c>
      <c r="P1474" t="str">
        <f t="shared" si="68"/>
        <v>10. octubre</v>
      </c>
    </row>
    <row r="1475" spans="1:16" x14ac:dyDescent="0.35">
      <c r="A1475">
        <v>400361</v>
      </c>
      <c r="B1475" t="s">
        <v>123</v>
      </c>
      <c r="C1475" t="s">
        <v>138</v>
      </c>
      <c r="D1475" t="s">
        <v>246</v>
      </c>
      <c r="E1475" t="s">
        <v>652</v>
      </c>
      <c r="F1475" t="s">
        <v>187</v>
      </c>
      <c r="G1475" s="1">
        <v>45936</v>
      </c>
      <c r="H1475" s="1">
        <v>45936</v>
      </c>
      <c r="I1475" s="2">
        <v>468</v>
      </c>
      <c r="J1475" t="s">
        <v>774</v>
      </c>
      <c r="K1475" t="s">
        <v>783</v>
      </c>
      <c r="L1475" t="s">
        <v>823</v>
      </c>
      <c r="M1475" t="s">
        <v>828</v>
      </c>
      <c r="N1475" t="str">
        <f t="shared" ref="N1475:N1538" si="69">"T-" &amp; ROUNDUP((MONTH(G1475)/3), 0)</f>
        <v>T-4</v>
      </c>
      <c r="O1475">
        <f t="shared" ref="O1475:O1538" si="70">YEAR(G1475)</f>
        <v>2025</v>
      </c>
      <c r="P1475" t="str">
        <f t="shared" ref="P1475:P1538" si="71">MONTH(G1475) &amp; ". " &amp; TEXT(G1475, "MMMM")</f>
        <v>10. octubre</v>
      </c>
    </row>
    <row r="1476" spans="1:16" x14ac:dyDescent="0.35">
      <c r="A1476">
        <v>413743</v>
      </c>
      <c r="B1476" t="s">
        <v>2</v>
      </c>
      <c r="C1476" t="s">
        <v>138</v>
      </c>
      <c r="D1476" t="s">
        <v>364</v>
      </c>
      <c r="E1476" t="s">
        <v>652</v>
      </c>
      <c r="F1476" t="s">
        <v>187</v>
      </c>
      <c r="G1476" s="1">
        <v>45936</v>
      </c>
      <c r="H1476" s="1">
        <v>45936</v>
      </c>
      <c r="I1476" s="2">
        <v>624</v>
      </c>
      <c r="J1476" t="s">
        <v>774</v>
      </c>
      <c r="K1476" t="s">
        <v>783</v>
      </c>
      <c r="L1476" t="s">
        <v>823</v>
      </c>
      <c r="M1476" t="s">
        <v>830</v>
      </c>
      <c r="N1476" t="str">
        <f t="shared" si="69"/>
        <v>T-4</v>
      </c>
      <c r="O1476">
        <f t="shared" si="70"/>
        <v>2025</v>
      </c>
      <c r="P1476" t="str">
        <f t="shared" si="71"/>
        <v>10. octubre</v>
      </c>
    </row>
    <row r="1477" spans="1:16" x14ac:dyDescent="0.35">
      <c r="A1477">
        <v>589148</v>
      </c>
      <c r="B1477" t="s">
        <v>27</v>
      </c>
      <c r="C1477" t="s">
        <v>138</v>
      </c>
      <c r="D1477" t="s">
        <v>286</v>
      </c>
      <c r="E1477" t="s">
        <v>652</v>
      </c>
      <c r="F1477" t="s">
        <v>187</v>
      </c>
      <c r="G1477" s="1">
        <v>45937</v>
      </c>
      <c r="H1477" s="1">
        <v>45937</v>
      </c>
      <c r="I1477" s="2">
        <v>850</v>
      </c>
      <c r="J1477" t="s">
        <v>774</v>
      </c>
      <c r="K1477" t="s">
        <v>789</v>
      </c>
      <c r="L1477" t="s">
        <v>824</v>
      </c>
      <c r="M1477" t="s">
        <v>829</v>
      </c>
      <c r="N1477" t="str">
        <f t="shared" si="69"/>
        <v>T-4</v>
      </c>
      <c r="O1477">
        <f t="shared" si="70"/>
        <v>2025</v>
      </c>
      <c r="P1477" t="str">
        <f t="shared" si="71"/>
        <v>10. octubre</v>
      </c>
    </row>
    <row r="1478" spans="1:16" x14ac:dyDescent="0.35">
      <c r="A1478">
        <v>441981</v>
      </c>
      <c r="B1478" t="s">
        <v>46</v>
      </c>
      <c r="C1478" t="s">
        <v>138</v>
      </c>
      <c r="D1478" t="s">
        <v>338</v>
      </c>
      <c r="E1478" t="s">
        <v>652</v>
      </c>
      <c r="F1478" t="s">
        <v>187</v>
      </c>
      <c r="G1478" s="1">
        <v>45937</v>
      </c>
      <c r="H1478" s="1">
        <v>45940</v>
      </c>
      <c r="I1478" s="2">
        <v>2655</v>
      </c>
      <c r="J1478" t="s">
        <v>774</v>
      </c>
      <c r="K1478" t="s">
        <v>789</v>
      </c>
      <c r="L1478" t="s">
        <v>823</v>
      </c>
      <c r="M1478" t="s">
        <v>830</v>
      </c>
      <c r="N1478" t="str">
        <f t="shared" si="69"/>
        <v>T-4</v>
      </c>
      <c r="O1478">
        <f t="shared" si="70"/>
        <v>2025</v>
      </c>
      <c r="P1478" t="str">
        <f t="shared" si="71"/>
        <v>10. octubre</v>
      </c>
    </row>
    <row r="1479" spans="1:16" x14ac:dyDescent="0.35">
      <c r="A1479">
        <v>721311</v>
      </c>
      <c r="B1479" t="s">
        <v>30</v>
      </c>
      <c r="C1479" t="s">
        <v>138</v>
      </c>
      <c r="D1479" t="s">
        <v>338</v>
      </c>
      <c r="E1479" t="s">
        <v>652</v>
      </c>
      <c r="F1479" t="s">
        <v>187</v>
      </c>
      <c r="G1479" s="1">
        <v>45937</v>
      </c>
      <c r="H1479" s="1">
        <v>45940</v>
      </c>
      <c r="I1479" s="2">
        <v>531</v>
      </c>
      <c r="J1479" t="s">
        <v>774</v>
      </c>
      <c r="K1479" t="s">
        <v>783</v>
      </c>
      <c r="L1479" t="s">
        <v>823</v>
      </c>
      <c r="M1479" t="s">
        <v>830</v>
      </c>
      <c r="N1479" t="str">
        <f t="shared" si="69"/>
        <v>T-4</v>
      </c>
      <c r="O1479">
        <f t="shared" si="70"/>
        <v>2025</v>
      </c>
      <c r="P1479" t="str">
        <f t="shared" si="71"/>
        <v>10. octubre</v>
      </c>
    </row>
    <row r="1480" spans="1:16" x14ac:dyDescent="0.35">
      <c r="A1480">
        <v>708155</v>
      </c>
      <c r="B1480" t="s">
        <v>8</v>
      </c>
      <c r="C1480" t="s">
        <v>138</v>
      </c>
      <c r="D1480" t="s">
        <v>316</v>
      </c>
      <c r="E1480" t="s">
        <v>652</v>
      </c>
      <c r="F1480" t="s">
        <v>187</v>
      </c>
      <c r="G1480" s="1">
        <v>45938</v>
      </c>
      <c r="H1480" s="1">
        <v>45940</v>
      </c>
      <c r="I1480" s="2">
        <v>2340</v>
      </c>
      <c r="J1480" t="s">
        <v>774</v>
      </c>
      <c r="K1480" t="s">
        <v>783</v>
      </c>
      <c r="L1480" t="s">
        <v>823</v>
      </c>
      <c r="M1480" t="s">
        <v>828</v>
      </c>
      <c r="N1480" t="str">
        <f t="shared" si="69"/>
        <v>T-4</v>
      </c>
      <c r="O1480">
        <f t="shared" si="70"/>
        <v>2025</v>
      </c>
      <c r="P1480" t="str">
        <f t="shared" si="71"/>
        <v>10. octubre</v>
      </c>
    </row>
    <row r="1481" spans="1:16" x14ac:dyDescent="0.35">
      <c r="A1481">
        <v>402407</v>
      </c>
      <c r="B1481" t="s">
        <v>69</v>
      </c>
      <c r="C1481" t="s">
        <v>138</v>
      </c>
      <c r="D1481" t="s">
        <v>316</v>
      </c>
      <c r="E1481" t="s">
        <v>652</v>
      </c>
      <c r="F1481" t="s">
        <v>187</v>
      </c>
      <c r="G1481" s="1">
        <v>45938</v>
      </c>
      <c r="H1481" s="1">
        <v>45940</v>
      </c>
      <c r="I1481" s="2">
        <v>234</v>
      </c>
      <c r="J1481" t="s">
        <v>778</v>
      </c>
      <c r="K1481" t="s">
        <v>783</v>
      </c>
      <c r="L1481" t="s">
        <v>823</v>
      </c>
      <c r="M1481" t="s">
        <v>828</v>
      </c>
      <c r="N1481" t="str">
        <f t="shared" si="69"/>
        <v>T-4</v>
      </c>
      <c r="O1481">
        <f t="shared" si="70"/>
        <v>2025</v>
      </c>
      <c r="P1481" t="str">
        <f t="shared" si="71"/>
        <v>10. octubre</v>
      </c>
    </row>
    <row r="1482" spans="1:16" x14ac:dyDescent="0.35">
      <c r="A1482">
        <v>708831</v>
      </c>
      <c r="B1482" t="s">
        <v>28</v>
      </c>
      <c r="C1482" t="s">
        <v>138</v>
      </c>
      <c r="D1482" t="s">
        <v>169</v>
      </c>
      <c r="E1482" t="s">
        <v>658</v>
      </c>
      <c r="F1482" t="s">
        <v>187</v>
      </c>
      <c r="G1482" s="1">
        <v>45936</v>
      </c>
      <c r="H1482" s="1">
        <v>45939</v>
      </c>
      <c r="I1482" s="2">
        <v>312</v>
      </c>
      <c r="J1482" t="s">
        <v>774</v>
      </c>
      <c r="K1482" t="s">
        <v>797</v>
      </c>
      <c r="L1482" t="s">
        <v>823</v>
      </c>
      <c r="M1482" t="s">
        <v>830</v>
      </c>
      <c r="N1482" t="str">
        <f t="shared" si="69"/>
        <v>T-4</v>
      </c>
      <c r="O1482">
        <f t="shared" si="70"/>
        <v>2025</v>
      </c>
      <c r="P1482" t="str">
        <f t="shared" si="71"/>
        <v>10. octubre</v>
      </c>
    </row>
    <row r="1483" spans="1:16" x14ac:dyDescent="0.35">
      <c r="A1483">
        <v>610817</v>
      </c>
      <c r="B1483" t="s">
        <v>13</v>
      </c>
      <c r="C1483" t="s">
        <v>138</v>
      </c>
      <c r="D1483" t="s">
        <v>169</v>
      </c>
      <c r="E1483" t="s">
        <v>658</v>
      </c>
      <c r="F1483" t="s">
        <v>187</v>
      </c>
      <c r="G1483" s="1">
        <v>45936</v>
      </c>
      <c r="H1483" s="1">
        <v>45939</v>
      </c>
      <c r="I1483" s="2">
        <v>2499</v>
      </c>
      <c r="J1483" t="s">
        <v>774</v>
      </c>
      <c r="K1483" t="s">
        <v>783</v>
      </c>
      <c r="L1483" t="s">
        <v>823</v>
      </c>
      <c r="M1483" t="s">
        <v>829</v>
      </c>
      <c r="N1483" t="str">
        <f t="shared" si="69"/>
        <v>T-4</v>
      </c>
      <c r="O1483">
        <f t="shared" si="70"/>
        <v>2025</v>
      </c>
      <c r="P1483" t="str">
        <f t="shared" si="71"/>
        <v>10. octubre</v>
      </c>
    </row>
    <row r="1484" spans="1:16" x14ac:dyDescent="0.35">
      <c r="A1484">
        <v>704693</v>
      </c>
      <c r="B1484" t="s">
        <v>62</v>
      </c>
      <c r="C1484" t="s">
        <v>138</v>
      </c>
      <c r="D1484" t="s">
        <v>567</v>
      </c>
      <c r="E1484" t="s">
        <v>660</v>
      </c>
      <c r="F1484" t="s">
        <v>773</v>
      </c>
      <c r="G1484" s="1">
        <v>46071</v>
      </c>
      <c r="H1484" s="1">
        <v>46071</v>
      </c>
      <c r="I1484" s="2">
        <v>215</v>
      </c>
      <c r="J1484" t="s">
        <v>774</v>
      </c>
      <c r="K1484" t="s">
        <v>783</v>
      </c>
      <c r="L1484" t="s">
        <v>824</v>
      </c>
      <c r="M1484" t="s">
        <v>830</v>
      </c>
      <c r="N1484" t="str">
        <f t="shared" si="69"/>
        <v>T-1</v>
      </c>
      <c r="O1484">
        <f t="shared" si="70"/>
        <v>2026</v>
      </c>
      <c r="P1484" t="str">
        <f t="shared" si="71"/>
        <v>2. febrero</v>
      </c>
    </row>
    <row r="1485" spans="1:16" x14ac:dyDescent="0.35">
      <c r="A1485">
        <v>564865</v>
      </c>
      <c r="B1485" t="s">
        <v>5</v>
      </c>
      <c r="C1485" t="s">
        <v>138</v>
      </c>
      <c r="D1485" t="s">
        <v>145</v>
      </c>
      <c r="E1485" t="s">
        <v>660</v>
      </c>
      <c r="F1485" t="s">
        <v>773</v>
      </c>
      <c r="G1485" s="1">
        <v>45937</v>
      </c>
      <c r="H1485" s="1">
        <v>45937</v>
      </c>
      <c r="I1485" s="2">
        <v>250</v>
      </c>
      <c r="J1485" t="s">
        <v>774</v>
      </c>
      <c r="K1485" t="s">
        <v>783</v>
      </c>
      <c r="L1485" t="s">
        <v>823</v>
      </c>
      <c r="M1485" t="s">
        <v>830</v>
      </c>
      <c r="N1485" t="str">
        <f t="shared" si="69"/>
        <v>T-4</v>
      </c>
      <c r="O1485">
        <f t="shared" si="70"/>
        <v>2025</v>
      </c>
      <c r="P1485" t="str">
        <f t="shared" si="71"/>
        <v>10. octubre</v>
      </c>
    </row>
    <row r="1486" spans="1:16" x14ac:dyDescent="0.35">
      <c r="A1486">
        <v>478327</v>
      </c>
      <c r="B1486" t="s">
        <v>5</v>
      </c>
      <c r="C1486" t="s">
        <v>138</v>
      </c>
      <c r="D1486" t="s">
        <v>568</v>
      </c>
      <c r="E1486" t="s">
        <v>695</v>
      </c>
      <c r="F1486" t="s">
        <v>187</v>
      </c>
      <c r="G1486" s="1">
        <v>45929</v>
      </c>
      <c r="H1486" s="1">
        <v>45933</v>
      </c>
      <c r="I1486" s="2">
        <v>975</v>
      </c>
      <c r="J1486" t="s">
        <v>776</v>
      </c>
      <c r="K1486" t="s">
        <v>783</v>
      </c>
      <c r="L1486" t="s">
        <v>823</v>
      </c>
      <c r="M1486" t="s">
        <v>828</v>
      </c>
      <c r="N1486" t="str">
        <f t="shared" si="69"/>
        <v>T-3</v>
      </c>
      <c r="O1486">
        <f t="shared" si="70"/>
        <v>2025</v>
      </c>
      <c r="P1486" t="str">
        <f t="shared" si="71"/>
        <v>9. septiembre</v>
      </c>
    </row>
    <row r="1487" spans="1:16" x14ac:dyDescent="0.35">
      <c r="A1487">
        <v>705287</v>
      </c>
      <c r="B1487" t="s">
        <v>4</v>
      </c>
      <c r="C1487" t="s">
        <v>138</v>
      </c>
      <c r="D1487" t="s">
        <v>569</v>
      </c>
      <c r="E1487" t="s">
        <v>695</v>
      </c>
      <c r="F1487" t="s">
        <v>187</v>
      </c>
      <c r="G1487" s="1">
        <v>45929</v>
      </c>
      <c r="H1487" s="1">
        <v>45939</v>
      </c>
      <c r="I1487" s="2">
        <v>1872</v>
      </c>
      <c r="J1487" t="s">
        <v>776</v>
      </c>
      <c r="K1487" t="s">
        <v>785</v>
      </c>
      <c r="L1487" t="s">
        <v>823</v>
      </c>
      <c r="M1487" t="s">
        <v>828</v>
      </c>
      <c r="N1487" t="str">
        <f t="shared" si="69"/>
        <v>T-3</v>
      </c>
      <c r="O1487">
        <f t="shared" si="70"/>
        <v>2025</v>
      </c>
      <c r="P1487" t="str">
        <f t="shared" si="71"/>
        <v>9. septiembre</v>
      </c>
    </row>
    <row r="1488" spans="1:16" x14ac:dyDescent="0.35">
      <c r="A1488">
        <v>400966</v>
      </c>
      <c r="B1488" t="s">
        <v>28</v>
      </c>
      <c r="C1488" t="s">
        <v>141</v>
      </c>
      <c r="D1488" t="s">
        <v>570</v>
      </c>
      <c r="E1488" t="s">
        <v>695</v>
      </c>
      <c r="F1488" t="s">
        <v>187</v>
      </c>
      <c r="G1488" s="1">
        <v>45929</v>
      </c>
      <c r="H1488" s="1">
        <v>45939</v>
      </c>
      <c r="I1488" s="2">
        <v>1248</v>
      </c>
      <c r="J1488" t="s">
        <v>776</v>
      </c>
      <c r="K1488" t="s">
        <v>789</v>
      </c>
      <c r="L1488" t="s">
        <v>823</v>
      </c>
      <c r="M1488" t="s">
        <v>829</v>
      </c>
      <c r="N1488" t="str">
        <f t="shared" si="69"/>
        <v>T-3</v>
      </c>
      <c r="O1488">
        <f t="shared" si="70"/>
        <v>2025</v>
      </c>
      <c r="P1488" t="str">
        <f t="shared" si="71"/>
        <v>9. septiembre</v>
      </c>
    </row>
    <row r="1489" spans="1:16" x14ac:dyDescent="0.35">
      <c r="A1489">
        <v>152120</v>
      </c>
      <c r="B1489" t="s">
        <v>23</v>
      </c>
      <c r="C1489" t="s">
        <v>141</v>
      </c>
      <c r="D1489" t="s">
        <v>571</v>
      </c>
      <c r="E1489" t="s">
        <v>695</v>
      </c>
      <c r="F1489" t="s">
        <v>187</v>
      </c>
      <c r="G1489" s="1">
        <v>45929</v>
      </c>
      <c r="H1489" s="1">
        <v>45933</v>
      </c>
      <c r="I1489" s="2">
        <v>3900</v>
      </c>
      <c r="J1489" t="s">
        <v>776</v>
      </c>
      <c r="K1489" t="s">
        <v>786</v>
      </c>
      <c r="L1489" t="s">
        <v>823</v>
      </c>
      <c r="M1489" t="s">
        <v>830</v>
      </c>
      <c r="N1489" t="str">
        <f t="shared" si="69"/>
        <v>T-3</v>
      </c>
      <c r="O1489">
        <f t="shared" si="70"/>
        <v>2025</v>
      </c>
      <c r="P1489" t="str">
        <f t="shared" si="71"/>
        <v>9. septiembre</v>
      </c>
    </row>
    <row r="1490" spans="1:16" x14ac:dyDescent="0.35">
      <c r="A1490">
        <v>708118</v>
      </c>
      <c r="B1490" t="s">
        <v>59</v>
      </c>
      <c r="C1490" t="s">
        <v>139</v>
      </c>
      <c r="D1490" t="s">
        <v>568</v>
      </c>
      <c r="E1490" t="s">
        <v>695</v>
      </c>
      <c r="F1490" t="s">
        <v>187</v>
      </c>
      <c r="G1490" s="1">
        <v>45929</v>
      </c>
      <c r="H1490" s="1">
        <v>45933</v>
      </c>
      <c r="I1490" s="2">
        <v>650</v>
      </c>
      <c r="J1490" t="s">
        <v>776</v>
      </c>
      <c r="K1490" t="s">
        <v>783</v>
      </c>
      <c r="L1490" t="s">
        <v>823</v>
      </c>
      <c r="M1490" t="s">
        <v>830</v>
      </c>
      <c r="N1490" t="str">
        <f t="shared" si="69"/>
        <v>T-3</v>
      </c>
      <c r="O1490">
        <f t="shared" si="70"/>
        <v>2025</v>
      </c>
      <c r="P1490" t="str">
        <f t="shared" si="71"/>
        <v>9. septiembre</v>
      </c>
    </row>
    <row r="1491" spans="1:16" x14ac:dyDescent="0.35">
      <c r="A1491">
        <v>608853</v>
      </c>
      <c r="B1491" t="s">
        <v>13</v>
      </c>
      <c r="C1491" t="s">
        <v>138</v>
      </c>
      <c r="D1491" t="s">
        <v>568</v>
      </c>
      <c r="E1491" t="s">
        <v>695</v>
      </c>
      <c r="F1491" t="s">
        <v>187</v>
      </c>
      <c r="G1491" s="1">
        <v>45929</v>
      </c>
      <c r="H1491" s="1">
        <v>45933</v>
      </c>
      <c r="I1491" s="2">
        <v>325</v>
      </c>
      <c r="J1491" t="s">
        <v>776</v>
      </c>
      <c r="K1491" t="s">
        <v>783</v>
      </c>
      <c r="L1491" t="s">
        <v>823</v>
      </c>
      <c r="M1491" t="s">
        <v>828</v>
      </c>
      <c r="N1491" t="str">
        <f t="shared" si="69"/>
        <v>T-3</v>
      </c>
      <c r="O1491">
        <f t="shared" si="70"/>
        <v>2025</v>
      </c>
      <c r="P1491" t="str">
        <f t="shared" si="71"/>
        <v>9. septiembre</v>
      </c>
    </row>
    <row r="1492" spans="1:16" x14ac:dyDescent="0.35">
      <c r="A1492">
        <v>470527</v>
      </c>
      <c r="B1492" t="s">
        <v>31</v>
      </c>
      <c r="C1492" t="s">
        <v>138</v>
      </c>
      <c r="D1492" t="s">
        <v>569</v>
      </c>
      <c r="E1492" t="s">
        <v>695</v>
      </c>
      <c r="F1492" t="s">
        <v>187</v>
      </c>
      <c r="G1492" s="1">
        <v>45929</v>
      </c>
      <c r="H1492" s="1">
        <v>45939</v>
      </c>
      <c r="I1492" s="2">
        <v>624</v>
      </c>
      <c r="J1492" t="s">
        <v>776</v>
      </c>
      <c r="K1492" t="s">
        <v>797</v>
      </c>
      <c r="L1492" t="s">
        <v>824</v>
      </c>
      <c r="M1492" t="s">
        <v>830</v>
      </c>
      <c r="N1492" t="str">
        <f t="shared" si="69"/>
        <v>T-3</v>
      </c>
      <c r="O1492">
        <f t="shared" si="70"/>
        <v>2025</v>
      </c>
      <c r="P1492" t="str">
        <f t="shared" si="71"/>
        <v>9. septiembre</v>
      </c>
    </row>
    <row r="1493" spans="1:16" x14ac:dyDescent="0.35">
      <c r="A1493">
        <v>70185</v>
      </c>
      <c r="B1493" t="s">
        <v>5</v>
      </c>
      <c r="C1493" t="s">
        <v>140</v>
      </c>
      <c r="D1493" t="s">
        <v>571</v>
      </c>
      <c r="E1493" t="s">
        <v>695</v>
      </c>
      <c r="F1493" t="s">
        <v>187</v>
      </c>
      <c r="G1493" s="1">
        <v>45929</v>
      </c>
      <c r="H1493" s="1">
        <v>45933</v>
      </c>
      <c r="I1493" s="2">
        <v>1560</v>
      </c>
      <c r="J1493" t="s">
        <v>776</v>
      </c>
      <c r="K1493" t="s">
        <v>797</v>
      </c>
      <c r="L1493" t="s">
        <v>823</v>
      </c>
      <c r="M1493" t="s">
        <v>829</v>
      </c>
      <c r="N1493" t="str">
        <f t="shared" si="69"/>
        <v>T-3</v>
      </c>
      <c r="O1493">
        <f t="shared" si="70"/>
        <v>2025</v>
      </c>
      <c r="P1493" t="str">
        <f t="shared" si="71"/>
        <v>9. septiembre</v>
      </c>
    </row>
    <row r="1494" spans="1:16" x14ac:dyDescent="0.35">
      <c r="A1494">
        <v>456133</v>
      </c>
      <c r="B1494" t="s">
        <v>24</v>
      </c>
      <c r="C1494" t="s">
        <v>139</v>
      </c>
      <c r="D1494" t="s">
        <v>572</v>
      </c>
      <c r="E1494" t="s">
        <v>756</v>
      </c>
      <c r="F1494" t="s">
        <v>773</v>
      </c>
      <c r="G1494" s="1">
        <v>45944</v>
      </c>
      <c r="H1494" s="1">
        <v>45944</v>
      </c>
      <c r="I1494" s="2">
        <v>6975</v>
      </c>
      <c r="J1494" t="s">
        <v>776</v>
      </c>
      <c r="K1494" t="s">
        <v>786</v>
      </c>
      <c r="L1494" t="s">
        <v>823</v>
      </c>
      <c r="M1494" t="s">
        <v>830</v>
      </c>
      <c r="N1494" t="str">
        <f t="shared" si="69"/>
        <v>T-4</v>
      </c>
      <c r="O1494">
        <f t="shared" si="70"/>
        <v>2025</v>
      </c>
      <c r="P1494" t="str">
        <f t="shared" si="71"/>
        <v>10. octubre</v>
      </c>
    </row>
    <row r="1495" spans="1:16" x14ac:dyDescent="0.35">
      <c r="A1495">
        <v>723231</v>
      </c>
      <c r="B1495" t="s">
        <v>22</v>
      </c>
      <c r="C1495" t="s">
        <v>138</v>
      </c>
      <c r="D1495" t="s">
        <v>152</v>
      </c>
      <c r="E1495" t="s">
        <v>660</v>
      </c>
      <c r="F1495" t="s">
        <v>773</v>
      </c>
      <c r="G1495" s="1">
        <v>46048</v>
      </c>
      <c r="H1495" s="1">
        <v>46048</v>
      </c>
      <c r="I1495" s="2">
        <v>215</v>
      </c>
      <c r="J1495" t="s">
        <v>774</v>
      </c>
      <c r="K1495" t="s">
        <v>786</v>
      </c>
      <c r="L1495" t="s">
        <v>823</v>
      </c>
      <c r="M1495" t="s">
        <v>830</v>
      </c>
      <c r="N1495" t="str">
        <f t="shared" si="69"/>
        <v>T-1</v>
      </c>
      <c r="O1495">
        <f t="shared" si="70"/>
        <v>2026</v>
      </c>
      <c r="P1495" t="str">
        <f t="shared" si="71"/>
        <v>1. enero</v>
      </c>
    </row>
    <row r="1496" spans="1:16" x14ac:dyDescent="0.35">
      <c r="A1496">
        <v>416211</v>
      </c>
      <c r="B1496" t="s">
        <v>23</v>
      </c>
      <c r="C1496" t="s">
        <v>141</v>
      </c>
      <c r="D1496" t="s">
        <v>171</v>
      </c>
      <c r="E1496" t="s">
        <v>669</v>
      </c>
      <c r="F1496" t="s">
        <v>187</v>
      </c>
      <c r="G1496" s="1">
        <v>45943</v>
      </c>
      <c r="H1496" s="1">
        <v>45944</v>
      </c>
      <c r="I1496" s="2">
        <v>217.86</v>
      </c>
      <c r="J1496" t="s">
        <v>776</v>
      </c>
      <c r="K1496" t="s">
        <v>786</v>
      </c>
      <c r="L1496" t="s">
        <v>823</v>
      </c>
      <c r="M1496" t="s">
        <v>828</v>
      </c>
      <c r="N1496" t="str">
        <f t="shared" si="69"/>
        <v>T-4</v>
      </c>
      <c r="O1496">
        <f t="shared" si="70"/>
        <v>2025</v>
      </c>
      <c r="P1496" t="str">
        <f t="shared" si="71"/>
        <v>10. octubre</v>
      </c>
    </row>
    <row r="1497" spans="1:16" x14ac:dyDescent="0.35">
      <c r="A1497">
        <v>406547</v>
      </c>
      <c r="B1497" t="s">
        <v>5</v>
      </c>
      <c r="C1497" t="s">
        <v>138</v>
      </c>
      <c r="D1497" t="s">
        <v>171</v>
      </c>
      <c r="E1497" t="s">
        <v>669</v>
      </c>
      <c r="F1497" t="s">
        <v>187</v>
      </c>
      <c r="G1497" s="1">
        <v>45943</v>
      </c>
      <c r="H1497" s="1">
        <v>45944</v>
      </c>
      <c r="I1497" s="2">
        <v>1016.67</v>
      </c>
      <c r="J1497" t="s">
        <v>776</v>
      </c>
      <c r="K1497" t="s">
        <v>786</v>
      </c>
      <c r="L1497" t="s">
        <v>823</v>
      </c>
      <c r="M1497" t="s">
        <v>828</v>
      </c>
      <c r="N1497" t="str">
        <f t="shared" si="69"/>
        <v>T-4</v>
      </c>
      <c r="O1497">
        <f t="shared" si="70"/>
        <v>2025</v>
      </c>
      <c r="P1497" t="str">
        <f t="shared" si="71"/>
        <v>10. octubre</v>
      </c>
    </row>
    <row r="1498" spans="1:16" x14ac:dyDescent="0.35">
      <c r="A1498">
        <v>719047</v>
      </c>
      <c r="B1498" t="s">
        <v>34</v>
      </c>
      <c r="C1498" t="s">
        <v>138</v>
      </c>
      <c r="D1498" t="s">
        <v>419</v>
      </c>
      <c r="E1498" t="s">
        <v>694</v>
      </c>
      <c r="F1498" t="s">
        <v>187</v>
      </c>
      <c r="G1498" s="1">
        <v>45845</v>
      </c>
      <c r="H1498" s="1">
        <v>45930</v>
      </c>
      <c r="I1498" s="2">
        <v>525</v>
      </c>
      <c r="J1498" t="s">
        <v>778</v>
      </c>
      <c r="K1498" t="s">
        <v>783</v>
      </c>
      <c r="L1498" t="s">
        <v>824</v>
      </c>
      <c r="M1498" t="s">
        <v>830</v>
      </c>
      <c r="N1498" t="str">
        <f t="shared" si="69"/>
        <v>T-3</v>
      </c>
      <c r="O1498">
        <f t="shared" si="70"/>
        <v>2025</v>
      </c>
      <c r="P1498" t="str">
        <f t="shared" si="71"/>
        <v>7. julio</v>
      </c>
    </row>
    <row r="1499" spans="1:16" x14ac:dyDescent="0.35">
      <c r="A1499">
        <v>709977</v>
      </c>
      <c r="B1499" t="s">
        <v>8</v>
      </c>
      <c r="C1499" t="s">
        <v>138</v>
      </c>
      <c r="D1499" t="s">
        <v>419</v>
      </c>
      <c r="E1499" t="s">
        <v>694</v>
      </c>
      <c r="F1499" t="s">
        <v>187</v>
      </c>
      <c r="G1499" s="1">
        <v>45845</v>
      </c>
      <c r="H1499" s="1">
        <v>45930</v>
      </c>
      <c r="I1499" s="2">
        <v>262.5</v>
      </c>
      <c r="J1499" t="s">
        <v>778</v>
      </c>
      <c r="K1499" t="s">
        <v>800</v>
      </c>
      <c r="L1499" t="s">
        <v>823</v>
      </c>
      <c r="M1499" t="s">
        <v>829</v>
      </c>
      <c r="N1499" t="str">
        <f t="shared" si="69"/>
        <v>T-3</v>
      </c>
      <c r="O1499">
        <f t="shared" si="70"/>
        <v>2025</v>
      </c>
      <c r="P1499" t="str">
        <f t="shared" si="71"/>
        <v>7. julio</v>
      </c>
    </row>
    <row r="1500" spans="1:16" x14ac:dyDescent="0.35">
      <c r="A1500">
        <v>414832</v>
      </c>
      <c r="B1500" t="s">
        <v>45</v>
      </c>
      <c r="C1500" t="s">
        <v>139</v>
      </c>
      <c r="D1500" t="s">
        <v>573</v>
      </c>
      <c r="E1500" t="s">
        <v>667</v>
      </c>
      <c r="F1500" t="s">
        <v>187</v>
      </c>
      <c r="G1500" s="1">
        <v>45926</v>
      </c>
      <c r="H1500" s="1">
        <v>45926</v>
      </c>
      <c r="I1500" s="2">
        <v>258</v>
      </c>
      <c r="J1500" t="s">
        <v>777</v>
      </c>
      <c r="K1500" t="s">
        <v>783</v>
      </c>
      <c r="L1500" t="s">
        <v>823</v>
      </c>
      <c r="M1500" t="s">
        <v>830</v>
      </c>
      <c r="N1500" t="str">
        <f t="shared" si="69"/>
        <v>T-3</v>
      </c>
      <c r="O1500">
        <f t="shared" si="70"/>
        <v>2025</v>
      </c>
      <c r="P1500" t="str">
        <f t="shared" si="71"/>
        <v>9. septiembre</v>
      </c>
    </row>
    <row r="1501" spans="1:16" x14ac:dyDescent="0.35">
      <c r="A1501">
        <v>706446</v>
      </c>
      <c r="B1501" t="s">
        <v>71</v>
      </c>
      <c r="C1501" t="s">
        <v>138</v>
      </c>
      <c r="D1501" t="s">
        <v>232</v>
      </c>
      <c r="E1501" t="s">
        <v>675</v>
      </c>
      <c r="F1501" t="s">
        <v>187</v>
      </c>
      <c r="G1501" s="1">
        <v>45929</v>
      </c>
      <c r="H1501" s="1">
        <v>45931</v>
      </c>
      <c r="I1501" s="2">
        <v>1009.41</v>
      </c>
      <c r="J1501" t="s">
        <v>779</v>
      </c>
      <c r="K1501" t="s">
        <v>786</v>
      </c>
      <c r="L1501" t="s">
        <v>823</v>
      </c>
      <c r="M1501" t="s">
        <v>830</v>
      </c>
      <c r="N1501" t="str">
        <f t="shared" si="69"/>
        <v>T-3</v>
      </c>
      <c r="O1501">
        <f t="shared" si="70"/>
        <v>2025</v>
      </c>
      <c r="P1501" t="str">
        <f t="shared" si="71"/>
        <v>9. septiembre</v>
      </c>
    </row>
    <row r="1502" spans="1:16" x14ac:dyDescent="0.35">
      <c r="A1502">
        <v>720007</v>
      </c>
      <c r="B1502" t="s">
        <v>23</v>
      </c>
      <c r="C1502" t="s">
        <v>138</v>
      </c>
      <c r="D1502" t="s">
        <v>574</v>
      </c>
      <c r="E1502" t="s">
        <v>647</v>
      </c>
      <c r="F1502" t="s">
        <v>187</v>
      </c>
      <c r="G1502" s="1">
        <v>45931</v>
      </c>
      <c r="H1502" s="1">
        <v>45936</v>
      </c>
      <c r="I1502" s="2">
        <v>368</v>
      </c>
      <c r="J1502" t="s">
        <v>776</v>
      </c>
      <c r="K1502" t="s">
        <v>783</v>
      </c>
      <c r="L1502" t="s">
        <v>823</v>
      </c>
      <c r="M1502" t="s">
        <v>828</v>
      </c>
      <c r="N1502" t="str">
        <f t="shared" si="69"/>
        <v>T-4</v>
      </c>
      <c r="O1502">
        <f t="shared" si="70"/>
        <v>2025</v>
      </c>
      <c r="P1502" t="str">
        <f t="shared" si="71"/>
        <v>10. octubre</v>
      </c>
    </row>
    <row r="1503" spans="1:16" x14ac:dyDescent="0.35">
      <c r="A1503">
        <v>717794</v>
      </c>
      <c r="B1503" t="s">
        <v>30</v>
      </c>
      <c r="C1503" t="s">
        <v>138</v>
      </c>
      <c r="D1503" t="s">
        <v>575</v>
      </c>
      <c r="E1503" t="s">
        <v>647</v>
      </c>
      <c r="F1503" t="s">
        <v>187</v>
      </c>
      <c r="G1503" s="1">
        <v>45930</v>
      </c>
      <c r="H1503" s="1">
        <v>45933</v>
      </c>
      <c r="I1503" s="2">
        <v>1892.57</v>
      </c>
      <c r="J1503" t="s">
        <v>776</v>
      </c>
      <c r="K1503" t="s">
        <v>783</v>
      </c>
      <c r="L1503" t="s">
        <v>823</v>
      </c>
      <c r="M1503" t="s">
        <v>828</v>
      </c>
      <c r="N1503" t="str">
        <f t="shared" si="69"/>
        <v>T-3</v>
      </c>
      <c r="O1503">
        <f t="shared" si="70"/>
        <v>2025</v>
      </c>
      <c r="P1503" t="str">
        <f t="shared" si="71"/>
        <v>9. septiembre</v>
      </c>
    </row>
    <row r="1504" spans="1:16" x14ac:dyDescent="0.35">
      <c r="A1504">
        <v>422749</v>
      </c>
      <c r="B1504" t="s">
        <v>66</v>
      </c>
      <c r="C1504" t="s">
        <v>139</v>
      </c>
      <c r="D1504" t="s">
        <v>337</v>
      </c>
      <c r="E1504" t="s">
        <v>647</v>
      </c>
      <c r="F1504" t="s">
        <v>187</v>
      </c>
      <c r="G1504" s="1">
        <v>45930</v>
      </c>
      <c r="H1504" s="1">
        <v>45932</v>
      </c>
      <c r="I1504" s="2">
        <v>1200</v>
      </c>
      <c r="J1504" t="s">
        <v>776</v>
      </c>
      <c r="K1504" t="s">
        <v>783</v>
      </c>
      <c r="L1504" t="s">
        <v>823</v>
      </c>
      <c r="M1504" t="s">
        <v>829</v>
      </c>
      <c r="N1504" t="str">
        <f t="shared" si="69"/>
        <v>T-3</v>
      </c>
      <c r="O1504">
        <f t="shared" si="70"/>
        <v>2025</v>
      </c>
      <c r="P1504" t="str">
        <f t="shared" si="71"/>
        <v>9. septiembre</v>
      </c>
    </row>
    <row r="1505" spans="1:16" x14ac:dyDescent="0.35">
      <c r="A1505">
        <v>63819</v>
      </c>
      <c r="B1505" t="s">
        <v>5</v>
      </c>
      <c r="C1505" t="s">
        <v>138</v>
      </c>
      <c r="D1505" t="s">
        <v>275</v>
      </c>
      <c r="E1505" t="s">
        <v>647</v>
      </c>
      <c r="F1505" t="s">
        <v>187</v>
      </c>
      <c r="G1505" s="1">
        <v>45924</v>
      </c>
      <c r="H1505" s="1">
        <v>45933</v>
      </c>
      <c r="I1505" s="2">
        <v>1840</v>
      </c>
      <c r="J1505" t="s">
        <v>776</v>
      </c>
      <c r="K1505" t="s">
        <v>783</v>
      </c>
      <c r="L1505" t="s">
        <v>824</v>
      </c>
      <c r="M1505" t="s">
        <v>830</v>
      </c>
      <c r="N1505" t="str">
        <f t="shared" si="69"/>
        <v>T-3</v>
      </c>
      <c r="O1505">
        <f t="shared" si="70"/>
        <v>2025</v>
      </c>
      <c r="P1505" t="str">
        <f t="shared" si="71"/>
        <v>9. septiembre</v>
      </c>
    </row>
    <row r="1506" spans="1:16" x14ac:dyDescent="0.35">
      <c r="A1506">
        <v>705978</v>
      </c>
      <c r="B1506" t="s">
        <v>11</v>
      </c>
      <c r="C1506" t="s">
        <v>136</v>
      </c>
      <c r="D1506" t="s">
        <v>574</v>
      </c>
      <c r="E1506" t="s">
        <v>647</v>
      </c>
      <c r="F1506" t="s">
        <v>187</v>
      </c>
      <c r="G1506" s="1">
        <v>45931</v>
      </c>
      <c r="H1506" s="1">
        <v>45936</v>
      </c>
      <c r="I1506" s="2">
        <v>2024</v>
      </c>
      <c r="J1506" t="s">
        <v>776</v>
      </c>
      <c r="K1506" t="s">
        <v>783</v>
      </c>
      <c r="L1506" t="s">
        <v>823</v>
      </c>
      <c r="M1506" t="s">
        <v>830</v>
      </c>
      <c r="N1506" t="str">
        <f t="shared" si="69"/>
        <v>T-4</v>
      </c>
      <c r="O1506">
        <f t="shared" si="70"/>
        <v>2025</v>
      </c>
      <c r="P1506" t="str">
        <f t="shared" si="71"/>
        <v>10. octubre</v>
      </c>
    </row>
    <row r="1507" spans="1:16" x14ac:dyDescent="0.35">
      <c r="A1507">
        <v>403349</v>
      </c>
      <c r="B1507" t="s">
        <v>56</v>
      </c>
      <c r="C1507" t="s">
        <v>141</v>
      </c>
      <c r="D1507" t="s">
        <v>575</v>
      </c>
      <c r="E1507" t="s">
        <v>647</v>
      </c>
      <c r="F1507" t="s">
        <v>187</v>
      </c>
      <c r="G1507" s="1">
        <v>45930</v>
      </c>
      <c r="H1507" s="1">
        <v>45933</v>
      </c>
      <c r="I1507" s="2">
        <v>1162.1099999999999</v>
      </c>
      <c r="J1507" t="s">
        <v>776</v>
      </c>
      <c r="K1507" t="s">
        <v>791</v>
      </c>
      <c r="L1507" t="s">
        <v>823</v>
      </c>
      <c r="M1507" t="s">
        <v>828</v>
      </c>
      <c r="N1507" t="str">
        <f t="shared" si="69"/>
        <v>T-3</v>
      </c>
      <c r="O1507">
        <f t="shared" si="70"/>
        <v>2025</v>
      </c>
      <c r="P1507" t="str">
        <f t="shared" si="71"/>
        <v>9. septiembre</v>
      </c>
    </row>
    <row r="1508" spans="1:16" x14ac:dyDescent="0.35">
      <c r="A1508">
        <v>712436</v>
      </c>
      <c r="B1508" t="s">
        <v>27</v>
      </c>
      <c r="C1508" t="s">
        <v>138</v>
      </c>
      <c r="D1508" t="s">
        <v>337</v>
      </c>
      <c r="E1508" t="s">
        <v>647</v>
      </c>
      <c r="F1508" t="s">
        <v>187</v>
      </c>
      <c r="G1508" s="1">
        <v>45930</v>
      </c>
      <c r="H1508" s="1">
        <v>45932</v>
      </c>
      <c r="I1508" s="2">
        <v>1440</v>
      </c>
      <c r="J1508" t="s">
        <v>776</v>
      </c>
      <c r="K1508" t="s">
        <v>791</v>
      </c>
      <c r="L1508" t="s">
        <v>823</v>
      </c>
      <c r="M1508" t="s">
        <v>830</v>
      </c>
      <c r="N1508" t="str">
        <f t="shared" si="69"/>
        <v>T-3</v>
      </c>
      <c r="O1508">
        <f t="shared" si="70"/>
        <v>2025</v>
      </c>
      <c r="P1508" t="str">
        <f t="shared" si="71"/>
        <v>9. septiembre</v>
      </c>
    </row>
    <row r="1509" spans="1:16" x14ac:dyDescent="0.35">
      <c r="A1509">
        <v>710050</v>
      </c>
      <c r="B1509" t="s">
        <v>27</v>
      </c>
      <c r="C1509" t="s">
        <v>138</v>
      </c>
      <c r="D1509" t="s">
        <v>155</v>
      </c>
      <c r="E1509" t="s">
        <v>647</v>
      </c>
      <c r="F1509" t="s">
        <v>187</v>
      </c>
      <c r="G1509" s="1">
        <v>45931</v>
      </c>
      <c r="H1509" s="1">
        <v>45933</v>
      </c>
      <c r="I1509" s="2">
        <v>2258.1799999999998</v>
      </c>
      <c r="J1509" t="s">
        <v>776</v>
      </c>
      <c r="K1509" t="s">
        <v>791</v>
      </c>
      <c r="L1509" t="s">
        <v>823</v>
      </c>
      <c r="M1509" t="s">
        <v>829</v>
      </c>
      <c r="N1509" t="str">
        <f t="shared" si="69"/>
        <v>T-4</v>
      </c>
      <c r="O1509">
        <f t="shared" si="70"/>
        <v>2025</v>
      </c>
      <c r="P1509" t="str">
        <f t="shared" si="71"/>
        <v>10. octubre</v>
      </c>
    </row>
    <row r="1510" spans="1:16" x14ac:dyDescent="0.35">
      <c r="A1510">
        <v>713547</v>
      </c>
      <c r="B1510" t="s">
        <v>33</v>
      </c>
      <c r="C1510" t="s">
        <v>138</v>
      </c>
      <c r="D1510" t="s">
        <v>293</v>
      </c>
      <c r="E1510" t="s">
        <v>675</v>
      </c>
      <c r="F1510" t="s">
        <v>187</v>
      </c>
      <c r="G1510" s="1">
        <v>45930</v>
      </c>
      <c r="H1510" s="1">
        <v>45933</v>
      </c>
      <c r="I1510" s="2">
        <v>2005.71</v>
      </c>
      <c r="J1510" t="s">
        <v>779</v>
      </c>
      <c r="K1510" t="s">
        <v>789</v>
      </c>
      <c r="L1510" t="s">
        <v>823</v>
      </c>
      <c r="M1510" t="s">
        <v>830</v>
      </c>
      <c r="N1510" t="str">
        <f t="shared" si="69"/>
        <v>T-3</v>
      </c>
      <c r="O1510">
        <f t="shared" si="70"/>
        <v>2025</v>
      </c>
      <c r="P1510" t="str">
        <f t="shared" si="71"/>
        <v>9. septiembre</v>
      </c>
    </row>
    <row r="1511" spans="1:16" x14ac:dyDescent="0.35">
      <c r="A1511">
        <v>485596</v>
      </c>
      <c r="B1511" t="s">
        <v>25</v>
      </c>
      <c r="C1511" t="s">
        <v>138</v>
      </c>
      <c r="D1511" t="s">
        <v>232</v>
      </c>
      <c r="E1511" t="s">
        <v>675</v>
      </c>
      <c r="F1511" t="s">
        <v>187</v>
      </c>
      <c r="G1511" s="1">
        <v>45925</v>
      </c>
      <c r="H1511" s="1">
        <v>45932</v>
      </c>
      <c r="I1511" s="2">
        <v>480</v>
      </c>
      <c r="J1511" t="s">
        <v>779</v>
      </c>
      <c r="K1511" t="s">
        <v>788</v>
      </c>
      <c r="L1511" t="s">
        <v>823</v>
      </c>
      <c r="M1511" t="s">
        <v>830</v>
      </c>
      <c r="N1511" t="str">
        <f t="shared" si="69"/>
        <v>T-3</v>
      </c>
      <c r="O1511">
        <f t="shared" si="70"/>
        <v>2025</v>
      </c>
      <c r="P1511" t="str">
        <f t="shared" si="71"/>
        <v>9. septiembre</v>
      </c>
    </row>
    <row r="1512" spans="1:16" x14ac:dyDescent="0.35">
      <c r="A1512">
        <v>723750</v>
      </c>
      <c r="B1512" t="s">
        <v>24</v>
      </c>
      <c r="C1512" t="s">
        <v>138</v>
      </c>
      <c r="D1512" t="s">
        <v>446</v>
      </c>
      <c r="E1512" t="s">
        <v>740</v>
      </c>
      <c r="F1512" t="s">
        <v>187</v>
      </c>
      <c r="G1512" s="1">
        <v>45929</v>
      </c>
      <c r="H1512" s="1">
        <v>45932</v>
      </c>
      <c r="I1512" s="2">
        <v>416</v>
      </c>
      <c r="J1512" t="s">
        <v>779</v>
      </c>
      <c r="K1512" t="s">
        <v>800</v>
      </c>
      <c r="L1512" t="s">
        <v>823</v>
      </c>
      <c r="M1512" t="s">
        <v>828</v>
      </c>
      <c r="N1512" t="str">
        <f t="shared" si="69"/>
        <v>T-3</v>
      </c>
      <c r="O1512">
        <f t="shared" si="70"/>
        <v>2025</v>
      </c>
      <c r="P1512" t="str">
        <f t="shared" si="71"/>
        <v>9. septiembre</v>
      </c>
    </row>
    <row r="1513" spans="1:16" x14ac:dyDescent="0.35">
      <c r="A1513">
        <v>701802</v>
      </c>
      <c r="B1513" t="s">
        <v>112</v>
      </c>
      <c r="C1513" t="s">
        <v>138</v>
      </c>
      <c r="D1513" t="s">
        <v>446</v>
      </c>
      <c r="E1513" t="s">
        <v>740</v>
      </c>
      <c r="F1513" t="s">
        <v>187</v>
      </c>
      <c r="G1513" s="1">
        <v>45929</v>
      </c>
      <c r="H1513" s="1">
        <v>45932</v>
      </c>
      <c r="I1513" s="2">
        <v>1664</v>
      </c>
      <c r="J1513" t="s">
        <v>779</v>
      </c>
      <c r="K1513" t="s">
        <v>783</v>
      </c>
      <c r="L1513" t="s">
        <v>824</v>
      </c>
      <c r="M1513" t="s">
        <v>828</v>
      </c>
      <c r="N1513" t="str">
        <f t="shared" si="69"/>
        <v>T-3</v>
      </c>
      <c r="O1513">
        <f t="shared" si="70"/>
        <v>2025</v>
      </c>
      <c r="P1513" t="str">
        <f t="shared" si="71"/>
        <v>9. septiembre</v>
      </c>
    </row>
    <row r="1514" spans="1:16" x14ac:dyDescent="0.35">
      <c r="A1514">
        <v>452334</v>
      </c>
      <c r="B1514" t="s">
        <v>30</v>
      </c>
      <c r="C1514" t="s">
        <v>138</v>
      </c>
      <c r="D1514" t="s">
        <v>446</v>
      </c>
      <c r="E1514" t="s">
        <v>740</v>
      </c>
      <c r="F1514" t="s">
        <v>187</v>
      </c>
      <c r="G1514" s="1">
        <v>45929</v>
      </c>
      <c r="H1514" s="1">
        <v>45932</v>
      </c>
      <c r="I1514" s="2">
        <v>2704</v>
      </c>
      <c r="J1514" t="s">
        <v>779</v>
      </c>
      <c r="K1514" t="s">
        <v>783</v>
      </c>
      <c r="L1514" t="s">
        <v>823</v>
      </c>
      <c r="M1514" t="s">
        <v>830</v>
      </c>
      <c r="N1514" t="str">
        <f t="shared" si="69"/>
        <v>T-3</v>
      </c>
      <c r="O1514">
        <f t="shared" si="70"/>
        <v>2025</v>
      </c>
      <c r="P1514" t="str">
        <f t="shared" si="71"/>
        <v>9. septiembre</v>
      </c>
    </row>
    <row r="1515" spans="1:16" x14ac:dyDescent="0.35">
      <c r="A1515">
        <v>565247</v>
      </c>
      <c r="B1515" t="s">
        <v>5</v>
      </c>
      <c r="C1515" t="s">
        <v>138</v>
      </c>
      <c r="D1515" t="s">
        <v>447</v>
      </c>
      <c r="E1515" t="s">
        <v>740</v>
      </c>
      <c r="F1515" t="s">
        <v>187</v>
      </c>
      <c r="G1515" s="1">
        <v>45929</v>
      </c>
      <c r="H1515" s="1">
        <v>45932</v>
      </c>
      <c r="I1515" s="2">
        <v>416</v>
      </c>
      <c r="J1515" t="s">
        <v>779</v>
      </c>
      <c r="K1515" t="s">
        <v>785</v>
      </c>
      <c r="L1515" t="s">
        <v>823</v>
      </c>
      <c r="M1515" t="s">
        <v>829</v>
      </c>
      <c r="N1515" t="str">
        <f t="shared" si="69"/>
        <v>T-3</v>
      </c>
      <c r="O1515">
        <f t="shared" si="70"/>
        <v>2025</v>
      </c>
      <c r="P1515" t="str">
        <f t="shared" si="71"/>
        <v>9. septiembre</v>
      </c>
    </row>
    <row r="1516" spans="1:16" x14ac:dyDescent="0.35">
      <c r="A1516">
        <v>504060</v>
      </c>
      <c r="B1516" t="s">
        <v>5</v>
      </c>
      <c r="C1516" t="s">
        <v>138</v>
      </c>
      <c r="D1516" t="s">
        <v>447</v>
      </c>
      <c r="E1516" t="s">
        <v>740</v>
      </c>
      <c r="F1516" t="s">
        <v>187</v>
      </c>
      <c r="G1516" s="1">
        <v>45929</v>
      </c>
      <c r="H1516" s="1">
        <v>45932</v>
      </c>
      <c r="I1516" s="2">
        <v>208</v>
      </c>
      <c r="J1516" t="s">
        <v>779</v>
      </c>
      <c r="K1516" t="s">
        <v>800</v>
      </c>
      <c r="L1516" t="s">
        <v>823</v>
      </c>
      <c r="M1516" t="s">
        <v>830</v>
      </c>
      <c r="N1516" t="str">
        <f t="shared" si="69"/>
        <v>T-3</v>
      </c>
      <c r="O1516">
        <f t="shared" si="70"/>
        <v>2025</v>
      </c>
      <c r="P1516" t="str">
        <f t="shared" si="71"/>
        <v>9. septiembre</v>
      </c>
    </row>
    <row r="1517" spans="1:16" x14ac:dyDescent="0.35">
      <c r="A1517">
        <v>719960</v>
      </c>
      <c r="B1517" t="s">
        <v>2</v>
      </c>
      <c r="C1517" t="s">
        <v>137</v>
      </c>
      <c r="D1517" t="s">
        <v>447</v>
      </c>
      <c r="E1517" t="s">
        <v>740</v>
      </c>
      <c r="F1517" t="s">
        <v>187</v>
      </c>
      <c r="G1517" s="1">
        <v>45929</v>
      </c>
      <c r="H1517" s="1">
        <v>45932</v>
      </c>
      <c r="I1517" s="2">
        <v>1040</v>
      </c>
      <c r="J1517" t="s">
        <v>779</v>
      </c>
      <c r="K1517" t="s">
        <v>800</v>
      </c>
      <c r="L1517" t="s">
        <v>823</v>
      </c>
      <c r="M1517" t="s">
        <v>830</v>
      </c>
      <c r="N1517" t="str">
        <f t="shared" si="69"/>
        <v>T-3</v>
      </c>
      <c r="O1517">
        <f t="shared" si="70"/>
        <v>2025</v>
      </c>
      <c r="P1517" t="str">
        <f t="shared" si="71"/>
        <v>9. septiembre</v>
      </c>
    </row>
    <row r="1518" spans="1:16" x14ac:dyDescent="0.35">
      <c r="A1518">
        <v>721515</v>
      </c>
      <c r="B1518" t="s">
        <v>59</v>
      </c>
      <c r="C1518" t="s">
        <v>138</v>
      </c>
      <c r="D1518" t="s">
        <v>447</v>
      </c>
      <c r="E1518" t="s">
        <v>740</v>
      </c>
      <c r="F1518" t="s">
        <v>187</v>
      </c>
      <c r="G1518" s="1">
        <v>45929</v>
      </c>
      <c r="H1518" s="1">
        <v>45932</v>
      </c>
      <c r="I1518" s="2">
        <v>2288</v>
      </c>
      <c r="J1518" t="s">
        <v>779</v>
      </c>
      <c r="K1518" t="s">
        <v>783</v>
      </c>
      <c r="L1518" t="s">
        <v>823</v>
      </c>
      <c r="M1518" t="s">
        <v>828</v>
      </c>
      <c r="N1518" t="str">
        <f t="shared" si="69"/>
        <v>T-3</v>
      </c>
      <c r="O1518">
        <f t="shared" si="70"/>
        <v>2025</v>
      </c>
      <c r="P1518" t="str">
        <f t="shared" si="71"/>
        <v>9. septiembre</v>
      </c>
    </row>
    <row r="1519" spans="1:16" x14ac:dyDescent="0.35">
      <c r="A1519">
        <v>433073</v>
      </c>
      <c r="B1519" t="s">
        <v>32</v>
      </c>
      <c r="C1519" t="s">
        <v>139</v>
      </c>
      <c r="D1519" t="s">
        <v>548</v>
      </c>
      <c r="E1519" t="s">
        <v>753</v>
      </c>
      <c r="F1519" t="s">
        <v>187</v>
      </c>
      <c r="G1519" s="1">
        <v>45944</v>
      </c>
      <c r="H1519" s="1">
        <v>45945</v>
      </c>
      <c r="I1519" s="2">
        <v>720</v>
      </c>
      <c r="J1519" t="s">
        <v>776</v>
      </c>
      <c r="K1519" t="s">
        <v>811</v>
      </c>
      <c r="L1519" t="s">
        <v>824</v>
      </c>
      <c r="M1519" t="s">
        <v>828</v>
      </c>
      <c r="N1519" t="str">
        <f t="shared" si="69"/>
        <v>T-4</v>
      </c>
      <c r="O1519">
        <f t="shared" si="70"/>
        <v>2025</v>
      </c>
      <c r="P1519" t="str">
        <f t="shared" si="71"/>
        <v>10. octubre</v>
      </c>
    </row>
    <row r="1520" spans="1:16" x14ac:dyDescent="0.35">
      <c r="A1520">
        <v>720283</v>
      </c>
      <c r="B1520" t="s">
        <v>34</v>
      </c>
      <c r="C1520" t="s">
        <v>137</v>
      </c>
      <c r="D1520" t="s">
        <v>548</v>
      </c>
      <c r="E1520" t="s">
        <v>753</v>
      </c>
      <c r="F1520" t="s">
        <v>187</v>
      </c>
      <c r="G1520" s="1">
        <v>45944</v>
      </c>
      <c r="H1520" s="1">
        <v>45945</v>
      </c>
      <c r="I1520" s="2">
        <v>240</v>
      </c>
      <c r="J1520" t="s">
        <v>776</v>
      </c>
      <c r="K1520" t="s">
        <v>783</v>
      </c>
      <c r="L1520" t="s">
        <v>823</v>
      </c>
      <c r="M1520" t="s">
        <v>829</v>
      </c>
      <c r="N1520" t="str">
        <f t="shared" si="69"/>
        <v>T-4</v>
      </c>
      <c r="O1520">
        <f t="shared" si="70"/>
        <v>2025</v>
      </c>
      <c r="P1520" t="str">
        <f t="shared" si="71"/>
        <v>10. octubre</v>
      </c>
    </row>
    <row r="1521" spans="1:16" x14ac:dyDescent="0.35">
      <c r="A1521">
        <v>496732</v>
      </c>
      <c r="B1521" t="s">
        <v>90</v>
      </c>
      <c r="C1521" t="s">
        <v>138</v>
      </c>
      <c r="D1521" t="s">
        <v>576</v>
      </c>
      <c r="E1521" t="s">
        <v>679</v>
      </c>
      <c r="F1521" t="s">
        <v>187</v>
      </c>
      <c r="G1521" s="1">
        <v>45937</v>
      </c>
      <c r="H1521" s="1">
        <v>45937</v>
      </c>
      <c r="I1521" s="2">
        <v>1800</v>
      </c>
      <c r="J1521" t="s">
        <v>779</v>
      </c>
      <c r="K1521" t="s">
        <v>786</v>
      </c>
      <c r="L1521" t="s">
        <v>823</v>
      </c>
      <c r="M1521" t="s">
        <v>830</v>
      </c>
      <c r="N1521" t="str">
        <f t="shared" si="69"/>
        <v>T-4</v>
      </c>
      <c r="O1521">
        <f t="shared" si="70"/>
        <v>2025</v>
      </c>
      <c r="P1521" t="str">
        <f t="shared" si="71"/>
        <v>10. octubre</v>
      </c>
    </row>
    <row r="1522" spans="1:16" x14ac:dyDescent="0.35">
      <c r="A1522">
        <v>472844</v>
      </c>
      <c r="B1522" t="s">
        <v>114</v>
      </c>
      <c r="C1522" t="s">
        <v>136</v>
      </c>
      <c r="D1522" t="s">
        <v>576</v>
      </c>
      <c r="E1522" t="s">
        <v>679</v>
      </c>
      <c r="F1522" t="s">
        <v>187</v>
      </c>
      <c r="G1522" s="1">
        <v>45937</v>
      </c>
      <c r="H1522" s="1">
        <v>45937</v>
      </c>
      <c r="I1522" s="2">
        <v>300</v>
      </c>
      <c r="J1522" t="s">
        <v>779</v>
      </c>
      <c r="K1522" t="s">
        <v>786</v>
      </c>
      <c r="L1522" t="s">
        <v>823</v>
      </c>
      <c r="M1522" t="s">
        <v>830</v>
      </c>
      <c r="N1522" t="str">
        <f t="shared" si="69"/>
        <v>T-4</v>
      </c>
      <c r="O1522">
        <f t="shared" si="70"/>
        <v>2025</v>
      </c>
      <c r="P1522" t="str">
        <f t="shared" si="71"/>
        <v>10. octubre</v>
      </c>
    </row>
    <row r="1523" spans="1:16" x14ac:dyDescent="0.35">
      <c r="A1523">
        <v>707503</v>
      </c>
      <c r="B1523" t="s">
        <v>61</v>
      </c>
      <c r="C1523" t="s">
        <v>138</v>
      </c>
      <c r="D1523" t="s">
        <v>183</v>
      </c>
      <c r="E1523" t="s">
        <v>703</v>
      </c>
      <c r="F1523" t="s">
        <v>187</v>
      </c>
      <c r="G1523" s="1">
        <v>45936</v>
      </c>
      <c r="H1523" s="1">
        <v>45936</v>
      </c>
      <c r="I1523" s="2">
        <v>1192</v>
      </c>
      <c r="J1523" t="s">
        <v>774</v>
      </c>
      <c r="K1523" t="s">
        <v>783</v>
      </c>
      <c r="L1523" t="s">
        <v>823</v>
      </c>
      <c r="M1523" t="s">
        <v>828</v>
      </c>
      <c r="N1523" t="str">
        <f t="shared" si="69"/>
        <v>T-4</v>
      </c>
      <c r="O1523">
        <f t="shared" si="70"/>
        <v>2025</v>
      </c>
      <c r="P1523" t="str">
        <f t="shared" si="71"/>
        <v>10. octubre</v>
      </c>
    </row>
    <row r="1524" spans="1:16" x14ac:dyDescent="0.35">
      <c r="A1524">
        <v>704655</v>
      </c>
      <c r="B1524" t="s">
        <v>62</v>
      </c>
      <c r="C1524" t="s">
        <v>138</v>
      </c>
      <c r="D1524" t="s">
        <v>183</v>
      </c>
      <c r="E1524" t="s">
        <v>703</v>
      </c>
      <c r="F1524" t="s">
        <v>187</v>
      </c>
      <c r="G1524" s="1">
        <v>45936</v>
      </c>
      <c r="H1524" s="1">
        <v>45936</v>
      </c>
      <c r="I1524" s="2">
        <v>298</v>
      </c>
      <c r="J1524" t="s">
        <v>776</v>
      </c>
      <c r="K1524" t="s">
        <v>783</v>
      </c>
      <c r="L1524" t="s">
        <v>823</v>
      </c>
      <c r="M1524" t="s">
        <v>830</v>
      </c>
      <c r="N1524" t="str">
        <f t="shared" si="69"/>
        <v>T-4</v>
      </c>
      <c r="O1524">
        <f t="shared" si="70"/>
        <v>2025</v>
      </c>
      <c r="P1524" t="str">
        <f t="shared" si="71"/>
        <v>10. octubre</v>
      </c>
    </row>
    <row r="1525" spans="1:16" x14ac:dyDescent="0.35">
      <c r="A1525">
        <v>560733</v>
      </c>
      <c r="B1525" t="s">
        <v>4</v>
      </c>
      <c r="C1525" t="s">
        <v>138</v>
      </c>
      <c r="D1525" t="s">
        <v>181</v>
      </c>
      <c r="E1525" t="s">
        <v>678</v>
      </c>
      <c r="F1525" t="s">
        <v>187</v>
      </c>
      <c r="G1525" s="1">
        <v>45931</v>
      </c>
      <c r="H1525" s="1">
        <v>45933</v>
      </c>
      <c r="I1525" s="2">
        <v>390</v>
      </c>
      <c r="J1525" t="s">
        <v>776</v>
      </c>
      <c r="K1525" t="s">
        <v>789</v>
      </c>
      <c r="L1525" t="s">
        <v>823</v>
      </c>
      <c r="M1525" t="s">
        <v>829</v>
      </c>
      <c r="N1525" t="str">
        <f t="shared" si="69"/>
        <v>T-4</v>
      </c>
      <c r="O1525">
        <f t="shared" si="70"/>
        <v>2025</v>
      </c>
      <c r="P1525" t="str">
        <f t="shared" si="71"/>
        <v>10. octubre</v>
      </c>
    </row>
    <row r="1526" spans="1:16" x14ac:dyDescent="0.35">
      <c r="A1526">
        <v>591949</v>
      </c>
      <c r="B1526" t="s">
        <v>31</v>
      </c>
      <c r="C1526" t="s">
        <v>136</v>
      </c>
      <c r="D1526" t="s">
        <v>465</v>
      </c>
      <c r="E1526" t="s">
        <v>678</v>
      </c>
      <c r="F1526" t="s">
        <v>187</v>
      </c>
      <c r="G1526" s="1">
        <v>45936</v>
      </c>
      <c r="H1526" s="1">
        <v>45939</v>
      </c>
      <c r="I1526" s="2">
        <v>260</v>
      </c>
      <c r="J1526" t="s">
        <v>776</v>
      </c>
      <c r="K1526" t="s">
        <v>800</v>
      </c>
      <c r="L1526" t="s">
        <v>824</v>
      </c>
      <c r="M1526" t="s">
        <v>830</v>
      </c>
      <c r="N1526" t="str">
        <f t="shared" si="69"/>
        <v>T-4</v>
      </c>
      <c r="O1526">
        <f t="shared" si="70"/>
        <v>2025</v>
      </c>
      <c r="P1526" t="str">
        <f t="shared" si="71"/>
        <v>10. octubre</v>
      </c>
    </row>
    <row r="1527" spans="1:16" x14ac:dyDescent="0.35">
      <c r="A1527">
        <v>429640</v>
      </c>
      <c r="B1527" t="s">
        <v>14</v>
      </c>
      <c r="C1527" t="s">
        <v>141</v>
      </c>
      <c r="D1527" t="s">
        <v>469</v>
      </c>
      <c r="E1527" t="s">
        <v>678</v>
      </c>
      <c r="F1527" t="s">
        <v>187</v>
      </c>
      <c r="G1527" s="1">
        <v>45936</v>
      </c>
      <c r="H1527" s="1">
        <v>45938</v>
      </c>
      <c r="I1527" s="2">
        <v>585</v>
      </c>
      <c r="J1527" t="s">
        <v>776</v>
      </c>
      <c r="K1527" t="s">
        <v>789</v>
      </c>
      <c r="L1527" t="s">
        <v>823</v>
      </c>
      <c r="M1527" t="s">
        <v>830</v>
      </c>
      <c r="N1527" t="str">
        <f t="shared" si="69"/>
        <v>T-4</v>
      </c>
      <c r="O1527">
        <f t="shared" si="70"/>
        <v>2025</v>
      </c>
      <c r="P1527" t="str">
        <f t="shared" si="71"/>
        <v>10. octubre</v>
      </c>
    </row>
    <row r="1528" spans="1:16" x14ac:dyDescent="0.35">
      <c r="A1528">
        <v>711896</v>
      </c>
      <c r="B1528" t="s">
        <v>14</v>
      </c>
      <c r="C1528" t="s">
        <v>138</v>
      </c>
      <c r="D1528" t="s">
        <v>577</v>
      </c>
      <c r="E1528" t="s">
        <v>678</v>
      </c>
      <c r="F1528" t="s">
        <v>187</v>
      </c>
      <c r="G1528" s="1">
        <v>45929</v>
      </c>
      <c r="H1528" s="1">
        <v>45930</v>
      </c>
      <c r="I1528" s="2">
        <v>1560</v>
      </c>
      <c r="J1528" t="s">
        <v>776</v>
      </c>
      <c r="K1528" t="s">
        <v>803</v>
      </c>
      <c r="L1528" t="s">
        <v>823</v>
      </c>
      <c r="M1528" t="s">
        <v>828</v>
      </c>
      <c r="N1528" t="str">
        <f t="shared" si="69"/>
        <v>T-3</v>
      </c>
      <c r="O1528">
        <f t="shared" si="70"/>
        <v>2025</v>
      </c>
      <c r="P1528" t="str">
        <f t="shared" si="71"/>
        <v>9. septiembre</v>
      </c>
    </row>
    <row r="1529" spans="1:16" x14ac:dyDescent="0.35">
      <c r="A1529">
        <v>407916</v>
      </c>
      <c r="B1529" t="s">
        <v>124</v>
      </c>
      <c r="C1529" t="s">
        <v>138</v>
      </c>
      <c r="D1529" t="s">
        <v>181</v>
      </c>
      <c r="E1529" t="s">
        <v>678</v>
      </c>
      <c r="F1529" t="s">
        <v>187</v>
      </c>
      <c r="G1529" s="1">
        <v>45931</v>
      </c>
      <c r="H1529" s="1">
        <v>45933</v>
      </c>
      <c r="I1529" s="2">
        <v>1950</v>
      </c>
      <c r="J1529" t="s">
        <v>776</v>
      </c>
      <c r="K1529" t="s">
        <v>791</v>
      </c>
      <c r="L1529" t="s">
        <v>823</v>
      </c>
      <c r="M1529" t="s">
        <v>828</v>
      </c>
      <c r="N1529" t="str">
        <f t="shared" si="69"/>
        <v>T-4</v>
      </c>
      <c r="O1529">
        <f t="shared" si="70"/>
        <v>2025</v>
      </c>
      <c r="P1529" t="str">
        <f t="shared" si="71"/>
        <v>10. octubre</v>
      </c>
    </row>
    <row r="1530" spans="1:16" x14ac:dyDescent="0.35">
      <c r="A1530">
        <v>461878</v>
      </c>
      <c r="B1530" t="s">
        <v>33</v>
      </c>
      <c r="C1530" t="s">
        <v>138</v>
      </c>
      <c r="D1530" t="s">
        <v>578</v>
      </c>
      <c r="E1530" t="s">
        <v>678</v>
      </c>
      <c r="F1530" t="s">
        <v>187</v>
      </c>
      <c r="G1530" s="1">
        <v>45936</v>
      </c>
      <c r="H1530" s="1">
        <v>45939</v>
      </c>
      <c r="I1530" s="2">
        <v>3900</v>
      </c>
      <c r="J1530" t="s">
        <v>776</v>
      </c>
      <c r="K1530" t="s">
        <v>804</v>
      </c>
      <c r="L1530" t="s">
        <v>823</v>
      </c>
      <c r="M1530" t="s">
        <v>830</v>
      </c>
      <c r="N1530" t="str">
        <f t="shared" si="69"/>
        <v>T-4</v>
      </c>
      <c r="O1530">
        <f t="shared" si="70"/>
        <v>2025</v>
      </c>
      <c r="P1530" t="str">
        <f t="shared" si="71"/>
        <v>10. octubre</v>
      </c>
    </row>
    <row r="1531" spans="1:16" x14ac:dyDescent="0.35">
      <c r="A1531">
        <v>487653</v>
      </c>
      <c r="B1531" t="s">
        <v>5</v>
      </c>
      <c r="C1531" t="s">
        <v>138</v>
      </c>
      <c r="D1531" t="s">
        <v>579</v>
      </c>
      <c r="E1531" t="s">
        <v>678</v>
      </c>
      <c r="F1531" t="s">
        <v>187</v>
      </c>
      <c r="G1531" s="1">
        <v>45929</v>
      </c>
      <c r="H1531" s="1">
        <v>45933</v>
      </c>
      <c r="I1531" s="2">
        <v>2600</v>
      </c>
      <c r="J1531" t="s">
        <v>776</v>
      </c>
      <c r="K1531" t="s">
        <v>783</v>
      </c>
      <c r="L1531" t="s">
        <v>823</v>
      </c>
      <c r="M1531" t="s">
        <v>829</v>
      </c>
      <c r="N1531" t="str">
        <f t="shared" si="69"/>
        <v>T-3</v>
      </c>
      <c r="O1531">
        <f t="shared" si="70"/>
        <v>2025</v>
      </c>
      <c r="P1531" t="str">
        <f t="shared" si="71"/>
        <v>9. septiembre</v>
      </c>
    </row>
    <row r="1532" spans="1:16" x14ac:dyDescent="0.35">
      <c r="A1532">
        <v>440330</v>
      </c>
      <c r="B1532" t="s">
        <v>69</v>
      </c>
      <c r="C1532" t="s">
        <v>138</v>
      </c>
      <c r="D1532" t="s">
        <v>465</v>
      </c>
      <c r="E1532" t="s">
        <v>678</v>
      </c>
      <c r="F1532" t="s">
        <v>187</v>
      </c>
      <c r="G1532" s="1">
        <v>45936</v>
      </c>
      <c r="H1532" s="1">
        <v>45939</v>
      </c>
      <c r="I1532" s="2">
        <v>1820</v>
      </c>
      <c r="J1532" t="s">
        <v>776</v>
      </c>
      <c r="K1532" t="s">
        <v>787</v>
      </c>
      <c r="L1532" t="s">
        <v>823</v>
      </c>
      <c r="M1532" t="s">
        <v>830</v>
      </c>
      <c r="N1532" t="str">
        <f t="shared" si="69"/>
        <v>T-4</v>
      </c>
      <c r="O1532">
        <f t="shared" si="70"/>
        <v>2025</v>
      </c>
      <c r="P1532" t="str">
        <f t="shared" si="71"/>
        <v>10. octubre</v>
      </c>
    </row>
    <row r="1533" spans="1:16" x14ac:dyDescent="0.35">
      <c r="A1533">
        <v>715127</v>
      </c>
      <c r="B1533" t="s">
        <v>32</v>
      </c>
      <c r="C1533" t="s">
        <v>136</v>
      </c>
      <c r="D1533" t="s">
        <v>460</v>
      </c>
      <c r="E1533" t="s">
        <v>678</v>
      </c>
      <c r="F1533" t="s">
        <v>187</v>
      </c>
      <c r="G1533" s="1">
        <v>45936</v>
      </c>
      <c r="H1533" s="1">
        <v>45938</v>
      </c>
      <c r="I1533" s="2">
        <v>624</v>
      </c>
      <c r="J1533" t="s">
        <v>776</v>
      </c>
      <c r="K1533" t="s">
        <v>783</v>
      </c>
      <c r="L1533" t="s">
        <v>823</v>
      </c>
      <c r="M1533" t="s">
        <v>830</v>
      </c>
      <c r="N1533" t="str">
        <f t="shared" si="69"/>
        <v>T-4</v>
      </c>
      <c r="O1533">
        <f t="shared" si="70"/>
        <v>2025</v>
      </c>
      <c r="P1533" t="str">
        <f t="shared" si="71"/>
        <v>10. octubre</v>
      </c>
    </row>
    <row r="1534" spans="1:16" x14ac:dyDescent="0.35">
      <c r="A1534">
        <v>700140</v>
      </c>
      <c r="B1534" t="s">
        <v>25</v>
      </c>
      <c r="C1534" t="s">
        <v>138</v>
      </c>
      <c r="D1534" t="s">
        <v>469</v>
      </c>
      <c r="E1534" t="s">
        <v>678</v>
      </c>
      <c r="F1534" t="s">
        <v>187</v>
      </c>
      <c r="G1534" s="1">
        <v>45936</v>
      </c>
      <c r="H1534" s="1">
        <v>45938</v>
      </c>
      <c r="I1534" s="2">
        <v>975</v>
      </c>
      <c r="J1534" t="s">
        <v>776</v>
      </c>
      <c r="K1534" t="s">
        <v>783</v>
      </c>
      <c r="L1534" t="s">
        <v>824</v>
      </c>
      <c r="M1534" t="s">
        <v>828</v>
      </c>
      <c r="N1534" t="str">
        <f t="shared" si="69"/>
        <v>T-4</v>
      </c>
      <c r="O1534">
        <f t="shared" si="70"/>
        <v>2025</v>
      </c>
      <c r="P1534" t="str">
        <f t="shared" si="71"/>
        <v>10. octubre</v>
      </c>
    </row>
    <row r="1535" spans="1:16" x14ac:dyDescent="0.35">
      <c r="A1535">
        <v>405362</v>
      </c>
      <c r="B1535" t="s">
        <v>5</v>
      </c>
      <c r="C1535" t="s">
        <v>138</v>
      </c>
      <c r="D1535" t="s">
        <v>580</v>
      </c>
      <c r="E1535" t="s">
        <v>678</v>
      </c>
      <c r="F1535" t="s">
        <v>187</v>
      </c>
      <c r="G1535" s="1">
        <v>45929</v>
      </c>
      <c r="H1535" s="1">
        <v>45932</v>
      </c>
      <c r="I1535" s="2">
        <v>1300</v>
      </c>
      <c r="J1535" t="s">
        <v>776</v>
      </c>
      <c r="K1535" t="s">
        <v>786</v>
      </c>
      <c r="L1535" t="s">
        <v>823</v>
      </c>
      <c r="M1535" t="s">
        <v>828</v>
      </c>
      <c r="N1535" t="str">
        <f t="shared" si="69"/>
        <v>T-3</v>
      </c>
      <c r="O1535">
        <f t="shared" si="70"/>
        <v>2025</v>
      </c>
      <c r="P1535" t="str">
        <f t="shared" si="71"/>
        <v>9. septiembre</v>
      </c>
    </row>
    <row r="1536" spans="1:16" x14ac:dyDescent="0.35">
      <c r="A1536">
        <v>722427</v>
      </c>
      <c r="B1536" t="s">
        <v>7</v>
      </c>
      <c r="C1536" t="s">
        <v>138</v>
      </c>
      <c r="D1536" t="s">
        <v>581</v>
      </c>
      <c r="E1536" t="s">
        <v>678</v>
      </c>
      <c r="F1536" t="s">
        <v>187</v>
      </c>
      <c r="G1536" s="1">
        <v>45929</v>
      </c>
      <c r="H1536" s="1">
        <v>45933</v>
      </c>
      <c r="I1536" s="2">
        <v>3510</v>
      </c>
      <c r="J1536" t="s">
        <v>776</v>
      </c>
      <c r="K1536" t="s">
        <v>783</v>
      </c>
      <c r="L1536" t="s">
        <v>823</v>
      </c>
      <c r="M1536" t="s">
        <v>829</v>
      </c>
      <c r="N1536" t="str">
        <f t="shared" si="69"/>
        <v>T-3</v>
      </c>
      <c r="O1536">
        <f t="shared" si="70"/>
        <v>2025</v>
      </c>
      <c r="P1536" t="str">
        <f t="shared" si="71"/>
        <v>9. septiembre</v>
      </c>
    </row>
    <row r="1537" spans="1:16" x14ac:dyDescent="0.35">
      <c r="A1537">
        <v>716335</v>
      </c>
      <c r="B1537" t="s">
        <v>30</v>
      </c>
      <c r="C1537" t="s">
        <v>137</v>
      </c>
      <c r="D1537" t="s">
        <v>579</v>
      </c>
      <c r="E1537" t="s">
        <v>678</v>
      </c>
      <c r="F1537" t="s">
        <v>187</v>
      </c>
      <c r="G1537" s="1">
        <v>45929</v>
      </c>
      <c r="H1537" s="1">
        <v>45933</v>
      </c>
      <c r="I1537" s="2">
        <v>975</v>
      </c>
      <c r="J1537" t="s">
        <v>776</v>
      </c>
      <c r="K1537" t="s">
        <v>783</v>
      </c>
      <c r="L1537" t="s">
        <v>823</v>
      </c>
      <c r="M1537" t="s">
        <v>830</v>
      </c>
      <c r="N1537" t="str">
        <f t="shared" si="69"/>
        <v>T-3</v>
      </c>
      <c r="O1537">
        <f t="shared" si="70"/>
        <v>2025</v>
      </c>
      <c r="P1537" t="str">
        <f t="shared" si="71"/>
        <v>9. septiembre</v>
      </c>
    </row>
    <row r="1538" spans="1:16" x14ac:dyDescent="0.35">
      <c r="A1538">
        <v>701544</v>
      </c>
      <c r="B1538" t="s">
        <v>27</v>
      </c>
      <c r="C1538" t="s">
        <v>138</v>
      </c>
      <c r="D1538" t="s">
        <v>578</v>
      </c>
      <c r="E1538" t="s">
        <v>678</v>
      </c>
      <c r="F1538" t="s">
        <v>187</v>
      </c>
      <c r="G1538" s="1">
        <v>45936</v>
      </c>
      <c r="H1538" s="1">
        <v>45939</v>
      </c>
      <c r="I1538" s="2">
        <v>260</v>
      </c>
      <c r="J1538" t="s">
        <v>776</v>
      </c>
      <c r="K1538" t="s">
        <v>785</v>
      </c>
      <c r="L1538" t="s">
        <v>823</v>
      </c>
      <c r="M1538" t="s">
        <v>830</v>
      </c>
      <c r="N1538" t="str">
        <f t="shared" si="69"/>
        <v>T-4</v>
      </c>
      <c r="O1538">
        <f t="shared" si="70"/>
        <v>2025</v>
      </c>
      <c r="P1538" t="str">
        <f t="shared" si="71"/>
        <v>10. octubre</v>
      </c>
    </row>
    <row r="1539" spans="1:16" x14ac:dyDescent="0.35">
      <c r="A1539">
        <v>704389</v>
      </c>
      <c r="B1539" t="s">
        <v>56</v>
      </c>
      <c r="C1539" t="s">
        <v>138</v>
      </c>
      <c r="D1539" t="s">
        <v>465</v>
      </c>
      <c r="E1539" t="s">
        <v>678</v>
      </c>
      <c r="F1539" t="s">
        <v>187</v>
      </c>
      <c r="G1539" s="1">
        <v>45936</v>
      </c>
      <c r="H1539" s="1">
        <v>45939</v>
      </c>
      <c r="I1539" s="2">
        <v>3900</v>
      </c>
      <c r="J1539" t="s">
        <v>776</v>
      </c>
      <c r="K1539" t="s">
        <v>805</v>
      </c>
      <c r="L1539" t="s">
        <v>823</v>
      </c>
      <c r="M1539" t="s">
        <v>828</v>
      </c>
      <c r="N1539" t="str">
        <f t="shared" ref="N1539:N1602" si="72">"T-" &amp; ROUNDUP((MONTH(G1539)/3), 0)</f>
        <v>T-4</v>
      </c>
      <c r="O1539">
        <f t="shared" ref="O1539:O1602" si="73">YEAR(G1539)</f>
        <v>2025</v>
      </c>
      <c r="P1539" t="str">
        <f t="shared" ref="P1539:P1602" si="74">MONTH(G1539) &amp; ". " &amp; TEXT(G1539, "MMMM")</f>
        <v>10. octubre</v>
      </c>
    </row>
    <row r="1540" spans="1:16" x14ac:dyDescent="0.35">
      <c r="A1540">
        <v>709467</v>
      </c>
      <c r="B1540" t="s">
        <v>4</v>
      </c>
      <c r="C1540" t="s">
        <v>138</v>
      </c>
      <c r="D1540" t="s">
        <v>460</v>
      </c>
      <c r="E1540" t="s">
        <v>678</v>
      </c>
      <c r="F1540" t="s">
        <v>187</v>
      </c>
      <c r="G1540" s="1">
        <v>45936</v>
      </c>
      <c r="H1540" s="1">
        <v>45938</v>
      </c>
      <c r="I1540" s="2">
        <v>3120</v>
      </c>
      <c r="J1540" t="s">
        <v>776</v>
      </c>
      <c r="K1540" t="s">
        <v>791</v>
      </c>
      <c r="L1540" t="s">
        <v>824</v>
      </c>
      <c r="M1540" t="s">
        <v>830</v>
      </c>
      <c r="N1540" t="str">
        <f t="shared" si="72"/>
        <v>T-4</v>
      </c>
      <c r="O1540">
        <f t="shared" si="73"/>
        <v>2025</v>
      </c>
      <c r="P1540" t="str">
        <f t="shared" si="74"/>
        <v>10. octubre</v>
      </c>
    </row>
    <row r="1541" spans="1:16" x14ac:dyDescent="0.35">
      <c r="A1541">
        <v>507899</v>
      </c>
      <c r="B1541" t="s">
        <v>27</v>
      </c>
      <c r="C1541" t="s">
        <v>139</v>
      </c>
      <c r="D1541" t="s">
        <v>469</v>
      </c>
      <c r="E1541" t="s">
        <v>678</v>
      </c>
      <c r="F1541" t="s">
        <v>187</v>
      </c>
      <c r="G1541" s="1">
        <v>45936</v>
      </c>
      <c r="H1541" s="1">
        <v>45938</v>
      </c>
      <c r="I1541" s="2">
        <v>2145</v>
      </c>
      <c r="J1541" t="s">
        <v>776</v>
      </c>
      <c r="K1541" t="s">
        <v>783</v>
      </c>
      <c r="L1541" t="s">
        <v>823</v>
      </c>
      <c r="M1541" t="s">
        <v>829</v>
      </c>
      <c r="N1541" t="str">
        <f t="shared" si="72"/>
        <v>T-4</v>
      </c>
      <c r="O1541">
        <f t="shared" si="73"/>
        <v>2025</v>
      </c>
      <c r="P1541" t="str">
        <f t="shared" si="74"/>
        <v>10. octubre</v>
      </c>
    </row>
    <row r="1542" spans="1:16" x14ac:dyDescent="0.35">
      <c r="A1542">
        <v>409836</v>
      </c>
      <c r="B1542" t="s">
        <v>125</v>
      </c>
      <c r="C1542" t="s">
        <v>140</v>
      </c>
      <c r="D1542" t="s">
        <v>580</v>
      </c>
      <c r="E1542" t="s">
        <v>678</v>
      </c>
      <c r="F1542" t="s">
        <v>187</v>
      </c>
      <c r="G1542" s="1">
        <v>45929</v>
      </c>
      <c r="H1542" s="1">
        <v>45932</v>
      </c>
      <c r="I1542" s="2">
        <v>3640</v>
      </c>
      <c r="J1542" t="s">
        <v>776</v>
      </c>
      <c r="K1542" t="s">
        <v>783</v>
      </c>
      <c r="L1542" t="s">
        <v>823</v>
      </c>
      <c r="M1542" t="s">
        <v>830</v>
      </c>
      <c r="N1542" t="str">
        <f t="shared" si="72"/>
        <v>T-3</v>
      </c>
      <c r="O1542">
        <f t="shared" si="73"/>
        <v>2025</v>
      </c>
      <c r="P1542" t="str">
        <f t="shared" si="74"/>
        <v>9. septiembre</v>
      </c>
    </row>
    <row r="1543" spans="1:16" x14ac:dyDescent="0.35">
      <c r="A1543">
        <v>413410</v>
      </c>
      <c r="B1543" t="s">
        <v>111</v>
      </c>
      <c r="C1543" t="s">
        <v>138</v>
      </c>
      <c r="D1543" t="s">
        <v>577</v>
      </c>
      <c r="E1543" t="s">
        <v>678</v>
      </c>
      <c r="F1543" t="s">
        <v>187</v>
      </c>
      <c r="G1543" s="1">
        <v>45929</v>
      </c>
      <c r="H1543" s="1">
        <v>45930</v>
      </c>
      <c r="I1543" s="2">
        <v>260</v>
      </c>
      <c r="J1543" t="s">
        <v>776</v>
      </c>
      <c r="K1543" t="s">
        <v>791</v>
      </c>
      <c r="L1543" t="s">
        <v>823</v>
      </c>
      <c r="M1543" t="s">
        <v>830</v>
      </c>
      <c r="N1543" t="str">
        <f t="shared" si="72"/>
        <v>T-3</v>
      </c>
      <c r="O1543">
        <f t="shared" si="73"/>
        <v>2025</v>
      </c>
      <c r="P1543" t="str">
        <f t="shared" si="74"/>
        <v>9. septiembre</v>
      </c>
    </row>
    <row r="1544" spans="1:16" x14ac:dyDescent="0.35">
      <c r="A1544">
        <v>716331</v>
      </c>
      <c r="B1544" t="s">
        <v>33</v>
      </c>
      <c r="C1544" t="s">
        <v>136</v>
      </c>
      <c r="D1544" t="s">
        <v>181</v>
      </c>
      <c r="E1544" t="s">
        <v>678</v>
      </c>
      <c r="F1544" t="s">
        <v>187</v>
      </c>
      <c r="G1544" s="1">
        <v>45931</v>
      </c>
      <c r="H1544" s="1">
        <v>45933</v>
      </c>
      <c r="I1544" s="2">
        <v>1365</v>
      </c>
      <c r="J1544" t="s">
        <v>776</v>
      </c>
      <c r="K1544" t="s">
        <v>783</v>
      </c>
      <c r="L1544" t="s">
        <v>823</v>
      </c>
      <c r="M1544" t="s">
        <v>828</v>
      </c>
      <c r="N1544" t="str">
        <f t="shared" si="72"/>
        <v>T-4</v>
      </c>
      <c r="O1544">
        <f t="shared" si="73"/>
        <v>2025</v>
      </c>
      <c r="P1544" t="str">
        <f t="shared" si="74"/>
        <v>10. octubre</v>
      </c>
    </row>
    <row r="1545" spans="1:16" x14ac:dyDescent="0.35">
      <c r="A1545">
        <v>722469</v>
      </c>
      <c r="B1545" t="s">
        <v>28</v>
      </c>
      <c r="C1545" t="s">
        <v>138</v>
      </c>
      <c r="D1545" t="s">
        <v>578</v>
      </c>
      <c r="E1545" t="s">
        <v>678</v>
      </c>
      <c r="F1545" t="s">
        <v>187</v>
      </c>
      <c r="G1545" s="1">
        <v>45936</v>
      </c>
      <c r="H1545" s="1">
        <v>45939</v>
      </c>
      <c r="I1545" s="2">
        <v>1040</v>
      </c>
      <c r="J1545" t="s">
        <v>776</v>
      </c>
      <c r="K1545" t="s">
        <v>783</v>
      </c>
      <c r="L1545" t="s">
        <v>823</v>
      </c>
      <c r="M1545" t="s">
        <v>828</v>
      </c>
      <c r="N1545" t="str">
        <f t="shared" si="72"/>
        <v>T-4</v>
      </c>
      <c r="O1545">
        <f t="shared" si="73"/>
        <v>2025</v>
      </c>
      <c r="P1545" t="str">
        <f t="shared" si="74"/>
        <v>10. octubre</v>
      </c>
    </row>
    <row r="1546" spans="1:16" x14ac:dyDescent="0.35">
      <c r="A1546">
        <v>406121</v>
      </c>
      <c r="B1546" t="s">
        <v>19</v>
      </c>
      <c r="C1546" t="s">
        <v>140</v>
      </c>
      <c r="D1546" t="s">
        <v>581</v>
      </c>
      <c r="E1546" t="s">
        <v>678</v>
      </c>
      <c r="F1546" t="s">
        <v>187</v>
      </c>
      <c r="G1546" s="1">
        <v>45929</v>
      </c>
      <c r="H1546" s="1">
        <v>45933</v>
      </c>
      <c r="I1546" s="2">
        <v>3510</v>
      </c>
      <c r="J1546" t="s">
        <v>776</v>
      </c>
      <c r="K1546" t="s">
        <v>783</v>
      </c>
      <c r="L1546" t="s">
        <v>823</v>
      </c>
      <c r="M1546" t="s">
        <v>830</v>
      </c>
      <c r="N1546" t="str">
        <f t="shared" si="72"/>
        <v>T-3</v>
      </c>
      <c r="O1546">
        <f t="shared" si="73"/>
        <v>2025</v>
      </c>
      <c r="P1546" t="str">
        <f t="shared" si="74"/>
        <v>9. septiembre</v>
      </c>
    </row>
    <row r="1547" spans="1:16" x14ac:dyDescent="0.35">
      <c r="A1547">
        <v>720243</v>
      </c>
      <c r="B1547" t="s">
        <v>30</v>
      </c>
      <c r="C1547" t="s">
        <v>137</v>
      </c>
      <c r="D1547" t="s">
        <v>579</v>
      </c>
      <c r="E1547" t="s">
        <v>678</v>
      </c>
      <c r="F1547" t="s">
        <v>187</v>
      </c>
      <c r="G1547" s="1">
        <v>45929</v>
      </c>
      <c r="H1547" s="1">
        <v>45933</v>
      </c>
      <c r="I1547" s="2">
        <v>3250</v>
      </c>
      <c r="J1547" t="s">
        <v>776</v>
      </c>
      <c r="K1547" t="s">
        <v>800</v>
      </c>
      <c r="L1547" t="s">
        <v>824</v>
      </c>
      <c r="M1547" t="s">
        <v>829</v>
      </c>
      <c r="N1547" t="str">
        <f t="shared" si="72"/>
        <v>T-3</v>
      </c>
      <c r="O1547">
        <f t="shared" si="73"/>
        <v>2025</v>
      </c>
      <c r="P1547" t="str">
        <f t="shared" si="74"/>
        <v>9. septiembre</v>
      </c>
    </row>
    <row r="1548" spans="1:16" x14ac:dyDescent="0.35">
      <c r="A1548">
        <v>600948</v>
      </c>
      <c r="B1548" t="s">
        <v>13</v>
      </c>
      <c r="C1548" t="s">
        <v>138</v>
      </c>
      <c r="D1548" t="s">
        <v>580</v>
      </c>
      <c r="E1548" t="s">
        <v>678</v>
      </c>
      <c r="F1548" t="s">
        <v>187</v>
      </c>
      <c r="G1548" s="1">
        <v>45929</v>
      </c>
      <c r="H1548" s="1">
        <v>45932</v>
      </c>
      <c r="I1548" s="2">
        <v>260</v>
      </c>
      <c r="J1548" t="s">
        <v>776</v>
      </c>
      <c r="K1548" t="s">
        <v>783</v>
      </c>
      <c r="L1548" t="s">
        <v>823</v>
      </c>
      <c r="M1548" t="s">
        <v>830</v>
      </c>
      <c r="N1548" t="str">
        <f t="shared" si="72"/>
        <v>T-3</v>
      </c>
      <c r="O1548">
        <f t="shared" si="73"/>
        <v>2025</v>
      </c>
      <c r="P1548" t="str">
        <f t="shared" si="74"/>
        <v>9. septiembre</v>
      </c>
    </row>
    <row r="1549" spans="1:16" x14ac:dyDescent="0.35">
      <c r="A1549">
        <v>719757</v>
      </c>
      <c r="B1549" t="s">
        <v>32</v>
      </c>
      <c r="C1549" t="s">
        <v>137</v>
      </c>
      <c r="D1549" t="s">
        <v>577</v>
      </c>
      <c r="E1549" t="s">
        <v>678</v>
      </c>
      <c r="F1549" t="s">
        <v>187</v>
      </c>
      <c r="G1549" s="1">
        <v>45929</v>
      </c>
      <c r="H1549" s="1">
        <v>45930</v>
      </c>
      <c r="I1549" s="2">
        <v>780</v>
      </c>
      <c r="J1549" t="s">
        <v>776</v>
      </c>
      <c r="K1549" t="s">
        <v>789</v>
      </c>
      <c r="L1549" t="s">
        <v>823</v>
      </c>
      <c r="M1549" t="s">
        <v>830</v>
      </c>
      <c r="N1549" t="str">
        <f t="shared" si="72"/>
        <v>T-3</v>
      </c>
      <c r="O1549">
        <f t="shared" si="73"/>
        <v>2025</v>
      </c>
      <c r="P1549" t="str">
        <f t="shared" si="74"/>
        <v>9. septiembre</v>
      </c>
    </row>
    <row r="1550" spans="1:16" x14ac:dyDescent="0.35">
      <c r="A1550">
        <v>710222</v>
      </c>
      <c r="B1550" t="s">
        <v>4</v>
      </c>
      <c r="C1550" t="s">
        <v>138</v>
      </c>
      <c r="D1550" t="s">
        <v>581</v>
      </c>
      <c r="E1550" t="s">
        <v>678</v>
      </c>
      <c r="F1550" t="s">
        <v>187</v>
      </c>
      <c r="G1550" s="1">
        <v>45929</v>
      </c>
      <c r="H1550" s="1">
        <v>45933</v>
      </c>
      <c r="I1550" s="2">
        <v>390</v>
      </c>
      <c r="J1550" t="s">
        <v>776</v>
      </c>
      <c r="K1550" t="s">
        <v>783</v>
      </c>
      <c r="L1550" t="s">
        <v>823</v>
      </c>
      <c r="M1550" t="s">
        <v>828</v>
      </c>
      <c r="N1550" t="str">
        <f t="shared" si="72"/>
        <v>T-3</v>
      </c>
      <c r="O1550">
        <f t="shared" si="73"/>
        <v>2025</v>
      </c>
      <c r="P1550" t="str">
        <f t="shared" si="74"/>
        <v>9. septiembre</v>
      </c>
    </row>
    <row r="1551" spans="1:16" x14ac:dyDescent="0.35">
      <c r="A1551">
        <v>417165</v>
      </c>
      <c r="B1551" t="s">
        <v>30</v>
      </c>
      <c r="C1551" t="s">
        <v>138</v>
      </c>
      <c r="D1551" t="s">
        <v>536</v>
      </c>
      <c r="E1551" t="s">
        <v>647</v>
      </c>
      <c r="F1551" t="s">
        <v>187</v>
      </c>
      <c r="G1551" s="1">
        <v>45936</v>
      </c>
      <c r="H1551" s="1">
        <v>45937</v>
      </c>
      <c r="I1551" s="2">
        <v>1518</v>
      </c>
      <c r="J1551" t="s">
        <v>776</v>
      </c>
      <c r="K1551" t="s">
        <v>783</v>
      </c>
      <c r="L1551" t="s">
        <v>823</v>
      </c>
      <c r="M1551" t="s">
        <v>828</v>
      </c>
      <c r="N1551" t="str">
        <f t="shared" si="72"/>
        <v>T-4</v>
      </c>
      <c r="O1551">
        <f t="shared" si="73"/>
        <v>2025</v>
      </c>
      <c r="P1551" t="str">
        <f t="shared" si="74"/>
        <v>10. octubre</v>
      </c>
    </row>
    <row r="1552" spans="1:16" x14ac:dyDescent="0.35">
      <c r="A1552">
        <v>610593</v>
      </c>
      <c r="B1552" t="s">
        <v>13</v>
      </c>
      <c r="C1552" t="s">
        <v>138</v>
      </c>
      <c r="D1552" t="s">
        <v>274</v>
      </c>
      <c r="E1552" t="s">
        <v>647</v>
      </c>
      <c r="F1552" t="s">
        <v>187</v>
      </c>
      <c r="G1552" s="1">
        <v>45936</v>
      </c>
      <c r="H1552" s="1">
        <v>45939</v>
      </c>
      <c r="I1552" s="2">
        <v>6110.77</v>
      </c>
      <c r="J1552" t="s">
        <v>776</v>
      </c>
      <c r="K1552" t="s">
        <v>783</v>
      </c>
      <c r="L1552" t="s">
        <v>823</v>
      </c>
      <c r="M1552" t="s">
        <v>829</v>
      </c>
      <c r="N1552" t="str">
        <f t="shared" si="72"/>
        <v>T-4</v>
      </c>
      <c r="O1552">
        <f t="shared" si="73"/>
        <v>2025</v>
      </c>
      <c r="P1552" t="str">
        <f t="shared" si="74"/>
        <v>10. octubre</v>
      </c>
    </row>
    <row r="1553" spans="1:16" x14ac:dyDescent="0.35">
      <c r="A1553">
        <v>610467</v>
      </c>
      <c r="B1553" t="s">
        <v>13</v>
      </c>
      <c r="C1553" t="s">
        <v>136</v>
      </c>
      <c r="D1553" t="s">
        <v>155</v>
      </c>
      <c r="E1553" t="s">
        <v>647</v>
      </c>
      <c r="F1553" t="s">
        <v>187</v>
      </c>
      <c r="G1553" s="1">
        <v>45936</v>
      </c>
      <c r="H1553" s="1">
        <v>45938</v>
      </c>
      <c r="I1553" s="2">
        <v>1630.91</v>
      </c>
      <c r="J1553" t="s">
        <v>776</v>
      </c>
      <c r="K1553" t="s">
        <v>783</v>
      </c>
      <c r="L1553" t="s">
        <v>823</v>
      </c>
      <c r="M1553" t="s">
        <v>830</v>
      </c>
      <c r="N1553" t="str">
        <f t="shared" si="72"/>
        <v>T-4</v>
      </c>
      <c r="O1553">
        <f t="shared" si="73"/>
        <v>2025</v>
      </c>
      <c r="P1553" t="str">
        <f t="shared" si="74"/>
        <v>10. octubre</v>
      </c>
    </row>
    <row r="1554" spans="1:16" x14ac:dyDescent="0.35">
      <c r="A1554">
        <v>714780</v>
      </c>
      <c r="B1554" t="s">
        <v>70</v>
      </c>
      <c r="C1554" t="s">
        <v>141</v>
      </c>
      <c r="D1554" t="s">
        <v>536</v>
      </c>
      <c r="E1554" t="s">
        <v>647</v>
      </c>
      <c r="F1554" t="s">
        <v>187</v>
      </c>
      <c r="G1554" s="1">
        <v>45936</v>
      </c>
      <c r="H1554" s="1">
        <v>45937</v>
      </c>
      <c r="I1554" s="2">
        <v>1242</v>
      </c>
      <c r="J1554" t="s">
        <v>776</v>
      </c>
      <c r="K1554" t="s">
        <v>783</v>
      </c>
      <c r="L1554" t="s">
        <v>823</v>
      </c>
      <c r="M1554" t="s">
        <v>830</v>
      </c>
      <c r="N1554" t="str">
        <f t="shared" si="72"/>
        <v>T-4</v>
      </c>
      <c r="O1554">
        <f t="shared" si="73"/>
        <v>2025</v>
      </c>
      <c r="P1554" t="str">
        <f t="shared" si="74"/>
        <v>10. octubre</v>
      </c>
    </row>
    <row r="1555" spans="1:16" x14ac:dyDescent="0.35">
      <c r="A1555">
        <v>437409</v>
      </c>
      <c r="B1555" t="s">
        <v>5</v>
      </c>
      <c r="C1555" t="s">
        <v>138</v>
      </c>
      <c r="D1555" t="s">
        <v>274</v>
      </c>
      <c r="E1555" t="s">
        <v>647</v>
      </c>
      <c r="F1555" t="s">
        <v>187</v>
      </c>
      <c r="G1555" s="1">
        <v>45936</v>
      </c>
      <c r="H1555" s="1">
        <v>45939</v>
      </c>
      <c r="I1555" s="2">
        <v>2673.46</v>
      </c>
      <c r="J1555" t="s">
        <v>776</v>
      </c>
      <c r="K1555" t="s">
        <v>783</v>
      </c>
      <c r="L1555" t="s">
        <v>824</v>
      </c>
      <c r="M1555" t="s">
        <v>828</v>
      </c>
      <c r="N1555" t="str">
        <f t="shared" si="72"/>
        <v>T-4</v>
      </c>
      <c r="O1555">
        <f t="shared" si="73"/>
        <v>2025</v>
      </c>
      <c r="P1555" t="str">
        <f t="shared" si="74"/>
        <v>10. octubre</v>
      </c>
    </row>
    <row r="1556" spans="1:16" x14ac:dyDescent="0.35">
      <c r="A1556">
        <v>611039</v>
      </c>
      <c r="B1556" t="s">
        <v>13</v>
      </c>
      <c r="C1556" t="s">
        <v>138</v>
      </c>
      <c r="D1556" t="s">
        <v>155</v>
      </c>
      <c r="E1556" t="s">
        <v>647</v>
      </c>
      <c r="F1556" t="s">
        <v>187</v>
      </c>
      <c r="G1556" s="1">
        <v>45936</v>
      </c>
      <c r="H1556" s="1">
        <v>45938</v>
      </c>
      <c r="I1556" s="2">
        <v>878.18</v>
      </c>
      <c r="J1556" t="s">
        <v>776</v>
      </c>
      <c r="K1556" t="s">
        <v>783</v>
      </c>
      <c r="L1556" t="s">
        <v>823</v>
      </c>
      <c r="M1556" t="s">
        <v>830</v>
      </c>
      <c r="N1556" t="str">
        <f t="shared" si="72"/>
        <v>T-4</v>
      </c>
      <c r="O1556">
        <f t="shared" si="73"/>
        <v>2025</v>
      </c>
      <c r="P1556" t="str">
        <f t="shared" si="74"/>
        <v>10. octubre</v>
      </c>
    </row>
    <row r="1557" spans="1:16" x14ac:dyDescent="0.35">
      <c r="A1557">
        <v>452807</v>
      </c>
      <c r="B1557" t="s">
        <v>10</v>
      </c>
      <c r="C1557" t="s">
        <v>138</v>
      </c>
      <c r="D1557" t="s">
        <v>175</v>
      </c>
      <c r="E1557" t="s">
        <v>695</v>
      </c>
      <c r="F1557" t="s">
        <v>187</v>
      </c>
      <c r="G1557" s="1">
        <v>45936</v>
      </c>
      <c r="H1557" s="1">
        <v>45940</v>
      </c>
      <c r="I1557" s="2">
        <v>780</v>
      </c>
      <c r="J1557" t="s">
        <v>776</v>
      </c>
      <c r="K1557" t="s">
        <v>783</v>
      </c>
      <c r="L1557" t="s">
        <v>823</v>
      </c>
      <c r="M1557" t="s">
        <v>829</v>
      </c>
      <c r="N1557" t="str">
        <f t="shared" si="72"/>
        <v>T-4</v>
      </c>
      <c r="O1557">
        <f t="shared" si="73"/>
        <v>2025</v>
      </c>
      <c r="P1557" t="str">
        <f t="shared" si="74"/>
        <v>10. octubre</v>
      </c>
    </row>
    <row r="1558" spans="1:16" x14ac:dyDescent="0.35">
      <c r="A1558">
        <v>589108</v>
      </c>
      <c r="B1558" t="s">
        <v>27</v>
      </c>
      <c r="C1558" t="s">
        <v>138</v>
      </c>
      <c r="D1558" t="s">
        <v>583</v>
      </c>
      <c r="E1558" t="s">
        <v>695</v>
      </c>
      <c r="F1558" t="s">
        <v>187</v>
      </c>
      <c r="G1558" s="1">
        <v>45936</v>
      </c>
      <c r="H1558" s="1">
        <v>45939</v>
      </c>
      <c r="I1558" s="2">
        <v>260</v>
      </c>
      <c r="J1558" t="s">
        <v>776</v>
      </c>
      <c r="K1558" t="s">
        <v>783</v>
      </c>
      <c r="L1558" t="s">
        <v>823</v>
      </c>
      <c r="M1558" t="s">
        <v>830</v>
      </c>
      <c r="N1558" t="str">
        <f t="shared" si="72"/>
        <v>T-4</v>
      </c>
      <c r="O1558">
        <f t="shared" si="73"/>
        <v>2025</v>
      </c>
      <c r="P1558" t="str">
        <f t="shared" si="74"/>
        <v>10. octubre</v>
      </c>
    </row>
    <row r="1559" spans="1:16" x14ac:dyDescent="0.35">
      <c r="A1559">
        <v>721589</v>
      </c>
      <c r="B1559" t="s">
        <v>59</v>
      </c>
      <c r="C1559" t="s">
        <v>138</v>
      </c>
      <c r="D1559" t="s">
        <v>583</v>
      </c>
      <c r="E1559" t="s">
        <v>695</v>
      </c>
      <c r="F1559" t="s">
        <v>187</v>
      </c>
      <c r="G1559" s="1">
        <v>45936</v>
      </c>
      <c r="H1559" s="1">
        <v>45939</v>
      </c>
      <c r="I1559" s="2">
        <v>2362</v>
      </c>
      <c r="J1559" t="s">
        <v>776</v>
      </c>
      <c r="K1559" t="s">
        <v>787</v>
      </c>
      <c r="L1559" t="s">
        <v>823</v>
      </c>
      <c r="M1559" t="s">
        <v>830</v>
      </c>
      <c r="N1559" t="str">
        <f t="shared" si="72"/>
        <v>T-4</v>
      </c>
      <c r="O1559">
        <f t="shared" si="73"/>
        <v>2025</v>
      </c>
      <c r="P1559" t="str">
        <f t="shared" si="74"/>
        <v>10. octubre</v>
      </c>
    </row>
    <row r="1560" spans="1:16" x14ac:dyDescent="0.35">
      <c r="A1560">
        <v>720316</v>
      </c>
      <c r="B1560" t="s">
        <v>15</v>
      </c>
      <c r="C1560" t="s">
        <v>136</v>
      </c>
      <c r="D1560" t="s">
        <v>584</v>
      </c>
      <c r="E1560" t="s">
        <v>695</v>
      </c>
      <c r="F1560" t="s">
        <v>187</v>
      </c>
      <c r="G1560" s="1">
        <v>45936</v>
      </c>
      <c r="H1560" s="1">
        <v>45940</v>
      </c>
      <c r="I1560" s="2">
        <v>2912</v>
      </c>
      <c r="J1560" t="s">
        <v>776</v>
      </c>
      <c r="K1560" t="s">
        <v>783</v>
      </c>
      <c r="L1560" t="s">
        <v>823</v>
      </c>
      <c r="M1560" t="s">
        <v>828</v>
      </c>
      <c r="N1560" t="str">
        <f t="shared" si="72"/>
        <v>T-4</v>
      </c>
      <c r="O1560">
        <f t="shared" si="73"/>
        <v>2025</v>
      </c>
      <c r="P1560" t="str">
        <f t="shared" si="74"/>
        <v>10. octubre</v>
      </c>
    </row>
    <row r="1561" spans="1:16" x14ac:dyDescent="0.35">
      <c r="A1561">
        <v>610332</v>
      </c>
      <c r="B1561" t="s">
        <v>13</v>
      </c>
      <c r="C1561" t="s">
        <v>138</v>
      </c>
      <c r="D1561" t="s">
        <v>175</v>
      </c>
      <c r="E1561" t="s">
        <v>695</v>
      </c>
      <c r="F1561" t="s">
        <v>187</v>
      </c>
      <c r="G1561" s="1">
        <v>45936</v>
      </c>
      <c r="H1561" s="1">
        <v>45940</v>
      </c>
      <c r="I1561" s="2">
        <v>1170</v>
      </c>
      <c r="J1561" t="s">
        <v>776</v>
      </c>
      <c r="K1561" t="s">
        <v>783</v>
      </c>
      <c r="L1561" t="s">
        <v>824</v>
      </c>
      <c r="M1561" t="s">
        <v>828</v>
      </c>
      <c r="N1561" t="str">
        <f t="shared" si="72"/>
        <v>T-4</v>
      </c>
      <c r="O1561">
        <f t="shared" si="73"/>
        <v>2025</v>
      </c>
      <c r="P1561" t="str">
        <f t="shared" si="74"/>
        <v>10. octubre</v>
      </c>
    </row>
    <row r="1562" spans="1:16" x14ac:dyDescent="0.35">
      <c r="A1562">
        <v>589182</v>
      </c>
      <c r="B1562" t="s">
        <v>27</v>
      </c>
      <c r="C1562" t="s">
        <v>138</v>
      </c>
      <c r="D1562" t="s">
        <v>583</v>
      </c>
      <c r="E1562" t="s">
        <v>695</v>
      </c>
      <c r="F1562" t="s">
        <v>187</v>
      </c>
      <c r="G1562" s="1">
        <v>45936</v>
      </c>
      <c r="H1562" s="1">
        <v>45939</v>
      </c>
      <c r="I1562" s="2">
        <v>260</v>
      </c>
      <c r="J1562" t="s">
        <v>776</v>
      </c>
      <c r="K1562" t="s">
        <v>783</v>
      </c>
      <c r="L1562" t="s">
        <v>823</v>
      </c>
      <c r="M1562" t="s">
        <v>830</v>
      </c>
      <c r="N1562" t="str">
        <f t="shared" si="72"/>
        <v>T-4</v>
      </c>
      <c r="O1562">
        <f t="shared" si="73"/>
        <v>2025</v>
      </c>
      <c r="P1562" t="str">
        <f t="shared" si="74"/>
        <v>10. octubre</v>
      </c>
    </row>
    <row r="1563" spans="1:16" x14ac:dyDescent="0.35">
      <c r="A1563">
        <v>706236</v>
      </c>
      <c r="B1563" t="s">
        <v>24</v>
      </c>
      <c r="C1563" t="s">
        <v>138</v>
      </c>
      <c r="D1563" t="s">
        <v>582</v>
      </c>
      <c r="E1563" t="s">
        <v>695</v>
      </c>
      <c r="F1563" t="s">
        <v>187</v>
      </c>
      <c r="G1563" s="1">
        <v>45936</v>
      </c>
      <c r="H1563" s="1">
        <v>45939</v>
      </c>
      <c r="I1563" s="2">
        <v>301</v>
      </c>
      <c r="J1563" t="s">
        <v>776</v>
      </c>
      <c r="K1563" t="s">
        <v>783</v>
      </c>
      <c r="L1563" t="s">
        <v>823</v>
      </c>
      <c r="M1563" t="s">
        <v>829</v>
      </c>
      <c r="N1563" t="str">
        <f t="shared" si="72"/>
        <v>T-4</v>
      </c>
      <c r="O1563">
        <f t="shared" si="73"/>
        <v>2025</v>
      </c>
      <c r="P1563" t="str">
        <f t="shared" si="74"/>
        <v>10. octubre</v>
      </c>
    </row>
    <row r="1564" spans="1:16" x14ac:dyDescent="0.35">
      <c r="A1564">
        <v>718405</v>
      </c>
      <c r="B1564" t="s">
        <v>36</v>
      </c>
      <c r="C1564" t="s">
        <v>137</v>
      </c>
      <c r="D1564" t="s">
        <v>175</v>
      </c>
      <c r="E1564" t="s">
        <v>695</v>
      </c>
      <c r="F1564" t="s">
        <v>187</v>
      </c>
      <c r="G1564" s="1">
        <v>45936</v>
      </c>
      <c r="H1564" s="1">
        <v>45940</v>
      </c>
      <c r="I1564" s="2">
        <v>3510</v>
      </c>
      <c r="J1564" t="s">
        <v>776</v>
      </c>
      <c r="K1564" t="s">
        <v>783</v>
      </c>
      <c r="L1564" t="s">
        <v>823</v>
      </c>
      <c r="M1564" t="s">
        <v>830</v>
      </c>
      <c r="N1564" t="str">
        <f t="shared" si="72"/>
        <v>T-4</v>
      </c>
      <c r="O1564">
        <f t="shared" si="73"/>
        <v>2025</v>
      </c>
      <c r="P1564" t="str">
        <f t="shared" si="74"/>
        <v>10. octubre</v>
      </c>
    </row>
    <row r="1565" spans="1:16" x14ac:dyDescent="0.35">
      <c r="A1565">
        <v>717059</v>
      </c>
      <c r="B1565" t="s">
        <v>126</v>
      </c>
      <c r="C1565" t="s">
        <v>137</v>
      </c>
      <c r="D1565" t="s">
        <v>583</v>
      </c>
      <c r="E1565" t="s">
        <v>695</v>
      </c>
      <c r="F1565" t="s">
        <v>187</v>
      </c>
      <c r="G1565" s="1">
        <v>45936</v>
      </c>
      <c r="H1565" s="1">
        <v>45939</v>
      </c>
      <c r="I1565" s="2">
        <v>2080</v>
      </c>
      <c r="J1565" t="s">
        <v>776</v>
      </c>
      <c r="K1565" t="s">
        <v>783</v>
      </c>
      <c r="L1565" t="s">
        <v>823</v>
      </c>
      <c r="M1565" t="s">
        <v>830</v>
      </c>
      <c r="N1565" t="str">
        <f t="shared" si="72"/>
        <v>T-4</v>
      </c>
      <c r="O1565">
        <f t="shared" si="73"/>
        <v>2025</v>
      </c>
      <c r="P1565" t="str">
        <f t="shared" si="74"/>
        <v>10. octubre</v>
      </c>
    </row>
    <row r="1566" spans="1:16" x14ac:dyDescent="0.35">
      <c r="A1566">
        <v>428528</v>
      </c>
      <c r="B1566" t="s">
        <v>32</v>
      </c>
      <c r="C1566" t="s">
        <v>138</v>
      </c>
      <c r="D1566" t="s">
        <v>538</v>
      </c>
      <c r="E1566" t="s">
        <v>752</v>
      </c>
      <c r="F1566" t="s">
        <v>187</v>
      </c>
      <c r="G1566" s="1">
        <v>45938</v>
      </c>
      <c r="H1566" s="1">
        <v>45938</v>
      </c>
      <c r="I1566" s="2">
        <v>372.41</v>
      </c>
      <c r="J1566" t="s">
        <v>779</v>
      </c>
      <c r="K1566" t="s">
        <v>783</v>
      </c>
      <c r="L1566" t="s">
        <v>823</v>
      </c>
      <c r="M1566" t="s">
        <v>828</v>
      </c>
      <c r="N1566" t="str">
        <f t="shared" si="72"/>
        <v>T-4</v>
      </c>
      <c r="O1566">
        <f t="shared" si="73"/>
        <v>2025</v>
      </c>
      <c r="P1566" t="str">
        <f t="shared" si="74"/>
        <v>10. octubre</v>
      </c>
    </row>
    <row r="1567" spans="1:16" x14ac:dyDescent="0.35">
      <c r="A1567">
        <v>478364</v>
      </c>
      <c r="B1567" t="s">
        <v>5</v>
      </c>
      <c r="C1567" t="s">
        <v>138</v>
      </c>
      <c r="D1567" t="s">
        <v>538</v>
      </c>
      <c r="E1567" t="s">
        <v>752</v>
      </c>
      <c r="F1567" t="s">
        <v>187</v>
      </c>
      <c r="G1567" s="1">
        <v>45938</v>
      </c>
      <c r="H1567" s="1">
        <v>45938</v>
      </c>
      <c r="I1567" s="2">
        <v>206.9</v>
      </c>
      <c r="J1567" t="s">
        <v>779</v>
      </c>
      <c r="K1567" t="s">
        <v>783</v>
      </c>
      <c r="L1567" t="s">
        <v>823</v>
      </c>
      <c r="M1567" t="s">
        <v>828</v>
      </c>
      <c r="N1567" t="str">
        <f t="shared" si="72"/>
        <v>T-4</v>
      </c>
      <c r="O1567">
        <f t="shared" si="73"/>
        <v>2025</v>
      </c>
      <c r="P1567" t="str">
        <f t="shared" si="74"/>
        <v>10. octubre</v>
      </c>
    </row>
    <row r="1568" spans="1:16" x14ac:dyDescent="0.35">
      <c r="A1568">
        <v>484393</v>
      </c>
      <c r="B1568" t="s">
        <v>50</v>
      </c>
      <c r="C1568" t="s">
        <v>136</v>
      </c>
      <c r="D1568" t="s">
        <v>538</v>
      </c>
      <c r="E1568" t="s">
        <v>752</v>
      </c>
      <c r="F1568" t="s">
        <v>187</v>
      </c>
      <c r="G1568" s="1">
        <v>45923</v>
      </c>
      <c r="H1568" s="1">
        <v>45923</v>
      </c>
      <c r="I1568" s="2">
        <v>575</v>
      </c>
      <c r="J1568" t="s">
        <v>779</v>
      </c>
      <c r="K1568" t="s">
        <v>783</v>
      </c>
      <c r="L1568" t="s">
        <v>824</v>
      </c>
      <c r="M1568" t="s">
        <v>829</v>
      </c>
      <c r="N1568" t="str">
        <f t="shared" si="72"/>
        <v>T-3</v>
      </c>
      <c r="O1568">
        <f t="shared" si="73"/>
        <v>2025</v>
      </c>
      <c r="P1568" t="str">
        <f t="shared" si="74"/>
        <v>9. septiembre</v>
      </c>
    </row>
    <row r="1569" spans="1:16" x14ac:dyDescent="0.35">
      <c r="A1569">
        <v>448924</v>
      </c>
      <c r="B1569" t="s">
        <v>54</v>
      </c>
      <c r="C1569" t="s">
        <v>136</v>
      </c>
      <c r="D1569" t="s">
        <v>538</v>
      </c>
      <c r="E1569" t="s">
        <v>752</v>
      </c>
      <c r="F1569" t="s">
        <v>187</v>
      </c>
      <c r="G1569" s="1">
        <v>45924</v>
      </c>
      <c r="H1569" s="1">
        <v>45924</v>
      </c>
      <c r="I1569" s="2">
        <v>573.91</v>
      </c>
      <c r="J1569" t="s">
        <v>779</v>
      </c>
      <c r="K1569" t="s">
        <v>783</v>
      </c>
      <c r="L1569" t="s">
        <v>823</v>
      </c>
      <c r="M1569" t="s">
        <v>830</v>
      </c>
      <c r="N1569" t="str">
        <f t="shared" si="72"/>
        <v>T-3</v>
      </c>
      <c r="O1569">
        <f t="shared" si="73"/>
        <v>2025</v>
      </c>
      <c r="P1569" t="str">
        <f t="shared" si="74"/>
        <v>9. septiembre</v>
      </c>
    </row>
    <row r="1570" spans="1:16" x14ac:dyDescent="0.35">
      <c r="A1570">
        <v>310982</v>
      </c>
      <c r="B1570" t="s">
        <v>33</v>
      </c>
      <c r="C1570" t="s">
        <v>139</v>
      </c>
      <c r="D1570" t="s">
        <v>538</v>
      </c>
      <c r="E1570" t="s">
        <v>752</v>
      </c>
      <c r="F1570" t="s">
        <v>187</v>
      </c>
      <c r="G1570" s="1">
        <v>45929</v>
      </c>
      <c r="H1570" s="1">
        <v>45929</v>
      </c>
      <c r="I1570" s="2">
        <v>571.42999999999995</v>
      </c>
      <c r="J1570" t="s">
        <v>779</v>
      </c>
      <c r="K1570" t="s">
        <v>783</v>
      </c>
      <c r="L1570" t="s">
        <v>823</v>
      </c>
      <c r="M1570" t="s">
        <v>830</v>
      </c>
      <c r="N1570" t="str">
        <f t="shared" si="72"/>
        <v>T-3</v>
      </c>
      <c r="O1570">
        <f t="shared" si="73"/>
        <v>2025</v>
      </c>
      <c r="P1570" t="str">
        <f t="shared" si="74"/>
        <v>9. septiembre</v>
      </c>
    </row>
    <row r="1571" spans="1:16" x14ac:dyDescent="0.35">
      <c r="A1571">
        <v>718146</v>
      </c>
      <c r="B1571" t="s">
        <v>36</v>
      </c>
      <c r="C1571" t="s">
        <v>138</v>
      </c>
      <c r="D1571" t="s">
        <v>538</v>
      </c>
      <c r="E1571" t="s">
        <v>752</v>
      </c>
      <c r="F1571" t="s">
        <v>187</v>
      </c>
      <c r="G1571" s="1">
        <v>45930</v>
      </c>
      <c r="H1571" s="1">
        <v>45930</v>
      </c>
      <c r="I1571" s="2">
        <v>568.41999999999996</v>
      </c>
      <c r="J1571" t="s">
        <v>779</v>
      </c>
      <c r="K1571" t="s">
        <v>783</v>
      </c>
      <c r="L1571" t="s">
        <v>823</v>
      </c>
      <c r="M1571" t="s">
        <v>828</v>
      </c>
      <c r="N1571" t="str">
        <f t="shared" si="72"/>
        <v>T-3</v>
      </c>
      <c r="O1571">
        <f t="shared" si="73"/>
        <v>2025</v>
      </c>
      <c r="P1571" t="str">
        <f t="shared" si="74"/>
        <v>9. septiembre</v>
      </c>
    </row>
    <row r="1572" spans="1:16" x14ac:dyDescent="0.35">
      <c r="A1572">
        <v>609060</v>
      </c>
      <c r="B1572" t="s">
        <v>13</v>
      </c>
      <c r="C1572" t="s">
        <v>138</v>
      </c>
      <c r="D1572" t="s">
        <v>538</v>
      </c>
      <c r="E1572" t="s">
        <v>752</v>
      </c>
      <c r="F1572" t="s">
        <v>187</v>
      </c>
      <c r="G1572" s="1">
        <v>45931</v>
      </c>
      <c r="H1572" s="1">
        <v>45931</v>
      </c>
      <c r="I1572" s="2">
        <v>547.83000000000004</v>
      </c>
      <c r="J1572" t="s">
        <v>779</v>
      </c>
      <c r="K1572" t="s">
        <v>783</v>
      </c>
      <c r="L1572" t="s">
        <v>823</v>
      </c>
      <c r="M1572" t="s">
        <v>830</v>
      </c>
      <c r="N1572" t="str">
        <f t="shared" si="72"/>
        <v>T-4</v>
      </c>
      <c r="O1572">
        <f t="shared" si="73"/>
        <v>2025</v>
      </c>
      <c r="P1572" t="str">
        <f t="shared" si="74"/>
        <v>10. octubre</v>
      </c>
    </row>
    <row r="1573" spans="1:16" x14ac:dyDescent="0.35">
      <c r="A1573">
        <v>601013</v>
      </c>
      <c r="B1573" t="s">
        <v>13</v>
      </c>
      <c r="C1573" t="s">
        <v>136</v>
      </c>
      <c r="D1573" t="s">
        <v>538</v>
      </c>
      <c r="E1573" t="s">
        <v>752</v>
      </c>
      <c r="F1573" t="s">
        <v>187</v>
      </c>
      <c r="G1573" s="1">
        <v>45932</v>
      </c>
      <c r="H1573" s="1">
        <v>45932</v>
      </c>
      <c r="I1573" s="2">
        <v>525</v>
      </c>
      <c r="J1573" t="s">
        <v>779</v>
      </c>
      <c r="K1573" t="s">
        <v>783</v>
      </c>
      <c r="L1573" t="s">
        <v>823</v>
      </c>
      <c r="M1573" t="s">
        <v>829</v>
      </c>
      <c r="N1573" t="str">
        <f t="shared" si="72"/>
        <v>T-4</v>
      </c>
      <c r="O1573">
        <f t="shared" si="73"/>
        <v>2025</v>
      </c>
      <c r="P1573" t="str">
        <f t="shared" si="74"/>
        <v>10. octubre</v>
      </c>
    </row>
    <row r="1574" spans="1:16" x14ac:dyDescent="0.35">
      <c r="A1574">
        <v>713318</v>
      </c>
      <c r="B1574" t="s">
        <v>25</v>
      </c>
      <c r="C1574" t="s">
        <v>138</v>
      </c>
      <c r="D1574" t="s">
        <v>538</v>
      </c>
      <c r="E1574" t="s">
        <v>752</v>
      </c>
      <c r="F1574" t="s">
        <v>187</v>
      </c>
      <c r="G1574" s="1">
        <v>45933</v>
      </c>
      <c r="H1574" s="1">
        <v>45933</v>
      </c>
      <c r="I1574" s="2">
        <v>600</v>
      </c>
      <c r="J1574" t="s">
        <v>779</v>
      </c>
      <c r="K1574" t="s">
        <v>783</v>
      </c>
      <c r="L1574" t="s">
        <v>823</v>
      </c>
      <c r="M1574" t="s">
        <v>830</v>
      </c>
      <c r="N1574" t="str">
        <f t="shared" si="72"/>
        <v>T-4</v>
      </c>
      <c r="O1574">
        <f t="shared" si="73"/>
        <v>2025</v>
      </c>
      <c r="P1574" t="str">
        <f t="shared" si="74"/>
        <v>10. octubre</v>
      </c>
    </row>
    <row r="1575" spans="1:16" x14ac:dyDescent="0.35">
      <c r="A1575">
        <v>720919</v>
      </c>
      <c r="B1575" t="s">
        <v>53</v>
      </c>
      <c r="C1575" t="s">
        <v>137</v>
      </c>
      <c r="D1575" t="s">
        <v>538</v>
      </c>
      <c r="E1575" t="s">
        <v>752</v>
      </c>
      <c r="F1575" t="s">
        <v>187</v>
      </c>
      <c r="G1575" s="1">
        <v>45936</v>
      </c>
      <c r="H1575" s="1">
        <v>45936</v>
      </c>
      <c r="I1575" s="2">
        <v>600</v>
      </c>
      <c r="J1575" t="s">
        <v>779</v>
      </c>
      <c r="K1575" t="s">
        <v>783</v>
      </c>
      <c r="L1575" t="s">
        <v>823</v>
      </c>
      <c r="M1575" t="s">
        <v>830</v>
      </c>
      <c r="N1575" t="str">
        <f t="shared" si="72"/>
        <v>T-4</v>
      </c>
      <c r="O1575">
        <f t="shared" si="73"/>
        <v>2025</v>
      </c>
      <c r="P1575" t="str">
        <f t="shared" si="74"/>
        <v>10. octubre</v>
      </c>
    </row>
    <row r="1576" spans="1:16" x14ac:dyDescent="0.35">
      <c r="A1576">
        <v>722566</v>
      </c>
      <c r="B1576" t="s">
        <v>23</v>
      </c>
      <c r="C1576" t="s">
        <v>136</v>
      </c>
      <c r="D1576" t="s">
        <v>538</v>
      </c>
      <c r="E1576" t="s">
        <v>752</v>
      </c>
      <c r="F1576" t="s">
        <v>187</v>
      </c>
      <c r="G1576" s="1">
        <v>45940</v>
      </c>
      <c r="H1576" s="1">
        <v>45940</v>
      </c>
      <c r="I1576" s="2">
        <v>600</v>
      </c>
      <c r="J1576" t="s">
        <v>779</v>
      </c>
      <c r="K1576" t="s">
        <v>783</v>
      </c>
      <c r="L1576" t="s">
        <v>824</v>
      </c>
      <c r="M1576" t="s">
        <v>828</v>
      </c>
      <c r="N1576" t="str">
        <f t="shared" si="72"/>
        <v>T-4</v>
      </c>
      <c r="O1576">
        <f t="shared" si="73"/>
        <v>2025</v>
      </c>
      <c r="P1576" t="str">
        <f t="shared" si="74"/>
        <v>10. octubre</v>
      </c>
    </row>
    <row r="1577" spans="1:16" x14ac:dyDescent="0.35">
      <c r="A1577">
        <v>452352</v>
      </c>
      <c r="B1577" t="s">
        <v>28</v>
      </c>
      <c r="C1577" t="s">
        <v>141</v>
      </c>
      <c r="D1577" t="s">
        <v>513</v>
      </c>
      <c r="E1577" t="s">
        <v>757</v>
      </c>
      <c r="F1577" t="s">
        <v>773</v>
      </c>
      <c r="G1577" s="1">
        <v>45973</v>
      </c>
      <c r="H1577" s="1">
        <v>45987</v>
      </c>
      <c r="I1577" s="2">
        <v>3552.5</v>
      </c>
      <c r="J1577" t="s">
        <v>776</v>
      </c>
      <c r="K1577" t="s">
        <v>783</v>
      </c>
      <c r="L1577" t="s">
        <v>823</v>
      </c>
      <c r="M1577" t="s">
        <v>828</v>
      </c>
      <c r="N1577" t="str">
        <f t="shared" si="72"/>
        <v>T-4</v>
      </c>
      <c r="O1577">
        <f t="shared" si="73"/>
        <v>2025</v>
      </c>
      <c r="P1577" t="str">
        <f t="shared" si="74"/>
        <v>11. noviembre</v>
      </c>
    </row>
    <row r="1578" spans="1:16" x14ac:dyDescent="0.35">
      <c r="A1578">
        <v>400804</v>
      </c>
      <c r="B1578" t="s">
        <v>37</v>
      </c>
      <c r="C1578" t="s">
        <v>139</v>
      </c>
      <c r="D1578" t="s">
        <v>305</v>
      </c>
      <c r="E1578" t="s">
        <v>757</v>
      </c>
      <c r="F1578" t="s">
        <v>187</v>
      </c>
      <c r="G1578" s="1">
        <v>45915</v>
      </c>
      <c r="H1578" s="1">
        <v>45915</v>
      </c>
      <c r="I1578" s="2">
        <v>3552.5</v>
      </c>
      <c r="J1578" t="s">
        <v>776</v>
      </c>
      <c r="K1578" t="s">
        <v>783</v>
      </c>
      <c r="L1578" t="s">
        <v>823</v>
      </c>
      <c r="M1578" t="s">
        <v>830</v>
      </c>
      <c r="N1578" t="str">
        <f t="shared" si="72"/>
        <v>T-3</v>
      </c>
      <c r="O1578">
        <f t="shared" si="73"/>
        <v>2025</v>
      </c>
      <c r="P1578" t="str">
        <f t="shared" si="74"/>
        <v>9. septiembre</v>
      </c>
    </row>
    <row r="1579" spans="1:16" x14ac:dyDescent="0.35">
      <c r="A1579">
        <v>752346</v>
      </c>
      <c r="B1579" t="s">
        <v>31</v>
      </c>
      <c r="C1579" t="s">
        <v>138</v>
      </c>
      <c r="D1579" t="s">
        <v>514</v>
      </c>
      <c r="E1579" t="s">
        <v>757</v>
      </c>
      <c r="F1579" t="s">
        <v>187</v>
      </c>
      <c r="G1579" s="1">
        <v>45931</v>
      </c>
      <c r="H1579" s="1">
        <v>45931</v>
      </c>
      <c r="I1579" s="2">
        <v>3552.5</v>
      </c>
      <c r="J1579" t="s">
        <v>776</v>
      </c>
      <c r="K1579" t="s">
        <v>783</v>
      </c>
      <c r="L1579" t="s">
        <v>823</v>
      </c>
      <c r="M1579" t="s">
        <v>829</v>
      </c>
      <c r="N1579" t="str">
        <f t="shared" si="72"/>
        <v>T-4</v>
      </c>
      <c r="O1579">
        <f t="shared" si="73"/>
        <v>2025</v>
      </c>
      <c r="P1579" t="str">
        <f t="shared" si="74"/>
        <v>10. octubre</v>
      </c>
    </row>
    <row r="1580" spans="1:16" x14ac:dyDescent="0.35">
      <c r="A1580">
        <v>608040</v>
      </c>
      <c r="B1580" t="s">
        <v>13</v>
      </c>
      <c r="C1580" t="s">
        <v>136</v>
      </c>
      <c r="D1580" t="s">
        <v>514</v>
      </c>
      <c r="E1580" t="s">
        <v>757</v>
      </c>
      <c r="F1580" t="s">
        <v>187</v>
      </c>
      <c r="G1580" s="1">
        <v>45936</v>
      </c>
      <c r="H1580" s="1">
        <v>45936</v>
      </c>
      <c r="I1580" s="2">
        <v>3552.5</v>
      </c>
      <c r="J1580" t="s">
        <v>776</v>
      </c>
      <c r="K1580" t="s">
        <v>783</v>
      </c>
      <c r="L1580" t="s">
        <v>823</v>
      </c>
      <c r="M1580" t="s">
        <v>830</v>
      </c>
      <c r="N1580" t="str">
        <f t="shared" si="72"/>
        <v>T-4</v>
      </c>
      <c r="O1580">
        <f t="shared" si="73"/>
        <v>2025</v>
      </c>
      <c r="P1580" t="str">
        <f t="shared" si="74"/>
        <v>10. octubre</v>
      </c>
    </row>
    <row r="1581" spans="1:16" x14ac:dyDescent="0.35">
      <c r="A1581">
        <v>715595</v>
      </c>
      <c r="B1581" t="s">
        <v>5</v>
      </c>
      <c r="C1581" t="s">
        <v>138</v>
      </c>
      <c r="D1581" t="s">
        <v>476</v>
      </c>
      <c r="E1581" t="s">
        <v>714</v>
      </c>
      <c r="F1581" t="s">
        <v>187</v>
      </c>
      <c r="G1581" s="1">
        <v>45937</v>
      </c>
      <c r="H1581" s="1">
        <v>45940</v>
      </c>
      <c r="I1581" s="2">
        <v>364</v>
      </c>
      <c r="J1581" t="s">
        <v>779</v>
      </c>
      <c r="K1581" t="s">
        <v>783</v>
      </c>
      <c r="L1581" t="s">
        <v>823</v>
      </c>
      <c r="M1581" t="s">
        <v>830</v>
      </c>
      <c r="N1581" t="str">
        <f t="shared" si="72"/>
        <v>T-4</v>
      </c>
      <c r="O1581">
        <f t="shared" si="73"/>
        <v>2025</v>
      </c>
      <c r="P1581" t="str">
        <f t="shared" si="74"/>
        <v>10. octubre</v>
      </c>
    </row>
    <row r="1582" spans="1:16" x14ac:dyDescent="0.35">
      <c r="A1582">
        <v>722758</v>
      </c>
      <c r="B1582" t="s">
        <v>23</v>
      </c>
      <c r="C1582" t="s">
        <v>136</v>
      </c>
      <c r="D1582" t="s">
        <v>476</v>
      </c>
      <c r="E1582" t="s">
        <v>714</v>
      </c>
      <c r="F1582" t="s">
        <v>187</v>
      </c>
      <c r="G1582" s="1">
        <v>45937</v>
      </c>
      <c r="H1582" s="1">
        <v>45940</v>
      </c>
      <c r="I1582" s="2">
        <v>1274</v>
      </c>
      <c r="J1582" t="s">
        <v>779</v>
      </c>
      <c r="K1582" t="s">
        <v>783</v>
      </c>
      <c r="L1582" t="s">
        <v>824</v>
      </c>
      <c r="M1582" t="s">
        <v>828</v>
      </c>
      <c r="N1582" t="str">
        <f t="shared" si="72"/>
        <v>T-4</v>
      </c>
      <c r="O1582">
        <f t="shared" si="73"/>
        <v>2025</v>
      </c>
      <c r="P1582" t="str">
        <f t="shared" si="74"/>
        <v>10. octubre</v>
      </c>
    </row>
    <row r="1583" spans="1:16" x14ac:dyDescent="0.35">
      <c r="A1583">
        <v>709723</v>
      </c>
      <c r="B1583" t="s">
        <v>23</v>
      </c>
      <c r="C1583" t="s">
        <v>137</v>
      </c>
      <c r="D1583" t="s">
        <v>476</v>
      </c>
      <c r="E1583" t="s">
        <v>714</v>
      </c>
      <c r="F1583" t="s">
        <v>187</v>
      </c>
      <c r="G1583" s="1">
        <v>45937</v>
      </c>
      <c r="H1583" s="1">
        <v>45940</v>
      </c>
      <c r="I1583" s="2">
        <v>1820</v>
      </c>
      <c r="J1583" t="s">
        <v>779</v>
      </c>
      <c r="K1583" t="s">
        <v>800</v>
      </c>
      <c r="L1583" t="s">
        <v>823</v>
      </c>
      <c r="M1583" t="s">
        <v>828</v>
      </c>
      <c r="N1583" t="str">
        <f t="shared" si="72"/>
        <v>T-4</v>
      </c>
      <c r="O1583">
        <f t="shared" si="73"/>
        <v>2025</v>
      </c>
      <c r="P1583" t="str">
        <f t="shared" si="74"/>
        <v>10. octubre</v>
      </c>
    </row>
    <row r="1584" spans="1:16" x14ac:dyDescent="0.35">
      <c r="A1584">
        <v>608003</v>
      </c>
      <c r="B1584" t="s">
        <v>13</v>
      </c>
      <c r="C1584" t="s">
        <v>138</v>
      </c>
      <c r="D1584" t="s">
        <v>585</v>
      </c>
      <c r="E1584" t="s">
        <v>754</v>
      </c>
      <c r="F1584" t="s">
        <v>187</v>
      </c>
      <c r="G1584" s="1">
        <v>45943</v>
      </c>
      <c r="H1584" s="1">
        <v>45946</v>
      </c>
      <c r="I1584" s="2">
        <v>533.33000000000004</v>
      </c>
      <c r="J1584" t="s">
        <v>776</v>
      </c>
      <c r="K1584" t="s">
        <v>783</v>
      </c>
      <c r="L1584" t="s">
        <v>823</v>
      </c>
      <c r="M1584" t="s">
        <v>829</v>
      </c>
      <c r="N1584" t="str">
        <f t="shared" si="72"/>
        <v>T-4</v>
      </c>
      <c r="O1584">
        <f t="shared" si="73"/>
        <v>2025</v>
      </c>
      <c r="P1584" t="str">
        <f t="shared" si="74"/>
        <v>10. octubre</v>
      </c>
    </row>
    <row r="1585" spans="1:16" x14ac:dyDescent="0.35">
      <c r="A1585">
        <v>610762</v>
      </c>
      <c r="B1585" t="s">
        <v>13</v>
      </c>
      <c r="C1585" t="s">
        <v>138</v>
      </c>
      <c r="D1585" t="s">
        <v>585</v>
      </c>
      <c r="E1585" t="s">
        <v>754</v>
      </c>
      <c r="F1585" t="s">
        <v>187</v>
      </c>
      <c r="G1585" s="1">
        <v>45943</v>
      </c>
      <c r="H1585" s="1">
        <v>45946</v>
      </c>
      <c r="I1585" s="2">
        <v>2133.33</v>
      </c>
      <c r="J1585" t="s">
        <v>776</v>
      </c>
      <c r="K1585" t="s">
        <v>785</v>
      </c>
      <c r="L1585" t="s">
        <v>823</v>
      </c>
      <c r="M1585" t="s">
        <v>830</v>
      </c>
      <c r="N1585" t="str">
        <f t="shared" si="72"/>
        <v>T-4</v>
      </c>
      <c r="O1585">
        <f t="shared" si="73"/>
        <v>2025</v>
      </c>
      <c r="P1585" t="str">
        <f t="shared" si="74"/>
        <v>10. octubre</v>
      </c>
    </row>
    <row r="1586" spans="1:16" x14ac:dyDescent="0.35">
      <c r="A1586">
        <v>565355</v>
      </c>
      <c r="B1586" t="s">
        <v>5</v>
      </c>
      <c r="C1586" t="s">
        <v>138</v>
      </c>
      <c r="D1586" t="s">
        <v>585</v>
      </c>
      <c r="E1586" t="s">
        <v>754</v>
      </c>
      <c r="F1586" t="s">
        <v>187</v>
      </c>
      <c r="G1586" s="1">
        <v>45943</v>
      </c>
      <c r="H1586" s="1">
        <v>45946</v>
      </c>
      <c r="I1586" s="2">
        <v>1066.67</v>
      </c>
      <c r="J1586" t="s">
        <v>776</v>
      </c>
      <c r="K1586" t="s">
        <v>789</v>
      </c>
      <c r="L1586" t="s">
        <v>823</v>
      </c>
      <c r="M1586" t="s">
        <v>830</v>
      </c>
      <c r="N1586" t="str">
        <f t="shared" si="72"/>
        <v>T-4</v>
      </c>
      <c r="O1586">
        <f t="shared" si="73"/>
        <v>2025</v>
      </c>
      <c r="P1586" t="str">
        <f t="shared" si="74"/>
        <v>10. octubre</v>
      </c>
    </row>
    <row r="1587" spans="1:16" x14ac:dyDescent="0.35">
      <c r="A1587">
        <v>721954</v>
      </c>
      <c r="B1587" t="s">
        <v>5</v>
      </c>
      <c r="C1587" t="s">
        <v>138</v>
      </c>
      <c r="D1587" t="s">
        <v>585</v>
      </c>
      <c r="E1587" t="s">
        <v>754</v>
      </c>
      <c r="F1587" t="s">
        <v>187</v>
      </c>
      <c r="G1587" s="1">
        <v>45943</v>
      </c>
      <c r="H1587" s="1">
        <v>45946</v>
      </c>
      <c r="I1587" s="2">
        <v>4266.67</v>
      </c>
      <c r="J1587" t="s">
        <v>776</v>
      </c>
      <c r="K1587" t="s">
        <v>786</v>
      </c>
      <c r="L1587" t="s">
        <v>823</v>
      </c>
      <c r="M1587" t="s">
        <v>828</v>
      </c>
      <c r="N1587" t="str">
        <f t="shared" si="72"/>
        <v>T-4</v>
      </c>
      <c r="O1587">
        <f t="shared" si="73"/>
        <v>2025</v>
      </c>
      <c r="P1587" t="str">
        <f t="shared" si="74"/>
        <v>10. octubre</v>
      </c>
    </row>
    <row r="1588" spans="1:16" x14ac:dyDescent="0.35">
      <c r="A1588">
        <v>494870</v>
      </c>
      <c r="B1588" t="s">
        <v>25</v>
      </c>
      <c r="C1588" t="s">
        <v>138</v>
      </c>
      <c r="D1588" t="s">
        <v>519</v>
      </c>
      <c r="E1588" t="s">
        <v>737</v>
      </c>
      <c r="F1588" t="s">
        <v>187</v>
      </c>
      <c r="G1588" s="1">
        <v>45943</v>
      </c>
      <c r="H1588" s="1">
        <v>45947</v>
      </c>
      <c r="I1588" s="2">
        <v>325</v>
      </c>
      <c r="J1588" t="s">
        <v>776</v>
      </c>
      <c r="K1588" t="s">
        <v>783</v>
      </c>
      <c r="L1588" t="s">
        <v>823</v>
      </c>
      <c r="M1588" t="s">
        <v>830</v>
      </c>
      <c r="N1588" t="str">
        <f t="shared" si="72"/>
        <v>T-4</v>
      </c>
      <c r="O1588">
        <f t="shared" si="73"/>
        <v>2025</v>
      </c>
      <c r="P1588" t="str">
        <f t="shared" si="74"/>
        <v>10. octubre</v>
      </c>
    </row>
    <row r="1589" spans="1:16" x14ac:dyDescent="0.35">
      <c r="A1589">
        <v>603957</v>
      </c>
      <c r="B1589" t="s">
        <v>13</v>
      </c>
      <c r="C1589" t="s">
        <v>138</v>
      </c>
      <c r="D1589" t="s">
        <v>507</v>
      </c>
      <c r="E1589" t="s">
        <v>737</v>
      </c>
      <c r="F1589" t="s">
        <v>187</v>
      </c>
      <c r="G1589" s="1">
        <v>45943</v>
      </c>
      <c r="H1589" s="1">
        <v>45946</v>
      </c>
      <c r="I1589" s="2">
        <v>1040</v>
      </c>
      <c r="J1589" t="s">
        <v>776</v>
      </c>
      <c r="K1589" t="s">
        <v>783</v>
      </c>
      <c r="L1589" t="s">
        <v>824</v>
      </c>
      <c r="M1589" t="s">
        <v>829</v>
      </c>
      <c r="N1589" t="str">
        <f t="shared" si="72"/>
        <v>T-4</v>
      </c>
      <c r="O1589">
        <f t="shared" si="73"/>
        <v>2025</v>
      </c>
      <c r="P1589" t="str">
        <f t="shared" si="74"/>
        <v>10. octubre</v>
      </c>
    </row>
    <row r="1590" spans="1:16" x14ac:dyDescent="0.35">
      <c r="A1590">
        <v>503947</v>
      </c>
      <c r="B1590" t="s">
        <v>5</v>
      </c>
      <c r="C1590" t="s">
        <v>138</v>
      </c>
      <c r="D1590" t="s">
        <v>519</v>
      </c>
      <c r="E1590" t="s">
        <v>737</v>
      </c>
      <c r="F1590" t="s">
        <v>187</v>
      </c>
      <c r="G1590" s="1">
        <v>45943</v>
      </c>
      <c r="H1590" s="1">
        <v>45947</v>
      </c>
      <c r="I1590" s="2">
        <v>1300</v>
      </c>
      <c r="J1590" t="s">
        <v>776</v>
      </c>
      <c r="K1590" t="s">
        <v>797</v>
      </c>
      <c r="L1590" t="s">
        <v>823</v>
      </c>
      <c r="M1590" t="s">
        <v>830</v>
      </c>
      <c r="N1590" t="str">
        <f t="shared" si="72"/>
        <v>T-4</v>
      </c>
      <c r="O1590">
        <f t="shared" si="73"/>
        <v>2025</v>
      </c>
      <c r="P1590" t="str">
        <f t="shared" si="74"/>
        <v>10. octubre</v>
      </c>
    </row>
    <row r="1591" spans="1:16" x14ac:dyDescent="0.35">
      <c r="A1591">
        <v>409312</v>
      </c>
      <c r="B1591" t="s">
        <v>19</v>
      </c>
      <c r="C1591" t="s">
        <v>138</v>
      </c>
      <c r="D1591" t="s">
        <v>586</v>
      </c>
      <c r="E1591" t="s">
        <v>737</v>
      </c>
      <c r="F1591" t="s">
        <v>187</v>
      </c>
      <c r="G1591" s="1">
        <v>45943</v>
      </c>
      <c r="H1591" s="1">
        <v>45947</v>
      </c>
      <c r="I1591" s="2">
        <v>1560</v>
      </c>
      <c r="J1591" t="s">
        <v>776</v>
      </c>
      <c r="K1591" t="s">
        <v>797</v>
      </c>
      <c r="L1591" t="s">
        <v>823</v>
      </c>
      <c r="M1591" t="s">
        <v>830</v>
      </c>
      <c r="N1591" t="str">
        <f t="shared" si="72"/>
        <v>T-4</v>
      </c>
      <c r="O1591">
        <f t="shared" si="73"/>
        <v>2025</v>
      </c>
      <c r="P1591" t="str">
        <f t="shared" si="74"/>
        <v>10. octubre</v>
      </c>
    </row>
    <row r="1592" spans="1:16" x14ac:dyDescent="0.35">
      <c r="A1592">
        <v>705280</v>
      </c>
      <c r="B1592" t="s">
        <v>37</v>
      </c>
      <c r="C1592" t="s">
        <v>138</v>
      </c>
      <c r="D1592" t="s">
        <v>436</v>
      </c>
      <c r="E1592" t="s">
        <v>737</v>
      </c>
      <c r="F1592" t="s">
        <v>187</v>
      </c>
      <c r="G1592" s="1">
        <v>45943</v>
      </c>
      <c r="H1592" s="1">
        <v>45947</v>
      </c>
      <c r="I1592" s="2">
        <v>5200</v>
      </c>
      <c r="J1592" t="s">
        <v>776</v>
      </c>
      <c r="K1592" t="s">
        <v>786</v>
      </c>
      <c r="L1592" t="s">
        <v>823</v>
      </c>
      <c r="M1592" t="s">
        <v>828</v>
      </c>
      <c r="N1592" t="str">
        <f t="shared" si="72"/>
        <v>T-4</v>
      </c>
      <c r="O1592">
        <f t="shared" si="73"/>
        <v>2025</v>
      </c>
      <c r="P1592" t="str">
        <f t="shared" si="74"/>
        <v>10. octubre</v>
      </c>
    </row>
    <row r="1593" spans="1:16" x14ac:dyDescent="0.35">
      <c r="A1593">
        <v>251339</v>
      </c>
      <c r="B1593" t="s">
        <v>22</v>
      </c>
      <c r="C1593" t="s">
        <v>138</v>
      </c>
      <c r="D1593" t="s">
        <v>436</v>
      </c>
      <c r="E1593" t="s">
        <v>737</v>
      </c>
      <c r="F1593" t="s">
        <v>187</v>
      </c>
      <c r="G1593" s="1">
        <v>45943</v>
      </c>
      <c r="H1593" s="1">
        <v>45947</v>
      </c>
      <c r="I1593" s="2">
        <v>1300</v>
      </c>
      <c r="J1593" t="s">
        <v>776</v>
      </c>
      <c r="K1593" t="s">
        <v>786</v>
      </c>
      <c r="L1593" t="s">
        <v>823</v>
      </c>
      <c r="M1593" t="s">
        <v>828</v>
      </c>
      <c r="N1593" t="str">
        <f t="shared" si="72"/>
        <v>T-4</v>
      </c>
      <c r="O1593">
        <f t="shared" si="73"/>
        <v>2025</v>
      </c>
      <c r="P1593" t="str">
        <f t="shared" si="74"/>
        <v>10. octubre</v>
      </c>
    </row>
    <row r="1594" spans="1:16" x14ac:dyDescent="0.35">
      <c r="A1594">
        <v>403057</v>
      </c>
      <c r="B1594" t="s">
        <v>5</v>
      </c>
      <c r="C1594" t="s">
        <v>138</v>
      </c>
      <c r="D1594" t="s">
        <v>507</v>
      </c>
      <c r="E1594" t="s">
        <v>737</v>
      </c>
      <c r="F1594" t="s">
        <v>187</v>
      </c>
      <c r="G1594" s="1">
        <v>45943</v>
      </c>
      <c r="H1594" s="1">
        <v>45946</v>
      </c>
      <c r="I1594" s="2">
        <v>1560</v>
      </c>
      <c r="J1594" t="s">
        <v>776</v>
      </c>
      <c r="K1594" t="s">
        <v>786</v>
      </c>
      <c r="L1594" t="s">
        <v>823</v>
      </c>
      <c r="M1594" t="s">
        <v>830</v>
      </c>
      <c r="N1594" t="str">
        <f t="shared" si="72"/>
        <v>T-4</v>
      </c>
      <c r="O1594">
        <f t="shared" si="73"/>
        <v>2025</v>
      </c>
      <c r="P1594" t="str">
        <f t="shared" si="74"/>
        <v>10. octubre</v>
      </c>
    </row>
    <row r="1595" spans="1:16" x14ac:dyDescent="0.35">
      <c r="A1595">
        <v>713866</v>
      </c>
      <c r="B1595" t="s">
        <v>27</v>
      </c>
      <c r="C1595" t="s">
        <v>138</v>
      </c>
      <c r="D1595" t="s">
        <v>519</v>
      </c>
      <c r="E1595" t="s">
        <v>737</v>
      </c>
      <c r="F1595" t="s">
        <v>187</v>
      </c>
      <c r="G1595" s="1">
        <v>45943</v>
      </c>
      <c r="H1595" s="1">
        <v>45947</v>
      </c>
      <c r="I1595" s="2">
        <v>2600</v>
      </c>
      <c r="J1595" t="s">
        <v>776</v>
      </c>
      <c r="K1595" t="s">
        <v>786</v>
      </c>
      <c r="L1595" t="s">
        <v>823</v>
      </c>
      <c r="M1595" t="s">
        <v>829</v>
      </c>
      <c r="N1595" t="str">
        <f t="shared" si="72"/>
        <v>T-4</v>
      </c>
      <c r="O1595">
        <f t="shared" si="73"/>
        <v>2025</v>
      </c>
      <c r="P1595" t="str">
        <f t="shared" si="74"/>
        <v>10. octubre</v>
      </c>
    </row>
    <row r="1596" spans="1:16" x14ac:dyDescent="0.35">
      <c r="A1596">
        <v>473101</v>
      </c>
      <c r="B1596" t="s">
        <v>30</v>
      </c>
      <c r="C1596" t="s">
        <v>136</v>
      </c>
      <c r="D1596" t="s">
        <v>436</v>
      </c>
      <c r="E1596" t="s">
        <v>737</v>
      </c>
      <c r="F1596" t="s">
        <v>187</v>
      </c>
      <c r="G1596" s="1">
        <v>45943</v>
      </c>
      <c r="H1596" s="1">
        <v>45947</v>
      </c>
      <c r="I1596" s="2">
        <v>650</v>
      </c>
      <c r="J1596" t="s">
        <v>776</v>
      </c>
      <c r="K1596" t="s">
        <v>786</v>
      </c>
      <c r="L1596" t="s">
        <v>823</v>
      </c>
      <c r="M1596" t="s">
        <v>830</v>
      </c>
      <c r="N1596" t="str">
        <f t="shared" si="72"/>
        <v>T-4</v>
      </c>
      <c r="O1596">
        <f t="shared" si="73"/>
        <v>2025</v>
      </c>
      <c r="P1596" t="str">
        <f t="shared" si="74"/>
        <v>10. octubre</v>
      </c>
    </row>
    <row r="1597" spans="1:16" x14ac:dyDescent="0.35">
      <c r="A1597">
        <v>712306</v>
      </c>
      <c r="B1597" t="s">
        <v>5</v>
      </c>
      <c r="C1597" t="s">
        <v>138</v>
      </c>
      <c r="D1597" t="s">
        <v>436</v>
      </c>
      <c r="E1597" t="s">
        <v>737</v>
      </c>
      <c r="F1597" t="s">
        <v>187</v>
      </c>
      <c r="G1597" s="1">
        <v>45943</v>
      </c>
      <c r="H1597" s="1">
        <v>45947</v>
      </c>
      <c r="I1597" s="2">
        <v>650</v>
      </c>
      <c r="J1597" t="s">
        <v>776</v>
      </c>
      <c r="K1597" t="s">
        <v>791</v>
      </c>
      <c r="L1597" t="s">
        <v>824</v>
      </c>
      <c r="M1597" t="s">
        <v>830</v>
      </c>
      <c r="N1597" t="str">
        <f t="shared" si="72"/>
        <v>T-4</v>
      </c>
      <c r="O1597">
        <f t="shared" si="73"/>
        <v>2025</v>
      </c>
      <c r="P1597" t="str">
        <f t="shared" si="74"/>
        <v>10. octubre</v>
      </c>
    </row>
    <row r="1598" spans="1:16" x14ac:dyDescent="0.35">
      <c r="A1598">
        <v>469228</v>
      </c>
      <c r="B1598" t="s">
        <v>20</v>
      </c>
      <c r="C1598" t="s">
        <v>136</v>
      </c>
      <c r="D1598" t="s">
        <v>507</v>
      </c>
      <c r="E1598" t="s">
        <v>737</v>
      </c>
      <c r="F1598" t="s">
        <v>187</v>
      </c>
      <c r="G1598" s="1">
        <v>45943</v>
      </c>
      <c r="H1598" s="1">
        <v>45946</v>
      </c>
      <c r="I1598" s="2">
        <v>2080</v>
      </c>
      <c r="J1598" t="s">
        <v>776</v>
      </c>
      <c r="K1598" t="s">
        <v>785</v>
      </c>
      <c r="L1598" t="s">
        <v>823</v>
      </c>
      <c r="M1598" t="s">
        <v>828</v>
      </c>
      <c r="N1598" t="str">
        <f t="shared" si="72"/>
        <v>T-4</v>
      </c>
      <c r="O1598">
        <f t="shared" si="73"/>
        <v>2025</v>
      </c>
      <c r="P1598" t="str">
        <f t="shared" si="74"/>
        <v>10. octubre</v>
      </c>
    </row>
    <row r="1599" spans="1:16" x14ac:dyDescent="0.35">
      <c r="A1599">
        <v>135057</v>
      </c>
      <c r="B1599" t="s">
        <v>13</v>
      </c>
      <c r="C1599" t="s">
        <v>138</v>
      </c>
      <c r="D1599" t="s">
        <v>519</v>
      </c>
      <c r="E1599" t="s">
        <v>737</v>
      </c>
      <c r="F1599" t="s">
        <v>187</v>
      </c>
      <c r="G1599" s="1">
        <v>45943</v>
      </c>
      <c r="H1599" s="1">
        <v>45947</v>
      </c>
      <c r="I1599" s="2">
        <v>1950</v>
      </c>
      <c r="J1599" t="s">
        <v>776</v>
      </c>
      <c r="K1599" t="s">
        <v>786</v>
      </c>
      <c r="L1599" t="s">
        <v>823</v>
      </c>
      <c r="M1599" t="s">
        <v>828</v>
      </c>
      <c r="N1599" t="str">
        <f t="shared" si="72"/>
        <v>T-4</v>
      </c>
      <c r="O1599">
        <f t="shared" si="73"/>
        <v>2025</v>
      </c>
      <c r="P1599" t="str">
        <f t="shared" si="74"/>
        <v>10. octubre</v>
      </c>
    </row>
    <row r="1600" spans="1:16" x14ac:dyDescent="0.35">
      <c r="A1600">
        <v>600493</v>
      </c>
      <c r="B1600" t="s">
        <v>13</v>
      </c>
      <c r="C1600" t="s">
        <v>138</v>
      </c>
      <c r="D1600" t="s">
        <v>586</v>
      </c>
      <c r="E1600" t="s">
        <v>737</v>
      </c>
      <c r="F1600" t="s">
        <v>187</v>
      </c>
      <c r="G1600" s="1">
        <v>45943</v>
      </c>
      <c r="H1600" s="1">
        <v>45947</v>
      </c>
      <c r="I1600" s="2">
        <v>5070</v>
      </c>
      <c r="J1600" t="s">
        <v>776</v>
      </c>
      <c r="K1600" t="s">
        <v>783</v>
      </c>
      <c r="L1600" t="s">
        <v>823</v>
      </c>
      <c r="M1600" t="s">
        <v>829</v>
      </c>
      <c r="N1600" t="str">
        <f t="shared" si="72"/>
        <v>T-4</v>
      </c>
      <c r="O1600">
        <f t="shared" si="73"/>
        <v>2025</v>
      </c>
      <c r="P1600" t="str">
        <f t="shared" si="74"/>
        <v>10. octubre</v>
      </c>
    </row>
    <row r="1601" spans="1:16" x14ac:dyDescent="0.35">
      <c r="A1601">
        <v>601192</v>
      </c>
      <c r="B1601" t="s">
        <v>13</v>
      </c>
      <c r="C1601" t="s">
        <v>138</v>
      </c>
      <c r="D1601" t="s">
        <v>470</v>
      </c>
      <c r="E1601" t="s">
        <v>652</v>
      </c>
      <c r="F1601" t="s">
        <v>187</v>
      </c>
      <c r="G1601" s="1">
        <v>45936</v>
      </c>
      <c r="H1601" s="1">
        <v>45939</v>
      </c>
      <c r="I1601" s="2">
        <v>260</v>
      </c>
      <c r="J1601" t="s">
        <v>776</v>
      </c>
      <c r="K1601" t="s">
        <v>800</v>
      </c>
      <c r="L1601" t="s">
        <v>823</v>
      </c>
      <c r="M1601" t="s">
        <v>830</v>
      </c>
      <c r="N1601" t="str">
        <f t="shared" si="72"/>
        <v>T-4</v>
      </c>
      <c r="O1601">
        <f t="shared" si="73"/>
        <v>2025</v>
      </c>
      <c r="P1601" t="str">
        <f t="shared" si="74"/>
        <v>10. octubre</v>
      </c>
    </row>
    <row r="1602" spans="1:16" x14ac:dyDescent="0.35">
      <c r="A1602">
        <v>152104</v>
      </c>
      <c r="B1602" t="s">
        <v>105</v>
      </c>
      <c r="C1602" t="s">
        <v>139</v>
      </c>
      <c r="D1602" t="s">
        <v>468</v>
      </c>
      <c r="E1602" t="s">
        <v>652</v>
      </c>
      <c r="F1602" t="s">
        <v>187</v>
      </c>
      <c r="G1602" s="1">
        <v>45936</v>
      </c>
      <c r="H1602" s="1">
        <v>45939</v>
      </c>
      <c r="I1602" s="2">
        <v>624</v>
      </c>
      <c r="J1602" t="s">
        <v>776</v>
      </c>
      <c r="K1602" t="s">
        <v>783</v>
      </c>
      <c r="L1602" t="s">
        <v>823</v>
      </c>
      <c r="M1602" t="s">
        <v>830</v>
      </c>
      <c r="N1602" t="str">
        <f t="shared" si="72"/>
        <v>T-4</v>
      </c>
      <c r="O1602">
        <f t="shared" si="73"/>
        <v>2025</v>
      </c>
      <c r="P1602" t="str">
        <f t="shared" si="74"/>
        <v>10. octubre</v>
      </c>
    </row>
    <row r="1603" spans="1:16" x14ac:dyDescent="0.35">
      <c r="A1603">
        <v>752145</v>
      </c>
      <c r="B1603" t="s">
        <v>31</v>
      </c>
      <c r="C1603" t="s">
        <v>137</v>
      </c>
      <c r="D1603" t="s">
        <v>470</v>
      </c>
      <c r="E1603" t="s">
        <v>652</v>
      </c>
      <c r="F1603" t="s">
        <v>187</v>
      </c>
      <c r="G1603" s="1">
        <v>45936</v>
      </c>
      <c r="H1603" s="1">
        <v>45939</v>
      </c>
      <c r="I1603" s="2">
        <v>3120</v>
      </c>
      <c r="J1603" t="s">
        <v>776</v>
      </c>
      <c r="K1603" t="s">
        <v>783</v>
      </c>
      <c r="L1603" t="s">
        <v>824</v>
      </c>
      <c r="M1603" t="s">
        <v>828</v>
      </c>
      <c r="N1603" t="str">
        <f t="shared" ref="N1603:N1666" si="75">"T-" &amp; ROUNDUP((MONTH(G1603)/3), 0)</f>
        <v>T-4</v>
      </c>
      <c r="O1603">
        <f t="shared" ref="O1603:O1666" si="76">YEAR(G1603)</f>
        <v>2025</v>
      </c>
      <c r="P1603" t="str">
        <f t="shared" ref="P1603:P1666" si="77">MONTH(G1603) &amp; ". " &amp; TEXT(G1603, "MMMM")</f>
        <v>10. octubre</v>
      </c>
    </row>
    <row r="1604" spans="1:16" x14ac:dyDescent="0.35">
      <c r="A1604">
        <v>476503</v>
      </c>
      <c r="B1604" t="s">
        <v>31</v>
      </c>
      <c r="C1604" t="s">
        <v>138</v>
      </c>
      <c r="D1604" t="s">
        <v>378</v>
      </c>
      <c r="E1604" t="s">
        <v>652</v>
      </c>
      <c r="F1604" t="s">
        <v>187</v>
      </c>
      <c r="G1604" s="1">
        <v>45929</v>
      </c>
      <c r="H1604" s="1">
        <v>45932</v>
      </c>
      <c r="I1604" s="2">
        <v>208</v>
      </c>
      <c r="J1604" t="s">
        <v>776</v>
      </c>
      <c r="K1604" t="s">
        <v>786</v>
      </c>
      <c r="L1604" t="s">
        <v>823</v>
      </c>
      <c r="M1604" t="s">
        <v>830</v>
      </c>
      <c r="N1604" t="str">
        <f t="shared" si="75"/>
        <v>T-3</v>
      </c>
      <c r="O1604">
        <f t="shared" si="76"/>
        <v>2025</v>
      </c>
      <c r="P1604" t="str">
        <f t="shared" si="77"/>
        <v>9. septiembre</v>
      </c>
    </row>
    <row r="1605" spans="1:16" x14ac:dyDescent="0.35">
      <c r="A1605">
        <v>476709</v>
      </c>
      <c r="B1605" t="s">
        <v>23</v>
      </c>
      <c r="C1605" t="s">
        <v>138</v>
      </c>
      <c r="D1605" t="s">
        <v>470</v>
      </c>
      <c r="E1605" t="s">
        <v>652</v>
      </c>
      <c r="F1605" t="s">
        <v>187</v>
      </c>
      <c r="G1605" s="1">
        <v>45936</v>
      </c>
      <c r="H1605" s="1">
        <v>45939</v>
      </c>
      <c r="I1605" s="2">
        <v>242.57</v>
      </c>
      <c r="J1605" t="s">
        <v>776</v>
      </c>
      <c r="K1605" t="s">
        <v>783</v>
      </c>
      <c r="L1605" t="s">
        <v>823</v>
      </c>
      <c r="M1605" t="s">
        <v>829</v>
      </c>
      <c r="N1605" t="str">
        <f t="shared" si="75"/>
        <v>T-4</v>
      </c>
      <c r="O1605">
        <f t="shared" si="76"/>
        <v>2025</v>
      </c>
      <c r="P1605" t="str">
        <f t="shared" si="77"/>
        <v>10. octubre</v>
      </c>
    </row>
    <row r="1606" spans="1:16" x14ac:dyDescent="0.35">
      <c r="A1606">
        <v>720948</v>
      </c>
      <c r="B1606" t="s">
        <v>46</v>
      </c>
      <c r="C1606" t="s">
        <v>138</v>
      </c>
      <c r="D1606" t="s">
        <v>468</v>
      </c>
      <c r="E1606" t="s">
        <v>652</v>
      </c>
      <c r="F1606" t="s">
        <v>187</v>
      </c>
      <c r="G1606" s="1">
        <v>45936</v>
      </c>
      <c r="H1606" s="1">
        <v>45939</v>
      </c>
      <c r="I1606" s="2">
        <v>208</v>
      </c>
      <c r="J1606" t="s">
        <v>776</v>
      </c>
      <c r="K1606" t="s">
        <v>785</v>
      </c>
      <c r="L1606" t="s">
        <v>823</v>
      </c>
      <c r="M1606" t="s">
        <v>830</v>
      </c>
      <c r="N1606" t="str">
        <f t="shared" si="75"/>
        <v>T-4</v>
      </c>
      <c r="O1606">
        <f t="shared" si="76"/>
        <v>2025</v>
      </c>
      <c r="P1606" t="str">
        <f t="shared" si="77"/>
        <v>10. octubre</v>
      </c>
    </row>
    <row r="1607" spans="1:16" x14ac:dyDescent="0.35">
      <c r="A1607">
        <v>714655</v>
      </c>
      <c r="B1607" t="s">
        <v>42</v>
      </c>
      <c r="C1607" t="s">
        <v>136</v>
      </c>
      <c r="D1607" t="s">
        <v>378</v>
      </c>
      <c r="E1607" t="s">
        <v>652</v>
      </c>
      <c r="F1607" t="s">
        <v>187</v>
      </c>
      <c r="G1607" s="1">
        <v>45929</v>
      </c>
      <c r="H1607" s="1">
        <v>45932</v>
      </c>
      <c r="I1607" s="2">
        <v>3328</v>
      </c>
      <c r="J1607" t="s">
        <v>776</v>
      </c>
      <c r="K1607" t="s">
        <v>783</v>
      </c>
      <c r="L1607" t="s">
        <v>823</v>
      </c>
      <c r="M1607" t="s">
        <v>830</v>
      </c>
      <c r="N1607" t="str">
        <f t="shared" si="75"/>
        <v>T-3</v>
      </c>
      <c r="O1607">
        <f t="shared" si="76"/>
        <v>2025</v>
      </c>
      <c r="P1607" t="str">
        <f t="shared" si="77"/>
        <v>9. septiembre</v>
      </c>
    </row>
    <row r="1608" spans="1:16" x14ac:dyDescent="0.35">
      <c r="A1608">
        <v>566766</v>
      </c>
      <c r="B1608" t="s">
        <v>30</v>
      </c>
      <c r="C1608" t="s">
        <v>138</v>
      </c>
      <c r="D1608" t="s">
        <v>468</v>
      </c>
      <c r="E1608" t="s">
        <v>652</v>
      </c>
      <c r="F1608" t="s">
        <v>187</v>
      </c>
      <c r="G1608" s="1">
        <v>45936</v>
      </c>
      <c r="H1608" s="1">
        <v>45939</v>
      </c>
      <c r="I1608" s="2">
        <v>1456</v>
      </c>
      <c r="J1608" t="s">
        <v>776</v>
      </c>
      <c r="K1608" t="s">
        <v>783</v>
      </c>
      <c r="L1608" t="s">
        <v>823</v>
      </c>
      <c r="M1608" t="s">
        <v>828</v>
      </c>
      <c r="N1608" t="str">
        <f t="shared" si="75"/>
        <v>T-4</v>
      </c>
      <c r="O1608">
        <f t="shared" si="76"/>
        <v>2025</v>
      </c>
      <c r="P1608" t="str">
        <f t="shared" si="77"/>
        <v>10. octubre</v>
      </c>
    </row>
    <row r="1609" spans="1:16" x14ac:dyDescent="0.35">
      <c r="A1609">
        <v>611007</v>
      </c>
      <c r="B1609" t="s">
        <v>13</v>
      </c>
      <c r="C1609" t="s">
        <v>136</v>
      </c>
      <c r="D1609" t="s">
        <v>378</v>
      </c>
      <c r="E1609" t="s">
        <v>652</v>
      </c>
      <c r="F1609" t="s">
        <v>187</v>
      </c>
      <c r="G1609" s="1">
        <v>45929</v>
      </c>
      <c r="H1609" s="1">
        <v>45932</v>
      </c>
      <c r="I1609" s="2">
        <v>416</v>
      </c>
      <c r="J1609" t="s">
        <v>776</v>
      </c>
      <c r="K1609" t="s">
        <v>783</v>
      </c>
      <c r="L1609" t="s">
        <v>823</v>
      </c>
      <c r="M1609" t="s">
        <v>828</v>
      </c>
      <c r="N1609" t="str">
        <f t="shared" si="75"/>
        <v>T-3</v>
      </c>
      <c r="O1609">
        <f t="shared" si="76"/>
        <v>2025</v>
      </c>
      <c r="P1609" t="str">
        <f t="shared" si="77"/>
        <v>9. septiembre</v>
      </c>
    </row>
    <row r="1610" spans="1:16" x14ac:dyDescent="0.35">
      <c r="A1610">
        <v>360059</v>
      </c>
      <c r="B1610" t="s">
        <v>4</v>
      </c>
      <c r="C1610" t="s">
        <v>138</v>
      </c>
      <c r="D1610" t="s">
        <v>468</v>
      </c>
      <c r="E1610" t="s">
        <v>652</v>
      </c>
      <c r="F1610" t="s">
        <v>187</v>
      </c>
      <c r="G1610" s="1">
        <v>45936</v>
      </c>
      <c r="H1610" s="1">
        <v>45939</v>
      </c>
      <c r="I1610" s="2">
        <v>208</v>
      </c>
      <c r="J1610" t="s">
        <v>776</v>
      </c>
      <c r="K1610" t="s">
        <v>783</v>
      </c>
      <c r="L1610" t="s">
        <v>824</v>
      </c>
      <c r="M1610" t="s">
        <v>830</v>
      </c>
      <c r="N1610" t="str">
        <f t="shared" si="75"/>
        <v>T-4</v>
      </c>
      <c r="O1610">
        <f t="shared" si="76"/>
        <v>2025</v>
      </c>
      <c r="P1610" t="str">
        <f t="shared" si="77"/>
        <v>10. octubre</v>
      </c>
    </row>
    <row r="1611" spans="1:16" x14ac:dyDescent="0.35">
      <c r="A1611">
        <v>702078</v>
      </c>
      <c r="B1611" t="s">
        <v>56</v>
      </c>
      <c r="C1611" t="s">
        <v>138</v>
      </c>
      <c r="D1611" t="s">
        <v>378</v>
      </c>
      <c r="E1611" t="s">
        <v>652</v>
      </c>
      <c r="F1611" t="s">
        <v>187</v>
      </c>
      <c r="G1611" s="1">
        <v>45929</v>
      </c>
      <c r="H1611" s="1">
        <v>45932</v>
      </c>
      <c r="I1611" s="2">
        <v>208</v>
      </c>
      <c r="J1611" t="s">
        <v>776</v>
      </c>
      <c r="K1611" t="s">
        <v>783</v>
      </c>
      <c r="L1611" t="s">
        <v>823</v>
      </c>
      <c r="M1611" t="s">
        <v>829</v>
      </c>
      <c r="N1611" t="str">
        <f t="shared" si="75"/>
        <v>T-3</v>
      </c>
      <c r="O1611">
        <f t="shared" si="76"/>
        <v>2025</v>
      </c>
      <c r="P1611" t="str">
        <f t="shared" si="77"/>
        <v>9. septiembre</v>
      </c>
    </row>
    <row r="1612" spans="1:16" x14ac:dyDescent="0.35">
      <c r="A1612">
        <v>414823</v>
      </c>
      <c r="B1612" t="s">
        <v>127</v>
      </c>
      <c r="C1612" t="s">
        <v>139</v>
      </c>
      <c r="D1612" t="s">
        <v>177</v>
      </c>
      <c r="E1612" t="s">
        <v>651</v>
      </c>
      <c r="F1612" t="s">
        <v>187</v>
      </c>
      <c r="G1612" s="1">
        <v>45936</v>
      </c>
      <c r="H1612" s="1">
        <v>45938</v>
      </c>
      <c r="I1612" s="2">
        <v>1177.78</v>
      </c>
      <c r="J1612" t="s">
        <v>776</v>
      </c>
      <c r="K1612" t="s">
        <v>783</v>
      </c>
      <c r="L1612" t="s">
        <v>823</v>
      </c>
      <c r="M1612" t="s">
        <v>830</v>
      </c>
      <c r="N1612" t="str">
        <f t="shared" si="75"/>
        <v>T-4</v>
      </c>
      <c r="O1612">
        <f t="shared" si="76"/>
        <v>2025</v>
      </c>
      <c r="P1612" t="str">
        <f t="shared" si="77"/>
        <v>10. octubre</v>
      </c>
    </row>
    <row r="1613" spans="1:16" x14ac:dyDescent="0.35">
      <c r="A1613">
        <v>430274</v>
      </c>
      <c r="B1613" t="s">
        <v>78</v>
      </c>
      <c r="C1613" t="s">
        <v>141</v>
      </c>
      <c r="D1613" t="s">
        <v>199</v>
      </c>
      <c r="E1613" t="s">
        <v>651</v>
      </c>
      <c r="F1613" t="s">
        <v>187</v>
      </c>
      <c r="G1613" s="1">
        <v>45929</v>
      </c>
      <c r="H1613" s="1">
        <v>45933</v>
      </c>
      <c r="I1613" s="2">
        <v>736.54</v>
      </c>
      <c r="J1613" t="s">
        <v>776</v>
      </c>
      <c r="K1613" t="s">
        <v>791</v>
      </c>
      <c r="L1613" t="s">
        <v>823</v>
      </c>
      <c r="M1613" t="s">
        <v>830</v>
      </c>
      <c r="N1613" t="str">
        <f t="shared" si="75"/>
        <v>T-3</v>
      </c>
      <c r="O1613">
        <f t="shared" si="76"/>
        <v>2025</v>
      </c>
      <c r="P1613" t="str">
        <f t="shared" si="77"/>
        <v>9. septiembre</v>
      </c>
    </row>
    <row r="1614" spans="1:16" x14ac:dyDescent="0.35">
      <c r="A1614">
        <v>416778</v>
      </c>
      <c r="B1614" t="s">
        <v>72</v>
      </c>
      <c r="C1614" t="s">
        <v>138</v>
      </c>
      <c r="D1614" t="s">
        <v>587</v>
      </c>
      <c r="E1614" t="s">
        <v>651</v>
      </c>
      <c r="F1614" t="s">
        <v>187</v>
      </c>
      <c r="G1614" s="1">
        <v>45936</v>
      </c>
      <c r="H1614" s="1">
        <v>45940</v>
      </c>
      <c r="I1614" s="2">
        <v>2846.43</v>
      </c>
      <c r="J1614" t="s">
        <v>776</v>
      </c>
      <c r="K1614" t="s">
        <v>791</v>
      </c>
      <c r="L1614" t="s">
        <v>823</v>
      </c>
      <c r="M1614" t="s">
        <v>828</v>
      </c>
      <c r="N1614" t="str">
        <f t="shared" si="75"/>
        <v>T-4</v>
      </c>
      <c r="O1614">
        <f t="shared" si="76"/>
        <v>2025</v>
      </c>
      <c r="P1614" t="str">
        <f t="shared" si="77"/>
        <v>10. octubre</v>
      </c>
    </row>
    <row r="1615" spans="1:16" x14ac:dyDescent="0.35">
      <c r="A1615">
        <v>418311</v>
      </c>
      <c r="B1615" t="s">
        <v>25</v>
      </c>
      <c r="C1615" t="s">
        <v>138</v>
      </c>
      <c r="D1615" t="s">
        <v>177</v>
      </c>
      <c r="E1615" t="s">
        <v>651</v>
      </c>
      <c r="F1615" t="s">
        <v>187</v>
      </c>
      <c r="G1615" s="1">
        <v>45936</v>
      </c>
      <c r="H1615" s="1">
        <v>45938</v>
      </c>
      <c r="I1615" s="2">
        <v>1030.56</v>
      </c>
      <c r="J1615" t="s">
        <v>776</v>
      </c>
      <c r="K1615" t="s">
        <v>791</v>
      </c>
      <c r="L1615" t="s">
        <v>823</v>
      </c>
      <c r="M1615" t="s">
        <v>828</v>
      </c>
      <c r="N1615" t="str">
        <f t="shared" si="75"/>
        <v>T-4</v>
      </c>
      <c r="O1615">
        <f t="shared" si="76"/>
        <v>2025</v>
      </c>
      <c r="P1615" t="str">
        <f t="shared" si="77"/>
        <v>10. octubre</v>
      </c>
    </row>
    <row r="1616" spans="1:16" x14ac:dyDescent="0.35">
      <c r="A1616">
        <v>710001</v>
      </c>
      <c r="B1616" t="s">
        <v>20</v>
      </c>
      <c r="C1616" t="s">
        <v>136</v>
      </c>
      <c r="D1616" t="s">
        <v>587</v>
      </c>
      <c r="E1616" t="s">
        <v>651</v>
      </c>
      <c r="F1616" t="s">
        <v>187</v>
      </c>
      <c r="G1616" s="1">
        <v>45936</v>
      </c>
      <c r="H1616" s="1">
        <v>45940</v>
      </c>
      <c r="I1616" s="2">
        <v>1138.57</v>
      </c>
      <c r="J1616" t="s">
        <v>776</v>
      </c>
      <c r="K1616" t="s">
        <v>800</v>
      </c>
      <c r="L1616" t="s">
        <v>823</v>
      </c>
      <c r="M1616" t="s">
        <v>829</v>
      </c>
      <c r="N1616" t="str">
        <f t="shared" si="75"/>
        <v>T-4</v>
      </c>
      <c r="O1616">
        <f t="shared" si="76"/>
        <v>2025</v>
      </c>
      <c r="P1616" t="str">
        <f t="shared" si="77"/>
        <v>10. octubre</v>
      </c>
    </row>
    <row r="1617" spans="1:16" x14ac:dyDescent="0.35">
      <c r="A1617">
        <v>498176</v>
      </c>
      <c r="B1617" t="s">
        <v>88</v>
      </c>
      <c r="C1617" t="s">
        <v>138</v>
      </c>
      <c r="D1617" t="s">
        <v>371</v>
      </c>
      <c r="E1617" t="s">
        <v>720</v>
      </c>
      <c r="F1617" t="s">
        <v>187</v>
      </c>
      <c r="G1617" s="1">
        <v>45936</v>
      </c>
      <c r="H1617" s="1">
        <v>45939</v>
      </c>
      <c r="I1617" s="2">
        <v>260</v>
      </c>
      <c r="J1617" t="s">
        <v>776</v>
      </c>
      <c r="K1617" t="s">
        <v>800</v>
      </c>
      <c r="L1617" t="s">
        <v>823</v>
      </c>
      <c r="M1617" t="s">
        <v>830</v>
      </c>
      <c r="N1617" t="str">
        <f t="shared" si="75"/>
        <v>T-4</v>
      </c>
      <c r="O1617">
        <f t="shared" si="76"/>
        <v>2025</v>
      </c>
      <c r="P1617" t="str">
        <f t="shared" si="77"/>
        <v>10. octubre</v>
      </c>
    </row>
    <row r="1618" spans="1:16" x14ac:dyDescent="0.35">
      <c r="A1618">
        <v>597255</v>
      </c>
      <c r="B1618" t="s">
        <v>27</v>
      </c>
      <c r="C1618" t="s">
        <v>137</v>
      </c>
      <c r="D1618" t="s">
        <v>371</v>
      </c>
      <c r="E1618" t="s">
        <v>720</v>
      </c>
      <c r="F1618" t="s">
        <v>187</v>
      </c>
      <c r="G1618" s="1">
        <v>45936</v>
      </c>
      <c r="H1618" s="1">
        <v>45939</v>
      </c>
      <c r="I1618" s="2">
        <v>1560</v>
      </c>
      <c r="J1618" t="s">
        <v>776</v>
      </c>
      <c r="K1618" t="s">
        <v>789</v>
      </c>
      <c r="L1618" t="s">
        <v>824</v>
      </c>
      <c r="M1618" t="s">
        <v>830</v>
      </c>
      <c r="N1618" t="str">
        <f t="shared" si="75"/>
        <v>T-4</v>
      </c>
      <c r="O1618">
        <f t="shared" si="76"/>
        <v>2025</v>
      </c>
      <c r="P1618" t="str">
        <f t="shared" si="77"/>
        <v>10. octubre</v>
      </c>
    </row>
    <row r="1619" spans="1:16" x14ac:dyDescent="0.35">
      <c r="A1619">
        <v>365171</v>
      </c>
      <c r="B1619" t="s">
        <v>30</v>
      </c>
      <c r="C1619" t="s">
        <v>138</v>
      </c>
      <c r="D1619" t="s">
        <v>371</v>
      </c>
      <c r="E1619" t="s">
        <v>720</v>
      </c>
      <c r="F1619" t="s">
        <v>187</v>
      </c>
      <c r="G1619" s="1">
        <v>45936</v>
      </c>
      <c r="H1619" s="1">
        <v>45939</v>
      </c>
      <c r="I1619" s="2">
        <v>520</v>
      </c>
      <c r="J1619" t="s">
        <v>776</v>
      </c>
      <c r="K1619" t="s">
        <v>788</v>
      </c>
      <c r="L1619" t="s">
        <v>823</v>
      </c>
      <c r="M1619" t="s">
        <v>828</v>
      </c>
      <c r="N1619" t="str">
        <f t="shared" si="75"/>
        <v>T-4</v>
      </c>
      <c r="O1619">
        <f t="shared" si="76"/>
        <v>2025</v>
      </c>
      <c r="P1619" t="str">
        <f t="shared" si="77"/>
        <v>10. octubre</v>
      </c>
    </row>
    <row r="1620" spans="1:16" x14ac:dyDescent="0.35">
      <c r="A1620">
        <v>464388</v>
      </c>
      <c r="B1620" t="s">
        <v>2</v>
      </c>
      <c r="C1620" t="s">
        <v>138</v>
      </c>
      <c r="D1620" t="s">
        <v>371</v>
      </c>
      <c r="E1620" t="s">
        <v>720</v>
      </c>
      <c r="F1620" t="s">
        <v>187</v>
      </c>
      <c r="G1620" s="1">
        <v>45936</v>
      </c>
      <c r="H1620" s="1">
        <v>45939</v>
      </c>
      <c r="I1620" s="2">
        <v>1820</v>
      </c>
      <c r="J1620" t="s">
        <v>776</v>
      </c>
      <c r="K1620" t="s">
        <v>800</v>
      </c>
      <c r="L1620" t="s">
        <v>823</v>
      </c>
      <c r="M1620" t="s">
        <v>830</v>
      </c>
      <c r="N1620" t="str">
        <f t="shared" si="75"/>
        <v>T-4</v>
      </c>
      <c r="O1620">
        <f t="shared" si="76"/>
        <v>2025</v>
      </c>
      <c r="P1620" t="str">
        <f t="shared" si="77"/>
        <v>10. octubre</v>
      </c>
    </row>
    <row r="1621" spans="1:16" x14ac:dyDescent="0.35">
      <c r="A1621">
        <v>721302</v>
      </c>
      <c r="B1621" t="s">
        <v>25</v>
      </c>
      <c r="C1621" t="s">
        <v>138</v>
      </c>
      <c r="D1621" t="s">
        <v>548</v>
      </c>
      <c r="E1621" t="s">
        <v>753</v>
      </c>
      <c r="F1621" t="s">
        <v>187</v>
      </c>
      <c r="G1621" s="1">
        <v>45946</v>
      </c>
      <c r="H1621" s="1">
        <v>45946</v>
      </c>
      <c r="I1621" s="2">
        <v>320</v>
      </c>
      <c r="J1621" t="s">
        <v>776</v>
      </c>
      <c r="K1621" t="s">
        <v>783</v>
      </c>
      <c r="L1621" t="s">
        <v>823</v>
      </c>
      <c r="M1621" t="s">
        <v>829</v>
      </c>
      <c r="N1621" t="str">
        <f t="shared" si="75"/>
        <v>T-4</v>
      </c>
      <c r="O1621">
        <f t="shared" si="76"/>
        <v>2025</v>
      </c>
      <c r="P1621" t="str">
        <f t="shared" si="77"/>
        <v>10. octubre</v>
      </c>
    </row>
    <row r="1622" spans="1:16" x14ac:dyDescent="0.35">
      <c r="A1622">
        <v>610489</v>
      </c>
      <c r="B1622" t="s">
        <v>13</v>
      </c>
      <c r="C1622" t="s">
        <v>136</v>
      </c>
      <c r="D1622" t="s">
        <v>548</v>
      </c>
      <c r="E1622" t="s">
        <v>753</v>
      </c>
      <c r="F1622" t="s">
        <v>187</v>
      </c>
      <c r="G1622" s="1">
        <v>45946</v>
      </c>
      <c r="H1622" s="1">
        <v>45946</v>
      </c>
      <c r="I1622" s="2">
        <v>1120</v>
      </c>
      <c r="J1622" t="s">
        <v>776</v>
      </c>
      <c r="K1622" t="s">
        <v>783</v>
      </c>
      <c r="L1622" t="s">
        <v>823</v>
      </c>
      <c r="M1622" t="s">
        <v>830</v>
      </c>
      <c r="N1622" t="str">
        <f t="shared" si="75"/>
        <v>T-4</v>
      </c>
      <c r="O1622">
        <f t="shared" si="76"/>
        <v>2025</v>
      </c>
      <c r="P1622" t="str">
        <f t="shared" si="77"/>
        <v>10. octubre</v>
      </c>
    </row>
    <row r="1623" spans="1:16" x14ac:dyDescent="0.35">
      <c r="A1623">
        <v>362020</v>
      </c>
      <c r="B1623" t="s">
        <v>39</v>
      </c>
      <c r="C1623" t="s">
        <v>139</v>
      </c>
      <c r="D1623" t="s">
        <v>332</v>
      </c>
      <c r="E1623" t="s">
        <v>703</v>
      </c>
      <c r="F1623" t="s">
        <v>187</v>
      </c>
      <c r="G1623" s="1">
        <v>45943</v>
      </c>
      <c r="H1623" s="1">
        <v>45945</v>
      </c>
      <c r="I1623" s="2">
        <v>962.29</v>
      </c>
      <c r="J1623" t="s">
        <v>776</v>
      </c>
      <c r="K1623" t="s">
        <v>785</v>
      </c>
      <c r="L1623" t="s">
        <v>823</v>
      </c>
      <c r="M1623" t="s">
        <v>830</v>
      </c>
      <c r="N1623" t="str">
        <f t="shared" si="75"/>
        <v>T-4</v>
      </c>
      <c r="O1623">
        <f t="shared" si="76"/>
        <v>2025</v>
      </c>
      <c r="P1623" t="str">
        <f t="shared" si="77"/>
        <v>10. octubre</v>
      </c>
    </row>
    <row r="1624" spans="1:16" x14ac:dyDescent="0.35">
      <c r="A1624">
        <v>425010</v>
      </c>
      <c r="B1624" t="s">
        <v>24</v>
      </c>
      <c r="C1624" t="s">
        <v>138</v>
      </c>
      <c r="D1624" t="s">
        <v>202</v>
      </c>
      <c r="E1624" t="s">
        <v>657</v>
      </c>
      <c r="F1624" t="s">
        <v>187</v>
      </c>
      <c r="G1624" s="1">
        <v>45959</v>
      </c>
      <c r="H1624" s="1">
        <v>45959</v>
      </c>
      <c r="I1624" s="2">
        <v>389.5</v>
      </c>
      <c r="J1624" t="s">
        <v>776</v>
      </c>
      <c r="K1624" t="s">
        <v>800</v>
      </c>
      <c r="L1624" t="s">
        <v>824</v>
      </c>
      <c r="M1624" t="s">
        <v>828</v>
      </c>
      <c r="N1624" t="str">
        <f t="shared" si="75"/>
        <v>T-4</v>
      </c>
      <c r="O1624">
        <f t="shared" si="76"/>
        <v>2025</v>
      </c>
      <c r="P1624" t="str">
        <f t="shared" si="77"/>
        <v>10. octubre</v>
      </c>
    </row>
    <row r="1625" spans="1:16" x14ac:dyDescent="0.35">
      <c r="A1625">
        <v>500454</v>
      </c>
      <c r="B1625" t="s">
        <v>5</v>
      </c>
      <c r="C1625" t="s">
        <v>138</v>
      </c>
      <c r="D1625" t="s">
        <v>588</v>
      </c>
      <c r="E1625" t="s">
        <v>735</v>
      </c>
      <c r="F1625" t="s">
        <v>187</v>
      </c>
      <c r="G1625" s="1">
        <v>45936</v>
      </c>
      <c r="H1625" s="1">
        <v>45936</v>
      </c>
      <c r="I1625" s="2">
        <v>1450</v>
      </c>
      <c r="J1625" t="s">
        <v>778</v>
      </c>
      <c r="K1625" t="s">
        <v>783</v>
      </c>
      <c r="L1625" t="s">
        <v>823</v>
      </c>
      <c r="M1625" t="s">
        <v>828</v>
      </c>
      <c r="N1625" t="str">
        <f t="shared" si="75"/>
        <v>T-4</v>
      </c>
      <c r="O1625">
        <f t="shared" si="76"/>
        <v>2025</v>
      </c>
      <c r="P1625" t="str">
        <f t="shared" si="77"/>
        <v>10. octubre</v>
      </c>
    </row>
    <row r="1626" spans="1:16" x14ac:dyDescent="0.35">
      <c r="A1626">
        <v>560565</v>
      </c>
      <c r="B1626" t="s">
        <v>5</v>
      </c>
      <c r="C1626" t="s">
        <v>138</v>
      </c>
      <c r="D1626" t="s">
        <v>589</v>
      </c>
      <c r="E1626" t="s">
        <v>758</v>
      </c>
      <c r="F1626" t="s">
        <v>773</v>
      </c>
      <c r="G1626" s="1">
        <v>45957</v>
      </c>
      <c r="H1626" s="1">
        <v>45960</v>
      </c>
      <c r="I1626" s="2">
        <v>1573</v>
      </c>
      <c r="J1626" t="s">
        <v>776</v>
      </c>
      <c r="K1626" t="s">
        <v>811</v>
      </c>
      <c r="L1626" t="s">
        <v>823</v>
      </c>
      <c r="M1626" t="s">
        <v>830</v>
      </c>
      <c r="N1626" t="str">
        <f t="shared" si="75"/>
        <v>T-4</v>
      </c>
      <c r="O1626">
        <f t="shared" si="76"/>
        <v>2025</v>
      </c>
      <c r="P1626" t="str">
        <f t="shared" si="77"/>
        <v>10. octubre</v>
      </c>
    </row>
    <row r="1627" spans="1:16" x14ac:dyDescent="0.35">
      <c r="A1627">
        <v>502733</v>
      </c>
      <c r="B1627" t="s">
        <v>4</v>
      </c>
      <c r="C1627" t="s">
        <v>136</v>
      </c>
      <c r="D1627" t="s">
        <v>590</v>
      </c>
      <c r="E1627" t="s">
        <v>678</v>
      </c>
      <c r="F1627" t="s">
        <v>187</v>
      </c>
      <c r="G1627" s="1">
        <v>45943</v>
      </c>
      <c r="H1627" s="1">
        <v>45946</v>
      </c>
      <c r="I1627" s="2">
        <v>1040</v>
      </c>
      <c r="J1627" t="s">
        <v>776</v>
      </c>
      <c r="K1627" t="s">
        <v>783</v>
      </c>
      <c r="L1627" t="s">
        <v>823</v>
      </c>
      <c r="M1627" t="s">
        <v>829</v>
      </c>
      <c r="N1627" t="str">
        <f t="shared" si="75"/>
        <v>T-4</v>
      </c>
      <c r="O1627">
        <f t="shared" si="76"/>
        <v>2025</v>
      </c>
      <c r="P1627" t="str">
        <f t="shared" si="77"/>
        <v>10. octubre</v>
      </c>
    </row>
    <row r="1628" spans="1:16" x14ac:dyDescent="0.35">
      <c r="A1628">
        <v>469373</v>
      </c>
      <c r="B1628" t="s">
        <v>5</v>
      </c>
      <c r="C1628" t="s">
        <v>138</v>
      </c>
      <c r="D1628" t="s">
        <v>460</v>
      </c>
      <c r="E1628" t="s">
        <v>678</v>
      </c>
      <c r="F1628" t="s">
        <v>187</v>
      </c>
      <c r="G1628" s="1">
        <v>45943</v>
      </c>
      <c r="H1628" s="1">
        <v>45945</v>
      </c>
      <c r="I1628" s="2">
        <v>208</v>
      </c>
      <c r="J1628" t="s">
        <v>776</v>
      </c>
      <c r="K1628" t="s">
        <v>783</v>
      </c>
      <c r="L1628" t="s">
        <v>823</v>
      </c>
      <c r="M1628" t="s">
        <v>830</v>
      </c>
      <c r="N1628" t="str">
        <f t="shared" si="75"/>
        <v>T-4</v>
      </c>
      <c r="O1628">
        <f t="shared" si="76"/>
        <v>2025</v>
      </c>
      <c r="P1628" t="str">
        <f t="shared" si="77"/>
        <v>10. octubre</v>
      </c>
    </row>
    <row r="1629" spans="1:16" x14ac:dyDescent="0.35">
      <c r="A1629">
        <v>404554</v>
      </c>
      <c r="B1629" t="s">
        <v>128</v>
      </c>
      <c r="C1629" t="s">
        <v>139</v>
      </c>
      <c r="D1629" t="s">
        <v>461</v>
      </c>
      <c r="E1629" t="s">
        <v>678</v>
      </c>
      <c r="F1629" t="s">
        <v>187</v>
      </c>
      <c r="G1629" s="1">
        <v>45946</v>
      </c>
      <c r="H1629" s="1">
        <v>45947</v>
      </c>
      <c r="I1629" s="2">
        <v>1144</v>
      </c>
      <c r="J1629" t="s">
        <v>776</v>
      </c>
      <c r="K1629" t="s">
        <v>786</v>
      </c>
      <c r="L1629" t="s">
        <v>823</v>
      </c>
      <c r="M1629" t="s">
        <v>830</v>
      </c>
      <c r="N1629" t="str">
        <f t="shared" si="75"/>
        <v>T-4</v>
      </c>
      <c r="O1629">
        <f t="shared" si="76"/>
        <v>2025</v>
      </c>
      <c r="P1629" t="str">
        <f t="shared" si="77"/>
        <v>10. octubre</v>
      </c>
    </row>
    <row r="1630" spans="1:16" x14ac:dyDescent="0.35">
      <c r="A1630">
        <v>416943</v>
      </c>
      <c r="B1630" t="s">
        <v>32</v>
      </c>
      <c r="C1630" t="s">
        <v>141</v>
      </c>
      <c r="D1630" t="s">
        <v>460</v>
      </c>
      <c r="E1630" t="s">
        <v>678</v>
      </c>
      <c r="F1630" t="s">
        <v>187</v>
      </c>
      <c r="G1630" s="1">
        <v>45943</v>
      </c>
      <c r="H1630" s="1">
        <v>45945</v>
      </c>
      <c r="I1630" s="2">
        <v>2704</v>
      </c>
      <c r="J1630" t="s">
        <v>776</v>
      </c>
      <c r="K1630" t="s">
        <v>786</v>
      </c>
      <c r="L1630" t="s">
        <v>823</v>
      </c>
      <c r="M1630" t="s">
        <v>828</v>
      </c>
      <c r="N1630" t="str">
        <f t="shared" si="75"/>
        <v>T-4</v>
      </c>
      <c r="O1630">
        <f t="shared" si="76"/>
        <v>2025</v>
      </c>
      <c r="P1630" t="str">
        <f t="shared" si="77"/>
        <v>10. octubre</v>
      </c>
    </row>
    <row r="1631" spans="1:16" x14ac:dyDescent="0.35">
      <c r="A1631">
        <v>720118</v>
      </c>
      <c r="B1631" t="s">
        <v>77</v>
      </c>
      <c r="C1631" t="s">
        <v>138</v>
      </c>
      <c r="D1631" t="s">
        <v>461</v>
      </c>
      <c r="E1631" t="s">
        <v>678</v>
      </c>
      <c r="F1631" t="s">
        <v>187</v>
      </c>
      <c r="G1631" s="1">
        <v>45946</v>
      </c>
      <c r="H1631" s="1">
        <v>45947</v>
      </c>
      <c r="I1631" s="2">
        <v>832</v>
      </c>
      <c r="J1631" t="s">
        <v>776</v>
      </c>
      <c r="K1631" t="s">
        <v>783</v>
      </c>
      <c r="L1631" t="s">
        <v>824</v>
      </c>
      <c r="M1631" t="s">
        <v>828</v>
      </c>
      <c r="N1631" t="str">
        <f t="shared" si="75"/>
        <v>T-4</v>
      </c>
      <c r="O1631">
        <f t="shared" si="76"/>
        <v>2025</v>
      </c>
      <c r="P1631" t="str">
        <f t="shared" si="77"/>
        <v>10. octubre</v>
      </c>
    </row>
    <row r="1632" spans="1:16" x14ac:dyDescent="0.35">
      <c r="A1632">
        <v>413058</v>
      </c>
      <c r="B1632" t="s">
        <v>25</v>
      </c>
      <c r="C1632" t="s">
        <v>139</v>
      </c>
      <c r="D1632" t="s">
        <v>590</v>
      </c>
      <c r="E1632" t="s">
        <v>678</v>
      </c>
      <c r="F1632" t="s">
        <v>187</v>
      </c>
      <c r="G1632" s="1">
        <v>45943</v>
      </c>
      <c r="H1632" s="1">
        <v>45946</v>
      </c>
      <c r="I1632" s="2">
        <v>2080</v>
      </c>
      <c r="J1632" t="s">
        <v>776</v>
      </c>
      <c r="K1632" t="s">
        <v>783</v>
      </c>
      <c r="L1632" t="s">
        <v>823</v>
      </c>
      <c r="M1632" t="s">
        <v>829</v>
      </c>
      <c r="N1632" t="str">
        <f t="shared" si="75"/>
        <v>T-4</v>
      </c>
      <c r="O1632">
        <f t="shared" si="76"/>
        <v>2025</v>
      </c>
      <c r="P1632" t="str">
        <f t="shared" si="77"/>
        <v>10. octubre</v>
      </c>
    </row>
    <row r="1633" spans="1:16" x14ac:dyDescent="0.35">
      <c r="A1633">
        <v>451427</v>
      </c>
      <c r="B1633" t="s">
        <v>6</v>
      </c>
      <c r="C1633" t="s">
        <v>141</v>
      </c>
      <c r="D1633" t="s">
        <v>460</v>
      </c>
      <c r="E1633" t="s">
        <v>678</v>
      </c>
      <c r="F1633" t="s">
        <v>187</v>
      </c>
      <c r="G1633" s="1">
        <v>45943</v>
      </c>
      <c r="H1633" s="1">
        <v>45945</v>
      </c>
      <c r="I1633" s="2">
        <v>416</v>
      </c>
      <c r="J1633" t="s">
        <v>776</v>
      </c>
      <c r="K1633" t="s">
        <v>789</v>
      </c>
      <c r="L1633" t="s">
        <v>823</v>
      </c>
      <c r="M1633" t="s">
        <v>830</v>
      </c>
      <c r="N1633" t="str">
        <f t="shared" si="75"/>
        <v>T-4</v>
      </c>
      <c r="O1633">
        <f t="shared" si="76"/>
        <v>2025</v>
      </c>
      <c r="P1633" t="str">
        <f t="shared" si="77"/>
        <v>10. octubre</v>
      </c>
    </row>
    <row r="1634" spans="1:16" x14ac:dyDescent="0.35">
      <c r="A1634">
        <v>560300</v>
      </c>
      <c r="B1634" t="s">
        <v>31</v>
      </c>
      <c r="C1634" t="s">
        <v>138</v>
      </c>
      <c r="D1634" t="s">
        <v>461</v>
      </c>
      <c r="E1634" t="s">
        <v>678</v>
      </c>
      <c r="F1634" t="s">
        <v>187</v>
      </c>
      <c r="G1634" s="1">
        <v>45946</v>
      </c>
      <c r="H1634" s="1">
        <v>45947</v>
      </c>
      <c r="I1634" s="2">
        <v>208</v>
      </c>
      <c r="J1634" t="s">
        <v>776</v>
      </c>
      <c r="K1634" t="s">
        <v>800</v>
      </c>
      <c r="L1634" t="s">
        <v>823</v>
      </c>
      <c r="M1634" t="s">
        <v>830</v>
      </c>
      <c r="N1634" t="str">
        <f t="shared" si="75"/>
        <v>T-4</v>
      </c>
      <c r="O1634">
        <f t="shared" si="76"/>
        <v>2025</v>
      </c>
      <c r="P1634" t="str">
        <f t="shared" si="77"/>
        <v>10. octubre</v>
      </c>
    </row>
    <row r="1635" spans="1:16" x14ac:dyDescent="0.35">
      <c r="A1635">
        <v>717810</v>
      </c>
      <c r="B1635" t="s">
        <v>56</v>
      </c>
      <c r="C1635" t="s">
        <v>138</v>
      </c>
      <c r="D1635" t="s">
        <v>590</v>
      </c>
      <c r="E1635" t="s">
        <v>678</v>
      </c>
      <c r="F1635" t="s">
        <v>187</v>
      </c>
      <c r="G1635" s="1">
        <v>45943</v>
      </c>
      <c r="H1635" s="1">
        <v>45946</v>
      </c>
      <c r="I1635" s="2">
        <v>2080</v>
      </c>
      <c r="J1635" t="s">
        <v>776</v>
      </c>
      <c r="K1635" t="s">
        <v>789</v>
      </c>
      <c r="L1635" t="s">
        <v>823</v>
      </c>
      <c r="M1635" t="s">
        <v>828</v>
      </c>
      <c r="N1635" t="str">
        <f t="shared" si="75"/>
        <v>T-4</v>
      </c>
      <c r="O1635">
        <f t="shared" si="76"/>
        <v>2025</v>
      </c>
      <c r="P1635" t="str">
        <f t="shared" si="77"/>
        <v>10. octubre</v>
      </c>
    </row>
    <row r="1636" spans="1:16" x14ac:dyDescent="0.35">
      <c r="A1636">
        <v>565110</v>
      </c>
      <c r="B1636" t="s">
        <v>22</v>
      </c>
      <c r="C1636" t="s">
        <v>138</v>
      </c>
      <c r="D1636" t="s">
        <v>269</v>
      </c>
      <c r="E1636" t="s">
        <v>695</v>
      </c>
      <c r="F1636" t="s">
        <v>187</v>
      </c>
      <c r="G1636" s="1">
        <v>45943</v>
      </c>
      <c r="H1636" s="1">
        <v>45947</v>
      </c>
      <c r="I1636" s="2">
        <v>416</v>
      </c>
      <c r="J1636" t="s">
        <v>776</v>
      </c>
      <c r="K1636" t="s">
        <v>791</v>
      </c>
      <c r="L1636" t="s">
        <v>823</v>
      </c>
      <c r="M1636" t="s">
        <v>830</v>
      </c>
      <c r="N1636" t="str">
        <f t="shared" si="75"/>
        <v>T-4</v>
      </c>
      <c r="O1636">
        <f t="shared" si="76"/>
        <v>2025</v>
      </c>
      <c r="P1636" t="str">
        <f t="shared" si="77"/>
        <v>10. octubre</v>
      </c>
    </row>
    <row r="1637" spans="1:16" x14ac:dyDescent="0.35">
      <c r="A1637">
        <v>712813</v>
      </c>
      <c r="B1637" t="s">
        <v>56</v>
      </c>
      <c r="C1637" t="s">
        <v>138</v>
      </c>
      <c r="D1637" t="s">
        <v>524</v>
      </c>
      <c r="E1637" t="s">
        <v>695</v>
      </c>
      <c r="F1637" t="s">
        <v>187</v>
      </c>
      <c r="G1637" s="1">
        <v>45943</v>
      </c>
      <c r="H1637" s="1">
        <v>45947</v>
      </c>
      <c r="I1637" s="2">
        <v>4290</v>
      </c>
      <c r="J1637" t="s">
        <v>776</v>
      </c>
      <c r="K1637" t="s">
        <v>804</v>
      </c>
      <c r="L1637" t="s">
        <v>823</v>
      </c>
      <c r="M1637" t="s">
        <v>829</v>
      </c>
      <c r="N1637" t="str">
        <f t="shared" si="75"/>
        <v>T-4</v>
      </c>
      <c r="O1637">
        <f t="shared" si="76"/>
        <v>2025</v>
      </c>
      <c r="P1637" t="str">
        <f t="shared" si="77"/>
        <v>10. octubre</v>
      </c>
    </row>
    <row r="1638" spans="1:16" x14ac:dyDescent="0.35">
      <c r="A1638">
        <v>714123</v>
      </c>
      <c r="B1638" t="s">
        <v>32</v>
      </c>
      <c r="C1638" t="s">
        <v>138</v>
      </c>
      <c r="D1638" t="s">
        <v>180</v>
      </c>
      <c r="E1638" t="s">
        <v>695</v>
      </c>
      <c r="F1638" t="s">
        <v>187</v>
      </c>
      <c r="G1638" s="1">
        <v>45943</v>
      </c>
      <c r="H1638" s="1">
        <v>45946</v>
      </c>
      <c r="I1638" s="2">
        <v>832</v>
      </c>
      <c r="J1638" t="s">
        <v>776</v>
      </c>
      <c r="K1638" t="s">
        <v>783</v>
      </c>
      <c r="L1638" t="s">
        <v>823</v>
      </c>
      <c r="M1638" t="s">
        <v>830</v>
      </c>
      <c r="N1638" t="str">
        <f t="shared" si="75"/>
        <v>T-4</v>
      </c>
      <c r="O1638">
        <f t="shared" si="76"/>
        <v>2025</v>
      </c>
      <c r="P1638" t="str">
        <f t="shared" si="77"/>
        <v>10. octubre</v>
      </c>
    </row>
    <row r="1639" spans="1:16" x14ac:dyDescent="0.35">
      <c r="A1639">
        <v>722726</v>
      </c>
      <c r="B1639" t="s">
        <v>129</v>
      </c>
      <c r="C1639" t="s">
        <v>138</v>
      </c>
      <c r="D1639" t="s">
        <v>269</v>
      </c>
      <c r="E1639" t="s">
        <v>695</v>
      </c>
      <c r="F1639" t="s">
        <v>187</v>
      </c>
      <c r="G1639" s="1">
        <v>45943</v>
      </c>
      <c r="H1639" s="1">
        <v>45947</v>
      </c>
      <c r="I1639" s="2">
        <v>416</v>
      </c>
      <c r="J1639" t="s">
        <v>776</v>
      </c>
      <c r="K1639" t="s">
        <v>787</v>
      </c>
      <c r="L1639" t="s">
        <v>824</v>
      </c>
      <c r="M1639" t="s">
        <v>830</v>
      </c>
      <c r="N1639" t="str">
        <f t="shared" si="75"/>
        <v>T-4</v>
      </c>
      <c r="O1639">
        <f t="shared" si="76"/>
        <v>2025</v>
      </c>
      <c r="P1639" t="str">
        <f t="shared" si="77"/>
        <v>10. octubre</v>
      </c>
    </row>
    <row r="1640" spans="1:16" x14ac:dyDescent="0.35">
      <c r="A1640">
        <v>723781</v>
      </c>
      <c r="B1640" t="s">
        <v>27</v>
      </c>
      <c r="C1640" t="s">
        <v>137</v>
      </c>
      <c r="D1640" t="s">
        <v>568</v>
      </c>
      <c r="E1640" t="s">
        <v>695</v>
      </c>
      <c r="F1640" t="s">
        <v>187</v>
      </c>
      <c r="G1640" s="1">
        <v>45943</v>
      </c>
      <c r="H1640" s="1">
        <v>45947</v>
      </c>
      <c r="I1640" s="2">
        <v>650</v>
      </c>
      <c r="J1640" t="s">
        <v>776</v>
      </c>
      <c r="K1640" t="s">
        <v>783</v>
      </c>
      <c r="L1640" t="s">
        <v>823</v>
      </c>
      <c r="M1640" t="s">
        <v>828</v>
      </c>
      <c r="N1640" t="str">
        <f t="shared" si="75"/>
        <v>T-4</v>
      </c>
      <c r="O1640">
        <f t="shared" si="76"/>
        <v>2025</v>
      </c>
      <c r="P1640" t="str">
        <f t="shared" si="77"/>
        <v>10. octubre</v>
      </c>
    </row>
    <row r="1641" spans="1:16" x14ac:dyDescent="0.35">
      <c r="A1641">
        <v>459950</v>
      </c>
      <c r="B1641" t="s">
        <v>4</v>
      </c>
      <c r="C1641" t="s">
        <v>136</v>
      </c>
      <c r="D1641" t="s">
        <v>524</v>
      </c>
      <c r="E1641" t="s">
        <v>695</v>
      </c>
      <c r="F1641" t="s">
        <v>187</v>
      </c>
      <c r="G1641" s="1">
        <v>45943</v>
      </c>
      <c r="H1641" s="1">
        <v>45947</v>
      </c>
      <c r="I1641" s="2">
        <v>1560</v>
      </c>
      <c r="J1641" t="s">
        <v>776</v>
      </c>
      <c r="K1641" t="s">
        <v>783</v>
      </c>
      <c r="L1641" t="s">
        <v>823</v>
      </c>
      <c r="M1641" t="s">
        <v>828</v>
      </c>
      <c r="N1641" t="str">
        <f t="shared" si="75"/>
        <v>T-4</v>
      </c>
      <c r="O1641">
        <f t="shared" si="76"/>
        <v>2025</v>
      </c>
      <c r="P1641" t="str">
        <f t="shared" si="77"/>
        <v>10. octubre</v>
      </c>
    </row>
    <row r="1642" spans="1:16" x14ac:dyDescent="0.35">
      <c r="A1642">
        <v>709696</v>
      </c>
      <c r="B1642" t="s">
        <v>30</v>
      </c>
      <c r="C1642" t="s">
        <v>138</v>
      </c>
      <c r="D1642" t="s">
        <v>180</v>
      </c>
      <c r="E1642" t="s">
        <v>695</v>
      </c>
      <c r="F1642" t="s">
        <v>187</v>
      </c>
      <c r="G1642" s="1">
        <v>45943</v>
      </c>
      <c r="H1642" s="1">
        <v>45946</v>
      </c>
      <c r="I1642" s="2">
        <v>208</v>
      </c>
      <c r="J1642" t="s">
        <v>776</v>
      </c>
      <c r="K1642" t="s">
        <v>786</v>
      </c>
      <c r="L1642" t="s">
        <v>823</v>
      </c>
      <c r="M1642" t="s">
        <v>830</v>
      </c>
      <c r="N1642" t="str">
        <f t="shared" si="75"/>
        <v>T-4</v>
      </c>
      <c r="O1642">
        <f t="shared" si="76"/>
        <v>2025</v>
      </c>
      <c r="P1642" t="str">
        <f t="shared" si="77"/>
        <v>10. octubre</v>
      </c>
    </row>
    <row r="1643" spans="1:16" x14ac:dyDescent="0.35">
      <c r="A1643">
        <v>716605</v>
      </c>
      <c r="B1643" t="s">
        <v>24</v>
      </c>
      <c r="C1643" t="s">
        <v>138</v>
      </c>
      <c r="D1643" t="s">
        <v>269</v>
      </c>
      <c r="E1643" t="s">
        <v>695</v>
      </c>
      <c r="F1643" t="s">
        <v>187</v>
      </c>
      <c r="G1643" s="1">
        <v>45943</v>
      </c>
      <c r="H1643" s="1">
        <v>45947</v>
      </c>
      <c r="I1643" s="2">
        <v>2080</v>
      </c>
      <c r="J1643" t="s">
        <v>776</v>
      </c>
      <c r="K1643" t="s">
        <v>783</v>
      </c>
      <c r="L1643" t="s">
        <v>823</v>
      </c>
      <c r="M1643" t="s">
        <v>829</v>
      </c>
      <c r="N1643" t="str">
        <f t="shared" si="75"/>
        <v>T-4</v>
      </c>
      <c r="O1643">
        <f t="shared" si="76"/>
        <v>2025</v>
      </c>
      <c r="P1643" t="str">
        <f t="shared" si="77"/>
        <v>10. octubre</v>
      </c>
    </row>
    <row r="1644" spans="1:16" x14ac:dyDescent="0.35">
      <c r="A1644">
        <v>714333</v>
      </c>
      <c r="B1644" t="s">
        <v>30</v>
      </c>
      <c r="C1644" t="s">
        <v>138</v>
      </c>
      <c r="D1644" t="s">
        <v>568</v>
      </c>
      <c r="E1644" t="s">
        <v>695</v>
      </c>
      <c r="F1644" t="s">
        <v>187</v>
      </c>
      <c r="G1644" s="1">
        <v>45943</v>
      </c>
      <c r="H1644" s="1">
        <v>45947</v>
      </c>
      <c r="I1644" s="2">
        <v>1300</v>
      </c>
      <c r="J1644" t="s">
        <v>776</v>
      </c>
      <c r="K1644" t="s">
        <v>783</v>
      </c>
      <c r="L1644" t="s">
        <v>823</v>
      </c>
      <c r="M1644" t="s">
        <v>830</v>
      </c>
      <c r="N1644" t="str">
        <f t="shared" si="75"/>
        <v>T-4</v>
      </c>
      <c r="O1644">
        <f t="shared" si="76"/>
        <v>2025</v>
      </c>
      <c r="P1644" t="str">
        <f t="shared" si="77"/>
        <v>10. octubre</v>
      </c>
    </row>
    <row r="1645" spans="1:16" x14ac:dyDescent="0.35">
      <c r="A1645">
        <v>717812</v>
      </c>
      <c r="B1645" t="s">
        <v>27</v>
      </c>
      <c r="C1645" t="s">
        <v>139</v>
      </c>
      <c r="D1645" t="s">
        <v>524</v>
      </c>
      <c r="E1645" t="s">
        <v>695</v>
      </c>
      <c r="F1645" t="s">
        <v>187</v>
      </c>
      <c r="G1645" s="1">
        <v>45943</v>
      </c>
      <c r="H1645" s="1">
        <v>45947</v>
      </c>
      <c r="I1645" s="2">
        <v>780</v>
      </c>
      <c r="J1645" t="s">
        <v>776</v>
      </c>
      <c r="K1645" t="s">
        <v>785</v>
      </c>
      <c r="L1645" t="s">
        <v>824</v>
      </c>
      <c r="M1645" t="s">
        <v>830</v>
      </c>
      <c r="N1645" t="str">
        <f t="shared" si="75"/>
        <v>T-4</v>
      </c>
      <c r="O1645">
        <f t="shared" si="76"/>
        <v>2025</v>
      </c>
      <c r="P1645" t="str">
        <f t="shared" si="77"/>
        <v>10. octubre</v>
      </c>
    </row>
    <row r="1646" spans="1:16" x14ac:dyDescent="0.35">
      <c r="A1646">
        <v>721758</v>
      </c>
      <c r="B1646" t="s">
        <v>19</v>
      </c>
      <c r="C1646" t="s">
        <v>138</v>
      </c>
      <c r="D1646" t="s">
        <v>180</v>
      </c>
      <c r="E1646" t="s">
        <v>695</v>
      </c>
      <c r="F1646" t="s">
        <v>187</v>
      </c>
      <c r="G1646" s="1">
        <v>45943</v>
      </c>
      <c r="H1646" s="1">
        <v>45946</v>
      </c>
      <c r="I1646" s="2">
        <v>416</v>
      </c>
      <c r="J1646" t="s">
        <v>776</v>
      </c>
      <c r="K1646" t="s">
        <v>805</v>
      </c>
      <c r="L1646" t="s">
        <v>823</v>
      </c>
      <c r="M1646" t="s">
        <v>828</v>
      </c>
      <c r="N1646" t="str">
        <f t="shared" si="75"/>
        <v>T-4</v>
      </c>
      <c r="O1646">
        <f t="shared" si="76"/>
        <v>2025</v>
      </c>
      <c r="P1646" t="str">
        <f t="shared" si="77"/>
        <v>10. octubre</v>
      </c>
    </row>
    <row r="1647" spans="1:16" x14ac:dyDescent="0.35">
      <c r="A1647">
        <v>611233</v>
      </c>
      <c r="B1647" t="s">
        <v>13</v>
      </c>
      <c r="C1647" t="s">
        <v>138</v>
      </c>
      <c r="D1647" t="s">
        <v>269</v>
      </c>
      <c r="E1647" t="s">
        <v>695</v>
      </c>
      <c r="F1647" t="s">
        <v>187</v>
      </c>
      <c r="G1647" s="1">
        <v>45943</v>
      </c>
      <c r="H1647" s="1">
        <v>45947</v>
      </c>
      <c r="I1647" s="2">
        <v>2080</v>
      </c>
      <c r="J1647" t="s">
        <v>776</v>
      </c>
      <c r="K1647" t="s">
        <v>791</v>
      </c>
      <c r="L1647" t="s">
        <v>823</v>
      </c>
      <c r="M1647" t="s">
        <v>828</v>
      </c>
      <c r="N1647" t="str">
        <f t="shared" si="75"/>
        <v>T-4</v>
      </c>
      <c r="O1647">
        <f t="shared" si="76"/>
        <v>2025</v>
      </c>
      <c r="P1647" t="str">
        <f t="shared" si="77"/>
        <v>10. octubre</v>
      </c>
    </row>
    <row r="1648" spans="1:16" x14ac:dyDescent="0.35">
      <c r="A1648">
        <v>750974</v>
      </c>
      <c r="B1648" t="s">
        <v>31</v>
      </c>
      <c r="C1648" t="s">
        <v>137</v>
      </c>
      <c r="D1648" t="s">
        <v>568</v>
      </c>
      <c r="E1648" t="s">
        <v>695</v>
      </c>
      <c r="F1648" t="s">
        <v>187</v>
      </c>
      <c r="G1648" s="1">
        <v>45943</v>
      </c>
      <c r="H1648" s="1">
        <v>45947</v>
      </c>
      <c r="I1648" s="2">
        <v>1300</v>
      </c>
      <c r="J1648" t="s">
        <v>776</v>
      </c>
      <c r="K1648" t="s">
        <v>783</v>
      </c>
      <c r="L1648" t="s">
        <v>823</v>
      </c>
      <c r="M1648" t="s">
        <v>829</v>
      </c>
      <c r="N1648" t="str">
        <f t="shared" si="75"/>
        <v>T-4</v>
      </c>
      <c r="O1648">
        <f t="shared" si="76"/>
        <v>2025</v>
      </c>
      <c r="P1648" t="str">
        <f t="shared" si="77"/>
        <v>10. octubre</v>
      </c>
    </row>
    <row r="1649" spans="1:16" x14ac:dyDescent="0.35">
      <c r="A1649">
        <v>722811</v>
      </c>
      <c r="B1649" t="s">
        <v>25</v>
      </c>
      <c r="C1649" t="s">
        <v>139</v>
      </c>
      <c r="D1649" t="s">
        <v>343</v>
      </c>
      <c r="E1649" t="s">
        <v>694</v>
      </c>
      <c r="F1649" t="s">
        <v>187</v>
      </c>
      <c r="G1649" s="1">
        <v>45915</v>
      </c>
      <c r="H1649" s="1">
        <v>45940</v>
      </c>
      <c r="I1649" s="2">
        <v>270</v>
      </c>
      <c r="J1649" t="s">
        <v>778</v>
      </c>
      <c r="K1649" t="s">
        <v>783</v>
      </c>
      <c r="L1649" t="s">
        <v>823</v>
      </c>
      <c r="M1649" t="s">
        <v>830</v>
      </c>
      <c r="N1649" t="str">
        <f t="shared" si="75"/>
        <v>T-3</v>
      </c>
      <c r="O1649">
        <f t="shared" si="76"/>
        <v>2025</v>
      </c>
      <c r="P1649" t="str">
        <f t="shared" si="77"/>
        <v>9. septiembre</v>
      </c>
    </row>
    <row r="1650" spans="1:16" x14ac:dyDescent="0.35">
      <c r="A1650">
        <v>720275</v>
      </c>
      <c r="B1650" t="s">
        <v>25</v>
      </c>
      <c r="C1650" t="s">
        <v>138</v>
      </c>
      <c r="D1650" t="s">
        <v>561</v>
      </c>
      <c r="E1650" t="s">
        <v>694</v>
      </c>
      <c r="F1650" t="s">
        <v>187</v>
      </c>
      <c r="G1650" s="1">
        <v>45915</v>
      </c>
      <c r="H1650" s="1">
        <v>45940</v>
      </c>
      <c r="I1650" s="2">
        <v>1020</v>
      </c>
      <c r="J1650" t="s">
        <v>778</v>
      </c>
      <c r="K1650" t="s">
        <v>789</v>
      </c>
      <c r="L1650" t="s">
        <v>823</v>
      </c>
      <c r="M1650" t="s">
        <v>830</v>
      </c>
      <c r="N1650" t="str">
        <f t="shared" si="75"/>
        <v>T-3</v>
      </c>
      <c r="O1650">
        <f t="shared" si="76"/>
        <v>2025</v>
      </c>
      <c r="P1650" t="str">
        <f t="shared" si="77"/>
        <v>9. septiembre</v>
      </c>
    </row>
    <row r="1651" spans="1:16" x14ac:dyDescent="0.35">
      <c r="A1651">
        <v>457181</v>
      </c>
      <c r="B1651" t="s">
        <v>33</v>
      </c>
      <c r="C1651" t="s">
        <v>138</v>
      </c>
      <c r="D1651" t="s">
        <v>561</v>
      </c>
      <c r="E1651" t="s">
        <v>694</v>
      </c>
      <c r="F1651" t="s">
        <v>187</v>
      </c>
      <c r="G1651" s="1">
        <v>45915</v>
      </c>
      <c r="H1651" s="1">
        <v>45940</v>
      </c>
      <c r="I1651" s="2">
        <v>1050</v>
      </c>
      <c r="J1651" t="s">
        <v>778</v>
      </c>
      <c r="K1651" t="s">
        <v>783</v>
      </c>
      <c r="L1651" t="s">
        <v>823</v>
      </c>
      <c r="M1651" t="s">
        <v>828</v>
      </c>
      <c r="N1651" t="str">
        <f t="shared" si="75"/>
        <v>T-3</v>
      </c>
      <c r="O1651">
        <f t="shared" si="76"/>
        <v>2025</v>
      </c>
      <c r="P1651" t="str">
        <f t="shared" si="77"/>
        <v>9. septiembre</v>
      </c>
    </row>
    <row r="1652" spans="1:16" x14ac:dyDescent="0.35">
      <c r="A1652">
        <v>401032</v>
      </c>
      <c r="B1652" t="s">
        <v>28</v>
      </c>
      <c r="C1652" t="s">
        <v>138</v>
      </c>
      <c r="D1652" t="s">
        <v>232</v>
      </c>
      <c r="E1652" t="s">
        <v>675</v>
      </c>
      <c r="F1652" t="s">
        <v>187</v>
      </c>
      <c r="G1652" s="1">
        <v>45936</v>
      </c>
      <c r="H1652" s="1">
        <v>45943</v>
      </c>
      <c r="I1652" s="2">
        <v>520</v>
      </c>
      <c r="J1652" t="s">
        <v>779</v>
      </c>
      <c r="K1652" t="s">
        <v>783</v>
      </c>
      <c r="L1652" t="s">
        <v>824</v>
      </c>
      <c r="M1652" t="s">
        <v>830</v>
      </c>
      <c r="N1652" t="str">
        <f t="shared" si="75"/>
        <v>T-4</v>
      </c>
      <c r="O1652">
        <f t="shared" si="76"/>
        <v>2025</v>
      </c>
      <c r="P1652" t="str">
        <f t="shared" si="77"/>
        <v>10. octubre</v>
      </c>
    </row>
    <row r="1653" spans="1:16" x14ac:dyDescent="0.35">
      <c r="A1653">
        <v>486777</v>
      </c>
      <c r="B1653" t="s">
        <v>23</v>
      </c>
      <c r="C1653" t="s">
        <v>138</v>
      </c>
      <c r="D1653" t="s">
        <v>232</v>
      </c>
      <c r="E1653" t="s">
        <v>675</v>
      </c>
      <c r="F1653" t="s">
        <v>187</v>
      </c>
      <c r="G1653" s="1">
        <v>45937</v>
      </c>
      <c r="H1653" s="1">
        <v>45939</v>
      </c>
      <c r="I1653" s="2">
        <v>458.82</v>
      </c>
      <c r="J1653" t="s">
        <v>779</v>
      </c>
      <c r="K1653" t="s">
        <v>783</v>
      </c>
      <c r="L1653" t="s">
        <v>823</v>
      </c>
      <c r="M1653" t="s">
        <v>829</v>
      </c>
      <c r="N1653" t="str">
        <f t="shared" si="75"/>
        <v>T-4</v>
      </c>
      <c r="O1653">
        <f t="shared" si="76"/>
        <v>2025</v>
      </c>
      <c r="P1653" t="str">
        <f t="shared" si="77"/>
        <v>10. octubre</v>
      </c>
    </row>
    <row r="1654" spans="1:16" x14ac:dyDescent="0.35">
      <c r="A1654">
        <v>712857</v>
      </c>
      <c r="B1654" t="s">
        <v>24</v>
      </c>
      <c r="C1654" t="s">
        <v>138</v>
      </c>
      <c r="D1654" t="s">
        <v>232</v>
      </c>
      <c r="E1654" t="s">
        <v>675</v>
      </c>
      <c r="F1654" t="s">
        <v>187</v>
      </c>
      <c r="G1654" s="1">
        <v>45936</v>
      </c>
      <c r="H1654" s="1">
        <v>45943</v>
      </c>
      <c r="I1654" s="2">
        <v>520</v>
      </c>
      <c r="J1654" t="s">
        <v>779</v>
      </c>
      <c r="K1654" t="s">
        <v>783</v>
      </c>
      <c r="L1654" t="s">
        <v>823</v>
      </c>
      <c r="M1654" t="s">
        <v>830</v>
      </c>
      <c r="N1654" t="str">
        <f t="shared" si="75"/>
        <v>T-4</v>
      </c>
      <c r="O1654">
        <f t="shared" si="76"/>
        <v>2025</v>
      </c>
      <c r="P1654" t="str">
        <f t="shared" si="77"/>
        <v>10. octubre</v>
      </c>
    </row>
    <row r="1655" spans="1:16" x14ac:dyDescent="0.35">
      <c r="A1655">
        <v>752224</v>
      </c>
      <c r="B1655" t="s">
        <v>31</v>
      </c>
      <c r="C1655" t="s">
        <v>138</v>
      </c>
      <c r="D1655" t="s">
        <v>232</v>
      </c>
      <c r="E1655" t="s">
        <v>675</v>
      </c>
      <c r="F1655" t="s">
        <v>187</v>
      </c>
      <c r="G1655" s="1">
        <v>45937</v>
      </c>
      <c r="H1655" s="1">
        <v>45939</v>
      </c>
      <c r="I1655" s="2">
        <v>367.06</v>
      </c>
      <c r="J1655" t="s">
        <v>779</v>
      </c>
      <c r="K1655" t="s">
        <v>783</v>
      </c>
      <c r="L1655" t="s">
        <v>823</v>
      </c>
      <c r="M1655" t="s">
        <v>830</v>
      </c>
      <c r="N1655" t="str">
        <f t="shared" si="75"/>
        <v>T-4</v>
      </c>
      <c r="O1655">
        <f t="shared" si="76"/>
        <v>2025</v>
      </c>
      <c r="P1655" t="str">
        <f t="shared" si="77"/>
        <v>10. octubre</v>
      </c>
    </row>
    <row r="1656" spans="1:16" x14ac:dyDescent="0.35">
      <c r="A1656">
        <v>611167</v>
      </c>
      <c r="B1656" t="s">
        <v>13</v>
      </c>
      <c r="C1656" t="s">
        <v>138</v>
      </c>
      <c r="D1656" t="s">
        <v>232</v>
      </c>
      <c r="E1656" t="s">
        <v>675</v>
      </c>
      <c r="F1656" t="s">
        <v>187</v>
      </c>
      <c r="G1656" s="1">
        <v>45938</v>
      </c>
      <c r="H1656" s="1">
        <v>45940</v>
      </c>
      <c r="I1656" s="2">
        <v>312</v>
      </c>
      <c r="J1656" t="s">
        <v>779</v>
      </c>
      <c r="K1656" t="s">
        <v>783</v>
      </c>
      <c r="L1656" t="s">
        <v>823</v>
      </c>
      <c r="M1656" t="s">
        <v>828</v>
      </c>
      <c r="N1656" t="str">
        <f t="shared" si="75"/>
        <v>T-4</v>
      </c>
      <c r="O1656">
        <f t="shared" si="76"/>
        <v>2025</v>
      </c>
      <c r="P1656" t="str">
        <f t="shared" si="77"/>
        <v>10. octubre</v>
      </c>
    </row>
    <row r="1657" spans="1:16" x14ac:dyDescent="0.35">
      <c r="A1657">
        <v>714866</v>
      </c>
      <c r="B1657" t="s">
        <v>27</v>
      </c>
      <c r="C1657" t="s">
        <v>137</v>
      </c>
      <c r="D1657" t="s">
        <v>232</v>
      </c>
      <c r="E1657" t="s">
        <v>675</v>
      </c>
      <c r="F1657" t="s">
        <v>187</v>
      </c>
      <c r="G1657" s="1">
        <v>45939</v>
      </c>
      <c r="H1657" s="1">
        <v>45940</v>
      </c>
      <c r="I1657" s="2">
        <v>390</v>
      </c>
      <c r="J1657" t="s">
        <v>779</v>
      </c>
      <c r="K1657" t="s">
        <v>789</v>
      </c>
      <c r="L1657" t="s">
        <v>823</v>
      </c>
      <c r="M1657" t="s">
        <v>828</v>
      </c>
      <c r="N1657" t="str">
        <f t="shared" si="75"/>
        <v>T-4</v>
      </c>
      <c r="O1657">
        <f t="shared" si="76"/>
        <v>2025</v>
      </c>
      <c r="P1657" t="str">
        <f t="shared" si="77"/>
        <v>10. octubre</v>
      </c>
    </row>
    <row r="1658" spans="1:16" x14ac:dyDescent="0.35">
      <c r="A1658">
        <v>710986</v>
      </c>
      <c r="B1658" t="s">
        <v>19</v>
      </c>
      <c r="C1658" t="s">
        <v>138</v>
      </c>
      <c r="D1658" t="s">
        <v>192</v>
      </c>
      <c r="E1658" t="s">
        <v>651</v>
      </c>
      <c r="F1658" t="s">
        <v>187</v>
      </c>
      <c r="G1658" s="1">
        <v>45915</v>
      </c>
      <c r="H1658" s="1">
        <v>45919</v>
      </c>
      <c r="I1658" s="2">
        <v>735</v>
      </c>
      <c r="J1658" t="s">
        <v>776</v>
      </c>
      <c r="K1658" t="s">
        <v>787</v>
      </c>
      <c r="L1658" t="s">
        <v>823</v>
      </c>
      <c r="M1658" t="s">
        <v>830</v>
      </c>
      <c r="N1658" t="str">
        <f t="shared" si="75"/>
        <v>T-3</v>
      </c>
      <c r="O1658">
        <f t="shared" si="76"/>
        <v>2025</v>
      </c>
      <c r="P1658" t="str">
        <f t="shared" si="77"/>
        <v>9. septiembre</v>
      </c>
    </row>
    <row r="1659" spans="1:16" x14ac:dyDescent="0.35">
      <c r="A1659">
        <v>708635</v>
      </c>
      <c r="B1659" t="s">
        <v>25</v>
      </c>
      <c r="C1659" t="s">
        <v>138</v>
      </c>
      <c r="D1659" t="s">
        <v>192</v>
      </c>
      <c r="E1659" t="s">
        <v>651</v>
      </c>
      <c r="F1659" t="s">
        <v>187</v>
      </c>
      <c r="G1659" s="1">
        <v>45915</v>
      </c>
      <c r="H1659" s="1">
        <v>45919</v>
      </c>
      <c r="I1659" s="2">
        <v>490</v>
      </c>
      <c r="J1659" t="s">
        <v>776</v>
      </c>
      <c r="K1659" t="s">
        <v>783</v>
      </c>
      <c r="L1659" t="s">
        <v>823</v>
      </c>
      <c r="M1659" t="s">
        <v>829</v>
      </c>
      <c r="N1659" t="str">
        <f t="shared" si="75"/>
        <v>T-3</v>
      </c>
      <c r="O1659">
        <f t="shared" si="76"/>
        <v>2025</v>
      </c>
      <c r="P1659" t="str">
        <f t="shared" si="77"/>
        <v>9. septiembre</v>
      </c>
    </row>
    <row r="1660" spans="1:16" x14ac:dyDescent="0.35">
      <c r="A1660">
        <v>408880</v>
      </c>
      <c r="B1660" t="s">
        <v>50</v>
      </c>
      <c r="C1660" t="s">
        <v>138</v>
      </c>
      <c r="D1660" t="s">
        <v>192</v>
      </c>
      <c r="E1660" t="s">
        <v>651</v>
      </c>
      <c r="F1660" t="s">
        <v>187</v>
      </c>
      <c r="G1660" s="1">
        <v>45915</v>
      </c>
      <c r="H1660" s="1">
        <v>45919</v>
      </c>
      <c r="I1660" s="2">
        <v>245</v>
      </c>
      <c r="J1660" t="s">
        <v>776</v>
      </c>
      <c r="K1660" t="s">
        <v>812</v>
      </c>
      <c r="L1660" t="s">
        <v>824</v>
      </c>
      <c r="M1660" t="s">
        <v>830</v>
      </c>
      <c r="N1660" t="str">
        <f t="shared" si="75"/>
        <v>T-3</v>
      </c>
      <c r="O1660">
        <f t="shared" si="76"/>
        <v>2025</v>
      </c>
      <c r="P1660" t="str">
        <f t="shared" si="77"/>
        <v>9. septiembre</v>
      </c>
    </row>
    <row r="1661" spans="1:16" x14ac:dyDescent="0.35">
      <c r="A1661">
        <v>712119</v>
      </c>
      <c r="B1661" t="s">
        <v>39</v>
      </c>
      <c r="C1661" t="s">
        <v>138</v>
      </c>
      <c r="D1661" t="s">
        <v>270</v>
      </c>
      <c r="E1661" t="s">
        <v>652</v>
      </c>
      <c r="F1661" t="s">
        <v>187</v>
      </c>
      <c r="G1661" s="1">
        <v>45936</v>
      </c>
      <c r="H1661" s="1">
        <v>45946</v>
      </c>
      <c r="I1661" s="2">
        <v>520</v>
      </c>
      <c r="J1661" t="s">
        <v>776</v>
      </c>
      <c r="K1661" t="s">
        <v>783</v>
      </c>
      <c r="L1661" t="s">
        <v>823</v>
      </c>
      <c r="M1661" t="s">
        <v>830</v>
      </c>
      <c r="N1661" t="str">
        <f t="shared" si="75"/>
        <v>T-4</v>
      </c>
      <c r="O1661">
        <f t="shared" si="76"/>
        <v>2025</v>
      </c>
      <c r="P1661" t="str">
        <f t="shared" si="77"/>
        <v>10. octubre</v>
      </c>
    </row>
    <row r="1662" spans="1:16" x14ac:dyDescent="0.35">
      <c r="A1662">
        <v>719630</v>
      </c>
      <c r="B1662" t="s">
        <v>19</v>
      </c>
      <c r="C1662" t="s">
        <v>140</v>
      </c>
      <c r="D1662" t="s">
        <v>270</v>
      </c>
      <c r="E1662" t="s">
        <v>652</v>
      </c>
      <c r="F1662" t="s">
        <v>187</v>
      </c>
      <c r="G1662" s="1">
        <v>45936</v>
      </c>
      <c r="H1662" s="1">
        <v>45946</v>
      </c>
      <c r="I1662" s="2">
        <v>520</v>
      </c>
      <c r="J1662" t="s">
        <v>776</v>
      </c>
      <c r="K1662" t="s">
        <v>783</v>
      </c>
      <c r="L1662" t="s">
        <v>823</v>
      </c>
      <c r="M1662" t="s">
        <v>828</v>
      </c>
      <c r="N1662" t="str">
        <f t="shared" si="75"/>
        <v>T-4</v>
      </c>
      <c r="O1662">
        <f t="shared" si="76"/>
        <v>2025</v>
      </c>
      <c r="P1662" t="str">
        <f t="shared" si="77"/>
        <v>10. octubre</v>
      </c>
    </row>
    <row r="1663" spans="1:16" x14ac:dyDescent="0.35">
      <c r="A1663">
        <v>713391</v>
      </c>
      <c r="B1663" t="s">
        <v>23</v>
      </c>
      <c r="C1663" t="s">
        <v>141</v>
      </c>
      <c r="D1663" t="s">
        <v>270</v>
      </c>
      <c r="E1663" t="s">
        <v>652</v>
      </c>
      <c r="F1663" t="s">
        <v>187</v>
      </c>
      <c r="G1663" s="1">
        <v>45936</v>
      </c>
      <c r="H1663" s="1">
        <v>45946</v>
      </c>
      <c r="I1663" s="2">
        <v>1040</v>
      </c>
      <c r="J1663" t="s">
        <v>776</v>
      </c>
      <c r="K1663" t="s">
        <v>783</v>
      </c>
      <c r="L1663" t="s">
        <v>823</v>
      </c>
      <c r="M1663" t="s">
        <v>828</v>
      </c>
      <c r="N1663" t="str">
        <f t="shared" si="75"/>
        <v>T-4</v>
      </c>
      <c r="O1663">
        <f t="shared" si="76"/>
        <v>2025</v>
      </c>
      <c r="P1663" t="str">
        <f t="shared" si="77"/>
        <v>10. octubre</v>
      </c>
    </row>
    <row r="1664" spans="1:16" x14ac:dyDescent="0.35">
      <c r="A1664">
        <v>561157</v>
      </c>
      <c r="B1664" t="s">
        <v>20</v>
      </c>
      <c r="C1664" t="s">
        <v>139</v>
      </c>
      <c r="D1664" t="s">
        <v>270</v>
      </c>
      <c r="E1664" t="s">
        <v>652</v>
      </c>
      <c r="F1664" t="s">
        <v>187</v>
      </c>
      <c r="G1664" s="1">
        <v>45936</v>
      </c>
      <c r="H1664" s="1">
        <v>45946</v>
      </c>
      <c r="I1664" s="2">
        <v>520</v>
      </c>
      <c r="J1664" t="s">
        <v>776</v>
      </c>
      <c r="K1664" t="s">
        <v>783</v>
      </c>
      <c r="L1664" t="s">
        <v>823</v>
      </c>
      <c r="M1664" t="s">
        <v>829</v>
      </c>
      <c r="N1664" t="str">
        <f t="shared" si="75"/>
        <v>T-4</v>
      </c>
      <c r="O1664">
        <f t="shared" si="76"/>
        <v>2025</v>
      </c>
      <c r="P1664" t="str">
        <f t="shared" si="77"/>
        <v>10. octubre</v>
      </c>
    </row>
    <row r="1665" spans="1:16" x14ac:dyDescent="0.35">
      <c r="A1665">
        <v>706855</v>
      </c>
      <c r="B1665" t="s">
        <v>14</v>
      </c>
      <c r="C1665" t="s">
        <v>137</v>
      </c>
      <c r="D1665" t="s">
        <v>332</v>
      </c>
      <c r="E1665" t="s">
        <v>703</v>
      </c>
      <c r="F1665" t="s">
        <v>187</v>
      </c>
      <c r="G1665" s="1">
        <v>45943</v>
      </c>
      <c r="H1665" s="1">
        <v>45945</v>
      </c>
      <c r="I1665" s="2">
        <v>1702</v>
      </c>
      <c r="J1665" t="s">
        <v>776</v>
      </c>
      <c r="K1665" t="s">
        <v>783</v>
      </c>
      <c r="L1665" t="s">
        <v>823</v>
      </c>
      <c r="M1665" t="s">
        <v>830</v>
      </c>
      <c r="N1665" t="str">
        <f t="shared" si="75"/>
        <v>T-4</v>
      </c>
      <c r="O1665">
        <f t="shared" si="76"/>
        <v>2025</v>
      </c>
      <c r="P1665" t="str">
        <f t="shared" si="77"/>
        <v>10. octubre</v>
      </c>
    </row>
    <row r="1666" spans="1:16" x14ac:dyDescent="0.35">
      <c r="A1666">
        <v>716771</v>
      </c>
      <c r="B1666" t="s">
        <v>4</v>
      </c>
      <c r="C1666" t="s">
        <v>138</v>
      </c>
      <c r="D1666" t="s">
        <v>332</v>
      </c>
      <c r="E1666" t="s">
        <v>703</v>
      </c>
      <c r="F1666" t="s">
        <v>187</v>
      </c>
      <c r="G1666" s="1">
        <v>45943</v>
      </c>
      <c r="H1666" s="1">
        <v>45945</v>
      </c>
      <c r="I1666" s="2">
        <v>533</v>
      </c>
      <c r="J1666" t="s">
        <v>776</v>
      </c>
      <c r="K1666" t="s">
        <v>783</v>
      </c>
      <c r="L1666" t="s">
        <v>824</v>
      </c>
      <c r="M1666" t="s">
        <v>830</v>
      </c>
      <c r="N1666" t="str">
        <f t="shared" si="75"/>
        <v>T-4</v>
      </c>
      <c r="O1666">
        <f t="shared" si="76"/>
        <v>2025</v>
      </c>
      <c r="P1666" t="str">
        <f t="shared" si="77"/>
        <v>10. octubre</v>
      </c>
    </row>
    <row r="1667" spans="1:16" x14ac:dyDescent="0.35">
      <c r="A1667">
        <v>708719</v>
      </c>
      <c r="B1667" t="s">
        <v>32</v>
      </c>
      <c r="C1667" t="s">
        <v>138</v>
      </c>
      <c r="D1667" t="s">
        <v>373</v>
      </c>
      <c r="E1667" t="s">
        <v>703</v>
      </c>
      <c r="F1667" t="s">
        <v>187</v>
      </c>
      <c r="G1667" s="1">
        <v>45947</v>
      </c>
      <c r="H1667" s="1">
        <v>45947</v>
      </c>
      <c r="I1667" s="2">
        <v>372.5</v>
      </c>
      <c r="J1667" t="s">
        <v>776</v>
      </c>
      <c r="K1667" t="s">
        <v>783</v>
      </c>
      <c r="L1667" t="s">
        <v>823</v>
      </c>
      <c r="M1667" t="s">
        <v>828</v>
      </c>
      <c r="N1667" t="str">
        <f t="shared" ref="N1667:N1730" si="78">"T-" &amp; ROUNDUP((MONTH(G1667)/3), 0)</f>
        <v>T-4</v>
      </c>
      <c r="O1667">
        <f t="shared" ref="O1667:O1730" si="79">YEAR(G1667)</f>
        <v>2025</v>
      </c>
      <c r="P1667" t="str">
        <f t="shared" ref="P1667:P1730" si="80">MONTH(G1667) &amp; ". " &amp; TEXT(G1667, "MMMM")</f>
        <v>10. octubre</v>
      </c>
    </row>
    <row r="1668" spans="1:16" x14ac:dyDescent="0.35">
      <c r="A1668">
        <v>561914</v>
      </c>
      <c r="B1668" t="s">
        <v>20</v>
      </c>
      <c r="C1668" t="s">
        <v>136</v>
      </c>
      <c r="D1668" t="s">
        <v>591</v>
      </c>
      <c r="E1668" t="s">
        <v>703</v>
      </c>
      <c r="F1668" t="s">
        <v>187</v>
      </c>
      <c r="G1668" s="1">
        <v>45946</v>
      </c>
      <c r="H1668" s="1">
        <v>45946</v>
      </c>
      <c r="I1668" s="2">
        <v>298</v>
      </c>
      <c r="J1668" t="s">
        <v>776</v>
      </c>
      <c r="K1668" t="s">
        <v>783</v>
      </c>
      <c r="L1668" t="s">
        <v>823</v>
      </c>
      <c r="M1668" t="s">
        <v>830</v>
      </c>
      <c r="N1668" t="str">
        <f t="shared" si="78"/>
        <v>T-4</v>
      </c>
      <c r="O1668">
        <f t="shared" si="79"/>
        <v>2025</v>
      </c>
      <c r="P1668" t="str">
        <f t="shared" si="80"/>
        <v>10. octubre</v>
      </c>
    </row>
    <row r="1669" spans="1:16" x14ac:dyDescent="0.35">
      <c r="A1669">
        <v>443961</v>
      </c>
      <c r="B1669" t="s">
        <v>5</v>
      </c>
      <c r="C1669" t="s">
        <v>138</v>
      </c>
      <c r="D1669" t="s">
        <v>441</v>
      </c>
      <c r="E1669" t="s">
        <v>703</v>
      </c>
      <c r="F1669" t="s">
        <v>187</v>
      </c>
      <c r="G1669" s="1">
        <v>45943</v>
      </c>
      <c r="H1669" s="1">
        <v>45947</v>
      </c>
      <c r="I1669" s="2">
        <v>853.13</v>
      </c>
      <c r="J1669" t="s">
        <v>776</v>
      </c>
      <c r="K1669" t="s">
        <v>783</v>
      </c>
      <c r="L1669" t="s">
        <v>823</v>
      </c>
      <c r="M1669" t="s">
        <v>829</v>
      </c>
      <c r="N1669" t="str">
        <f t="shared" si="78"/>
        <v>T-4</v>
      </c>
      <c r="O1669">
        <f t="shared" si="79"/>
        <v>2025</v>
      </c>
      <c r="P1669" t="str">
        <f t="shared" si="80"/>
        <v>10. octubre</v>
      </c>
    </row>
    <row r="1670" spans="1:16" x14ac:dyDescent="0.35">
      <c r="A1670">
        <v>610887</v>
      </c>
      <c r="B1670" t="s">
        <v>13</v>
      </c>
      <c r="C1670" t="s">
        <v>138</v>
      </c>
      <c r="D1670" t="s">
        <v>504</v>
      </c>
      <c r="E1670" t="s">
        <v>703</v>
      </c>
      <c r="F1670" t="s">
        <v>187</v>
      </c>
      <c r="G1670" s="1">
        <v>45943</v>
      </c>
      <c r="H1670" s="1">
        <v>45947</v>
      </c>
      <c r="I1670" s="2">
        <v>618.41999999999996</v>
      </c>
      <c r="J1670" t="s">
        <v>776</v>
      </c>
      <c r="K1670" t="s">
        <v>783</v>
      </c>
      <c r="L1670" t="s">
        <v>823</v>
      </c>
      <c r="M1670" t="s">
        <v>830</v>
      </c>
      <c r="N1670" t="str">
        <f t="shared" si="78"/>
        <v>T-4</v>
      </c>
      <c r="O1670">
        <f t="shared" si="79"/>
        <v>2025</v>
      </c>
      <c r="P1670" t="str">
        <f t="shared" si="80"/>
        <v>10. octubre</v>
      </c>
    </row>
    <row r="1671" spans="1:16" x14ac:dyDescent="0.35">
      <c r="A1671">
        <v>706396</v>
      </c>
      <c r="B1671" t="s">
        <v>71</v>
      </c>
      <c r="C1671" t="s">
        <v>138</v>
      </c>
      <c r="D1671" t="s">
        <v>441</v>
      </c>
      <c r="E1671" t="s">
        <v>703</v>
      </c>
      <c r="F1671" t="s">
        <v>187</v>
      </c>
      <c r="G1671" s="1">
        <v>45943</v>
      </c>
      <c r="H1671" s="1">
        <v>45947</v>
      </c>
      <c r="I1671" s="2">
        <v>853.13</v>
      </c>
      <c r="J1671" t="s">
        <v>776</v>
      </c>
      <c r="K1671" t="s">
        <v>783</v>
      </c>
      <c r="L1671" t="s">
        <v>823</v>
      </c>
      <c r="M1671" t="s">
        <v>830</v>
      </c>
      <c r="N1671" t="str">
        <f t="shared" si="78"/>
        <v>T-4</v>
      </c>
      <c r="O1671">
        <f t="shared" si="79"/>
        <v>2025</v>
      </c>
      <c r="P1671" t="str">
        <f t="shared" si="80"/>
        <v>10. octubre</v>
      </c>
    </row>
    <row r="1672" spans="1:16" x14ac:dyDescent="0.35">
      <c r="A1672">
        <v>462830</v>
      </c>
      <c r="B1672" t="s">
        <v>25</v>
      </c>
      <c r="C1672" t="s">
        <v>139</v>
      </c>
      <c r="D1672" t="s">
        <v>504</v>
      </c>
      <c r="E1672" t="s">
        <v>703</v>
      </c>
      <c r="F1672" t="s">
        <v>187</v>
      </c>
      <c r="G1672" s="1">
        <v>45943</v>
      </c>
      <c r="H1672" s="1">
        <v>45947</v>
      </c>
      <c r="I1672" s="2">
        <v>1548.15</v>
      </c>
      <c r="J1672" t="s">
        <v>774</v>
      </c>
      <c r="K1672" t="s">
        <v>783</v>
      </c>
      <c r="L1672" t="s">
        <v>823</v>
      </c>
      <c r="M1672" t="s">
        <v>828</v>
      </c>
      <c r="N1672" t="str">
        <f t="shared" si="78"/>
        <v>T-4</v>
      </c>
      <c r="O1672">
        <f t="shared" si="79"/>
        <v>2025</v>
      </c>
      <c r="P1672" t="str">
        <f t="shared" si="80"/>
        <v>10. octubre</v>
      </c>
    </row>
    <row r="1673" spans="1:16" x14ac:dyDescent="0.35">
      <c r="A1673">
        <v>151635</v>
      </c>
      <c r="B1673" t="s">
        <v>36</v>
      </c>
      <c r="C1673" t="s">
        <v>141</v>
      </c>
      <c r="D1673" t="s">
        <v>441</v>
      </c>
      <c r="E1673" t="s">
        <v>703</v>
      </c>
      <c r="F1673" t="s">
        <v>187</v>
      </c>
      <c r="G1673" s="1">
        <v>45943</v>
      </c>
      <c r="H1673" s="1">
        <v>45947</v>
      </c>
      <c r="I1673" s="2">
        <v>853.13</v>
      </c>
      <c r="J1673" t="s">
        <v>776</v>
      </c>
      <c r="K1673" t="s">
        <v>783</v>
      </c>
      <c r="L1673" t="s">
        <v>824</v>
      </c>
      <c r="M1673" t="s">
        <v>828</v>
      </c>
      <c r="N1673" t="str">
        <f t="shared" si="78"/>
        <v>T-4</v>
      </c>
      <c r="O1673">
        <f t="shared" si="79"/>
        <v>2025</v>
      </c>
      <c r="P1673" t="str">
        <f t="shared" si="80"/>
        <v>10. octubre</v>
      </c>
    </row>
    <row r="1674" spans="1:16" x14ac:dyDescent="0.35">
      <c r="A1674">
        <v>589585</v>
      </c>
      <c r="B1674" t="s">
        <v>22</v>
      </c>
      <c r="C1674" t="s">
        <v>138</v>
      </c>
      <c r="D1674" t="s">
        <v>504</v>
      </c>
      <c r="E1674" t="s">
        <v>703</v>
      </c>
      <c r="F1674" t="s">
        <v>187</v>
      </c>
      <c r="G1674" s="1">
        <v>45943</v>
      </c>
      <c r="H1674" s="1">
        <v>45947</v>
      </c>
      <c r="I1674" s="2">
        <v>2164.4699999999998</v>
      </c>
      <c r="J1674" t="s">
        <v>776</v>
      </c>
      <c r="K1674" t="s">
        <v>783</v>
      </c>
      <c r="L1674" t="s">
        <v>823</v>
      </c>
      <c r="M1674" t="s">
        <v>830</v>
      </c>
      <c r="N1674" t="str">
        <f t="shared" si="78"/>
        <v>T-4</v>
      </c>
      <c r="O1674">
        <f t="shared" si="79"/>
        <v>2025</v>
      </c>
      <c r="P1674" t="str">
        <f t="shared" si="80"/>
        <v>10. octubre</v>
      </c>
    </row>
    <row r="1675" spans="1:16" x14ac:dyDescent="0.35">
      <c r="A1675">
        <v>706522</v>
      </c>
      <c r="B1675" t="s">
        <v>71</v>
      </c>
      <c r="C1675" t="s">
        <v>138</v>
      </c>
      <c r="D1675" t="s">
        <v>373</v>
      </c>
      <c r="E1675" t="s">
        <v>703</v>
      </c>
      <c r="F1675" t="s">
        <v>187</v>
      </c>
      <c r="G1675" s="1">
        <v>45947</v>
      </c>
      <c r="H1675" s="1">
        <v>45947</v>
      </c>
      <c r="I1675" s="2">
        <v>1117.5</v>
      </c>
      <c r="J1675" t="s">
        <v>776</v>
      </c>
      <c r="K1675" t="s">
        <v>783</v>
      </c>
      <c r="L1675" t="s">
        <v>823</v>
      </c>
      <c r="M1675" t="s">
        <v>829</v>
      </c>
      <c r="N1675" t="str">
        <f t="shared" si="78"/>
        <v>T-4</v>
      </c>
      <c r="O1675">
        <f t="shared" si="79"/>
        <v>2025</v>
      </c>
      <c r="P1675" t="str">
        <f t="shared" si="80"/>
        <v>10. octubre</v>
      </c>
    </row>
    <row r="1676" spans="1:16" x14ac:dyDescent="0.35">
      <c r="A1676">
        <v>604963</v>
      </c>
      <c r="B1676" t="s">
        <v>13</v>
      </c>
      <c r="C1676" t="s">
        <v>138</v>
      </c>
      <c r="D1676" t="s">
        <v>591</v>
      </c>
      <c r="E1676" t="s">
        <v>703</v>
      </c>
      <c r="F1676" t="s">
        <v>187</v>
      </c>
      <c r="G1676" s="1">
        <v>45946</v>
      </c>
      <c r="H1676" s="1">
        <v>45946</v>
      </c>
      <c r="I1676" s="2">
        <v>1192</v>
      </c>
      <c r="J1676" t="s">
        <v>776</v>
      </c>
      <c r="K1676" t="s">
        <v>783</v>
      </c>
      <c r="L1676" t="s">
        <v>823</v>
      </c>
      <c r="M1676" t="s">
        <v>830</v>
      </c>
      <c r="N1676" t="str">
        <f t="shared" si="78"/>
        <v>T-4</v>
      </c>
      <c r="O1676">
        <f t="shared" si="79"/>
        <v>2025</v>
      </c>
      <c r="P1676" t="str">
        <f t="shared" si="80"/>
        <v>10. octubre</v>
      </c>
    </row>
    <row r="1677" spans="1:16" x14ac:dyDescent="0.35">
      <c r="A1677">
        <v>713207</v>
      </c>
      <c r="B1677" t="s">
        <v>71</v>
      </c>
      <c r="C1677" t="s">
        <v>138</v>
      </c>
      <c r="D1677" t="s">
        <v>504</v>
      </c>
      <c r="E1677" t="s">
        <v>703</v>
      </c>
      <c r="F1677" t="s">
        <v>187</v>
      </c>
      <c r="G1677" s="1">
        <v>45943</v>
      </c>
      <c r="H1677" s="1">
        <v>45947</v>
      </c>
      <c r="I1677" s="2">
        <v>309.20999999999998</v>
      </c>
      <c r="J1677" t="s">
        <v>776</v>
      </c>
      <c r="K1677" t="s">
        <v>783</v>
      </c>
      <c r="L1677" t="s">
        <v>823</v>
      </c>
      <c r="M1677" t="s">
        <v>830</v>
      </c>
      <c r="N1677" t="str">
        <f t="shared" si="78"/>
        <v>T-4</v>
      </c>
      <c r="O1677">
        <f t="shared" si="79"/>
        <v>2025</v>
      </c>
      <c r="P1677" t="str">
        <f t="shared" si="80"/>
        <v>10. octubre</v>
      </c>
    </row>
    <row r="1678" spans="1:16" x14ac:dyDescent="0.35">
      <c r="A1678">
        <v>717640</v>
      </c>
      <c r="B1678" t="s">
        <v>30</v>
      </c>
      <c r="C1678" t="s">
        <v>137</v>
      </c>
      <c r="D1678" t="s">
        <v>504</v>
      </c>
      <c r="E1678" t="s">
        <v>703</v>
      </c>
      <c r="F1678" t="s">
        <v>187</v>
      </c>
      <c r="G1678" s="1">
        <v>45943</v>
      </c>
      <c r="H1678" s="1">
        <v>45947</v>
      </c>
      <c r="I1678" s="2">
        <v>309.20999999999998</v>
      </c>
      <c r="J1678" t="s">
        <v>776</v>
      </c>
      <c r="K1678" t="s">
        <v>783</v>
      </c>
      <c r="L1678" t="s">
        <v>823</v>
      </c>
      <c r="M1678" t="s">
        <v>828</v>
      </c>
      <c r="N1678" t="str">
        <f t="shared" si="78"/>
        <v>T-4</v>
      </c>
      <c r="O1678">
        <f t="shared" si="79"/>
        <v>2025</v>
      </c>
      <c r="P1678" t="str">
        <f t="shared" si="80"/>
        <v>10. octubre</v>
      </c>
    </row>
    <row r="1679" spans="1:16" x14ac:dyDescent="0.35">
      <c r="A1679">
        <v>709018</v>
      </c>
      <c r="B1679" t="s">
        <v>20</v>
      </c>
      <c r="C1679" t="s">
        <v>136</v>
      </c>
      <c r="D1679" t="s">
        <v>148</v>
      </c>
      <c r="E1679" t="s">
        <v>651</v>
      </c>
      <c r="F1679" t="s">
        <v>773</v>
      </c>
      <c r="G1679" s="1">
        <v>46009</v>
      </c>
      <c r="H1679" s="1">
        <v>46009</v>
      </c>
      <c r="I1679" s="2">
        <v>250</v>
      </c>
      <c r="J1679" t="s">
        <v>774</v>
      </c>
      <c r="K1679" t="s">
        <v>783</v>
      </c>
      <c r="L1679" t="s">
        <v>823</v>
      </c>
      <c r="M1679" t="s">
        <v>828</v>
      </c>
      <c r="N1679" t="str">
        <f t="shared" si="78"/>
        <v>T-4</v>
      </c>
      <c r="O1679">
        <f t="shared" si="79"/>
        <v>2025</v>
      </c>
      <c r="P1679" t="str">
        <f t="shared" si="80"/>
        <v>12. diciembre</v>
      </c>
    </row>
    <row r="1680" spans="1:16" x14ac:dyDescent="0.35">
      <c r="A1680">
        <v>420619</v>
      </c>
      <c r="B1680" t="s">
        <v>17</v>
      </c>
      <c r="C1680" t="s">
        <v>139</v>
      </c>
      <c r="D1680" t="s">
        <v>148</v>
      </c>
      <c r="E1680" t="s">
        <v>651</v>
      </c>
      <c r="F1680" t="s">
        <v>773</v>
      </c>
      <c r="G1680" s="1">
        <v>46009</v>
      </c>
      <c r="H1680" s="1">
        <v>46009</v>
      </c>
      <c r="I1680" s="2">
        <v>250</v>
      </c>
      <c r="J1680" t="s">
        <v>774</v>
      </c>
      <c r="K1680" t="s">
        <v>783</v>
      </c>
      <c r="L1680" t="s">
        <v>823</v>
      </c>
      <c r="M1680" t="s">
        <v>829</v>
      </c>
      <c r="N1680" t="str">
        <f t="shared" si="78"/>
        <v>T-4</v>
      </c>
      <c r="O1680">
        <f t="shared" si="79"/>
        <v>2025</v>
      </c>
      <c r="P1680" t="str">
        <f t="shared" si="80"/>
        <v>12. diciembre</v>
      </c>
    </row>
    <row r="1681" spans="1:16" x14ac:dyDescent="0.35">
      <c r="A1681">
        <v>706480</v>
      </c>
      <c r="B1681" t="s">
        <v>4</v>
      </c>
      <c r="C1681" t="s">
        <v>138</v>
      </c>
      <c r="D1681" t="s">
        <v>148</v>
      </c>
      <c r="E1681" t="s">
        <v>651</v>
      </c>
      <c r="F1681" t="s">
        <v>773</v>
      </c>
      <c r="G1681" s="1">
        <v>46009</v>
      </c>
      <c r="H1681" s="1">
        <v>46009</v>
      </c>
      <c r="I1681" s="2">
        <v>250</v>
      </c>
      <c r="J1681" t="s">
        <v>774</v>
      </c>
      <c r="K1681" t="s">
        <v>783</v>
      </c>
      <c r="L1681" t="s">
        <v>824</v>
      </c>
      <c r="M1681" t="s">
        <v>830</v>
      </c>
      <c r="N1681" t="str">
        <f t="shared" si="78"/>
        <v>T-4</v>
      </c>
      <c r="O1681">
        <f t="shared" si="79"/>
        <v>2025</v>
      </c>
      <c r="P1681" t="str">
        <f t="shared" si="80"/>
        <v>12. diciembre</v>
      </c>
    </row>
    <row r="1682" spans="1:16" x14ac:dyDescent="0.35">
      <c r="A1682">
        <v>718209</v>
      </c>
      <c r="B1682" t="s">
        <v>19</v>
      </c>
      <c r="C1682" t="s">
        <v>137</v>
      </c>
      <c r="D1682" t="s">
        <v>148</v>
      </c>
      <c r="E1682" t="s">
        <v>651</v>
      </c>
      <c r="F1682" t="s">
        <v>773</v>
      </c>
      <c r="G1682" s="1">
        <v>46009</v>
      </c>
      <c r="H1682" s="1">
        <v>46009</v>
      </c>
      <c r="I1682" s="2">
        <v>250</v>
      </c>
      <c r="J1682" t="s">
        <v>774</v>
      </c>
      <c r="K1682" t="s">
        <v>783</v>
      </c>
      <c r="L1682" t="s">
        <v>823</v>
      </c>
      <c r="M1682" t="s">
        <v>830</v>
      </c>
      <c r="N1682" t="str">
        <f t="shared" si="78"/>
        <v>T-4</v>
      </c>
      <c r="O1682">
        <f t="shared" si="79"/>
        <v>2025</v>
      </c>
      <c r="P1682" t="str">
        <f t="shared" si="80"/>
        <v>12. diciembre</v>
      </c>
    </row>
    <row r="1683" spans="1:16" x14ac:dyDescent="0.35">
      <c r="A1683">
        <v>611300</v>
      </c>
      <c r="B1683" t="s">
        <v>13</v>
      </c>
      <c r="C1683" t="s">
        <v>138</v>
      </c>
      <c r="D1683" t="s">
        <v>148</v>
      </c>
      <c r="E1683" t="s">
        <v>651</v>
      </c>
      <c r="F1683" t="s">
        <v>773</v>
      </c>
      <c r="G1683" s="1">
        <v>46009</v>
      </c>
      <c r="H1683" s="1">
        <v>46009</v>
      </c>
      <c r="I1683" s="2">
        <v>250</v>
      </c>
      <c r="J1683" t="s">
        <v>774</v>
      </c>
      <c r="K1683" t="s">
        <v>783</v>
      </c>
      <c r="L1683" t="s">
        <v>823</v>
      </c>
      <c r="M1683" t="s">
        <v>828</v>
      </c>
      <c r="N1683" t="str">
        <f t="shared" si="78"/>
        <v>T-4</v>
      </c>
      <c r="O1683">
        <f t="shared" si="79"/>
        <v>2025</v>
      </c>
      <c r="P1683" t="str">
        <f t="shared" si="80"/>
        <v>12. diciembre</v>
      </c>
    </row>
    <row r="1684" spans="1:16" x14ac:dyDescent="0.35">
      <c r="A1684">
        <v>420486</v>
      </c>
      <c r="B1684" t="s">
        <v>24</v>
      </c>
      <c r="C1684" t="s">
        <v>138</v>
      </c>
      <c r="D1684" t="s">
        <v>148</v>
      </c>
      <c r="E1684" t="s">
        <v>651</v>
      </c>
      <c r="F1684" t="s">
        <v>773</v>
      </c>
      <c r="G1684" s="1">
        <v>46009</v>
      </c>
      <c r="H1684" s="1">
        <v>46009</v>
      </c>
      <c r="I1684" s="2">
        <v>250</v>
      </c>
      <c r="J1684" t="s">
        <v>774</v>
      </c>
      <c r="K1684" t="s">
        <v>783</v>
      </c>
      <c r="L1684" t="s">
        <v>823</v>
      </c>
      <c r="M1684" t="s">
        <v>830</v>
      </c>
      <c r="N1684" t="str">
        <f t="shared" si="78"/>
        <v>T-4</v>
      </c>
      <c r="O1684">
        <f t="shared" si="79"/>
        <v>2025</v>
      </c>
      <c r="P1684" t="str">
        <f t="shared" si="80"/>
        <v>12. diciembre</v>
      </c>
    </row>
    <row r="1685" spans="1:16" x14ac:dyDescent="0.35">
      <c r="A1685">
        <v>566642</v>
      </c>
      <c r="B1685" t="s">
        <v>30</v>
      </c>
      <c r="C1685" t="s">
        <v>138</v>
      </c>
      <c r="D1685" t="s">
        <v>148</v>
      </c>
      <c r="E1685" t="s">
        <v>651</v>
      </c>
      <c r="F1685" t="s">
        <v>773</v>
      </c>
      <c r="G1685" s="1">
        <v>46009</v>
      </c>
      <c r="H1685" s="1">
        <v>46009</v>
      </c>
      <c r="I1685" s="2">
        <v>250</v>
      </c>
      <c r="J1685" t="s">
        <v>774</v>
      </c>
      <c r="K1685" t="s">
        <v>783</v>
      </c>
      <c r="L1685" t="s">
        <v>823</v>
      </c>
      <c r="M1685" t="s">
        <v>829</v>
      </c>
      <c r="N1685" t="str">
        <f t="shared" si="78"/>
        <v>T-4</v>
      </c>
      <c r="O1685">
        <f t="shared" si="79"/>
        <v>2025</v>
      </c>
      <c r="P1685" t="str">
        <f t="shared" si="80"/>
        <v>12. diciembre</v>
      </c>
    </row>
    <row r="1686" spans="1:16" x14ac:dyDescent="0.35">
      <c r="A1686">
        <v>707252</v>
      </c>
      <c r="B1686" t="s">
        <v>5</v>
      </c>
      <c r="C1686" t="s">
        <v>138</v>
      </c>
      <c r="D1686" t="s">
        <v>148</v>
      </c>
      <c r="E1686" t="s">
        <v>651</v>
      </c>
      <c r="F1686" t="s">
        <v>773</v>
      </c>
      <c r="G1686" s="1">
        <v>46009</v>
      </c>
      <c r="H1686" s="1">
        <v>46009</v>
      </c>
      <c r="I1686" s="2">
        <v>250</v>
      </c>
      <c r="J1686" t="s">
        <v>774</v>
      </c>
      <c r="K1686" t="s">
        <v>787</v>
      </c>
      <c r="L1686" t="s">
        <v>823</v>
      </c>
      <c r="M1686" t="s">
        <v>830</v>
      </c>
      <c r="N1686" t="str">
        <f t="shared" si="78"/>
        <v>T-4</v>
      </c>
      <c r="O1686">
        <f t="shared" si="79"/>
        <v>2025</v>
      </c>
      <c r="P1686" t="str">
        <f t="shared" si="80"/>
        <v>12. diciembre</v>
      </c>
    </row>
    <row r="1687" spans="1:16" x14ac:dyDescent="0.35">
      <c r="A1687">
        <v>709537</v>
      </c>
      <c r="B1687" t="s">
        <v>30</v>
      </c>
      <c r="C1687" t="s">
        <v>138</v>
      </c>
      <c r="D1687" t="s">
        <v>148</v>
      </c>
      <c r="E1687" t="s">
        <v>651</v>
      </c>
      <c r="F1687" t="s">
        <v>773</v>
      </c>
      <c r="G1687" s="1">
        <v>46009</v>
      </c>
      <c r="H1687" s="1">
        <v>46009</v>
      </c>
      <c r="I1687" s="2">
        <v>250</v>
      </c>
      <c r="J1687" t="s">
        <v>774</v>
      </c>
      <c r="K1687" t="s">
        <v>783</v>
      </c>
      <c r="L1687" t="s">
        <v>824</v>
      </c>
      <c r="M1687" t="s">
        <v>830</v>
      </c>
      <c r="N1687" t="str">
        <f t="shared" si="78"/>
        <v>T-4</v>
      </c>
      <c r="O1687">
        <f t="shared" si="79"/>
        <v>2025</v>
      </c>
      <c r="P1687" t="str">
        <f t="shared" si="80"/>
        <v>12. diciembre</v>
      </c>
    </row>
    <row r="1688" spans="1:16" x14ac:dyDescent="0.35">
      <c r="A1688">
        <v>363558</v>
      </c>
      <c r="B1688" t="s">
        <v>45</v>
      </c>
      <c r="C1688" t="s">
        <v>139</v>
      </c>
      <c r="D1688" t="s">
        <v>148</v>
      </c>
      <c r="E1688" t="s">
        <v>651</v>
      </c>
      <c r="F1688" t="s">
        <v>773</v>
      </c>
      <c r="G1688" s="1">
        <v>46009</v>
      </c>
      <c r="H1688" s="1">
        <v>46009</v>
      </c>
      <c r="I1688" s="2">
        <v>250</v>
      </c>
      <c r="J1688" t="s">
        <v>774</v>
      </c>
      <c r="K1688" t="s">
        <v>783</v>
      </c>
      <c r="L1688" t="s">
        <v>823</v>
      </c>
      <c r="M1688" t="s">
        <v>828</v>
      </c>
      <c r="N1688" t="str">
        <f t="shared" si="78"/>
        <v>T-4</v>
      </c>
      <c r="O1688">
        <f t="shared" si="79"/>
        <v>2025</v>
      </c>
      <c r="P1688" t="str">
        <f t="shared" si="80"/>
        <v>12. diciembre</v>
      </c>
    </row>
    <row r="1689" spans="1:16" x14ac:dyDescent="0.35">
      <c r="A1689">
        <v>610566</v>
      </c>
      <c r="B1689" t="s">
        <v>13</v>
      </c>
      <c r="C1689" t="s">
        <v>138</v>
      </c>
      <c r="D1689" t="s">
        <v>389</v>
      </c>
      <c r="E1689" t="s">
        <v>718</v>
      </c>
      <c r="F1689" t="s">
        <v>187</v>
      </c>
      <c r="G1689" s="1">
        <v>45793</v>
      </c>
      <c r="H1689" s="1">
        <v>45807</v>
      </c>
      <c r="I1689" s="2">
        <v>300</v>
      </c>
      <c r="J1689" t="s">
        <v>777</v>
      </c>
      <c r="K1689" t="s">
        <v>800</v>
      </c>
      <c r="L1689" t="s">
        <v>823</v>
      </c>
      <c r="M1689" t="s">
        <v>828</v>
      </c>
      <c r="N1689" t="str">
        <f t="shared" si="78"/>
        <v>T-2</v>
      </c>
      <c r="O1689">
        <f t="shared" si="79"/>
        <v>2025</v>
      </c>
      <c r="P1689" t="str">
        <f t="shared" si="80"/>
        <v>5. mayo</v>
      </c>
    </row>
    <row r="1690" spans="1:16" x14ac:dyDescent="0.35">
      <c r="A1690">
        <v>391238</v>
      </c>
      <c r="B1690" t="s">
        <v>13</v>
      </c>
      <c r="C1690" t="s">
        <v>136</v>
      </c>
      <c r="D1690" t="s">
        <v>592</v>
      </c>
      <c r="E1690" t="s">
        <v>675</v>
      </c>
      <c r="F1690" t="s">
        <v>187</v>
      </c>
      <c r="G1690" s="1">
        <v>45922</v>
      </c>
      <c r="H1690" s="1">
        <v>45922</v>
      </c>
      <c r="I1690" s="2">
        <v>1560</v>
      </c>
      <c r="J1690" t="s">
        <v>778</v>
      </c>
      <c r="K1690" t="s">
        <v>783</v>
      </c>
      <c r="L1690" t="s">
        <v>823</v>
      </c>
      <c r="M1690" t="s">
        <v>830</v>
      </c>
      <c r="N1690" t="str">
        <f t="shared" si="78"/>
        <v>T-3</v>
      </c>
      <c r="O1690">
        <f t="shared" si="79"/>
        <v>2025</v>
      </c>
      <c r="P1690" t="str">
        <f t="shared" si="80"/>
        <v>9. septiembre</v>
      </c>
    </row>
    <row r="1691" spans="1:16" x14ac:dyDescent="0.35">
      <c r="A1691">
        <v>751681</v>
      </c>
      <c r="B1691" t="s">
        <v>31</v>
      </c>
      <c r="C1691" t="s">
        <v>138</v>
      </c>
      <c r="D1691" t="s">
        <v>161</v>
      </c>
      <c r="E1691" t="s">
        <v>679</v>
      </c>
      <c r="F1691" t="s">
        <v>187</v>
      </c>
      <c r="G1691" s="1">
        <v>45947</v>
      </c>
      <c r="H1691" s="1">
        <v>45947</v>
      </c>
      <c r="I1691" s="2">
        <v>3920</v>
      </c>
      <c r="J1691" t="s">
        <v>779</v>
      </c>
      <c r="K1691" t="s">
        <v>785</v>
      </c>
      <c r="L1691" t="s">
        <v>823</v>
      </c>
      <c r="M1691" t="s">
        <v>829</v>
      </c>
      <c r="N1691" t="str">
        <f t="shared" si="78"/>
        <v>T-4</v>
      </c>
      <c r="O1691">
        <f t="shared" si="79"/>
        <v>2025</v>
      </c>
      <c r="P1691" t="str">
        <f t="shared" si="80"/>
        <v>10. octubre</v>
      </c>
    </row>
    <row r="1692" spans="1:16" x14ac:dyDescent="0.35">
      <c r="A1692">
        <v>152114</v>
      </c>
      <c r="B1692" t="s">
        <v>130</v>
      </c>
      <c r="C1692" t="s">
        <v>139</v>
      </c>
      <c r="D1692" t="s">
        <v>161</v>
      </c>
      <c r="E1692" t="s">
        <v>679</v>
      </c>
      <c r="F1692" t="s">
        <v>187</v>
      </c>
      <c r="G1692" s="1">
        <v>45947</v>
      </c>
      <c r="H1692" s="1">
        <v>45947</v>
      </c>
      <c r="I1692" s="2">
        <v>280</v>
      </c>
      <c r="J1692" t="s">
        <v>779</v>
      </c>
      <c r="K1692" t="s">
        <v>789</v>
      </c>
      <c r="L1692" t="s">
        <v>823</v>
      </c>
      <c r="M1692" t="s">
        <v>830</v>
      </c>
      <c r="N1692" t="str">
        <f t="shared" si="78"/>
        <v>T-4</v>
      </c>
      <c r="O1692">
        <f t="shared" si="79"/>
        <v>2025</v>
      </c>
      <c r="P1692" t="str">
        <f t="shared" si="80"/>
        <v>10. octubre</v>
      </c>
    </row>
    <row r="1693" spans="1:16" x14ac:dyDescent="0.35">
      <c r="A1693">
        <v>407030</v>
      </c>
      <c r="B1693" t="s">
        <v>33</v>
      </c>
      <c r="C1693" t="s">
        <v>138</v>
      </c>
      <c r="D1693" t="s">
        <v>593</v>
      </c>
      <c r="E1693" t="s">
        <v>759</v>
      </c>
      <c r="F1693" t="s">
        <v>773</v>
      </c>
      <c r="G1693" s="1">
        <v>46006</v>
      </c>
      <c r="H1693" s="1">
        <v>46006</v>
      </c>
      <c r="I1693" s="2">
        <v>2835</v>
      </c>
      <c r="J1693" t="s">
        <v>774</v>
      </c>
      <c r="K1693" t="s">
        <v>786</v>
      </c>
      <c r="L1693" t="s">
        <v>823</v>
      </c>
      <c r="M1693" t="s">
        <v>830</v>
      </c>
      <c r="N1693" t="str">
        <f t="shared" si="78"/>
        <v>T-4</v>
      </c>
      <c r="O1693">
        <f t="shared" si="79"/>
        <v>2025</v>
      </c>
      <c r="P1693" t="str">
        <f t="shared" si="80"/>
        <v>12. diciembre</v>
      </c>
    </row>
    <row r="1694" spans="1:16" x14ac:dyDescent="0.35">
      <c r="A1694">
        <v>702047</v>
      </c>
      <c r="B1694" t="s">
        <v>27</v>
      </c>
      <c r="C1694" t="s">
        <v>138</v>
      </c>
      <c r="D1694" t="s">
        <v>594</v>
      </c>
      <c r="E1694" t="s">
        <v>682</v>
      </c>
      <c r="F1694" t="s">
        <v>187</v>
      </c>
      <c r="G1694" s="1">
        <v>45930</v>
      </c>
      <c r="H1694" s="1">
        <v>45930</v>
      </c>
      <c r="I1694" s="2">
        <v>450</v>
      </c>
      <c r="J1694" t="s">
        <v>777</v>
      </c>
      <c r="K1694" t="s">
        <v>783</v>
      </c>
      <c r="L1694" t="s">
        <v>824</v>
      </c>
      <c r="M1694" t="s">
        <v>828</v>
      </c>
      <c r="N1694" t="str">
        <f t="shared" si="78"/>
        <v>T-3</v>
      </c>
      <c r="O1694">
        <f t="shared" si="79"/>
        <v>2025</v>
      </c>
      <c r="P1694" t="str">
        <f t="shared" si="80"/>
        <v>9. septiembre</v>
      </c>
    </row>
    <row r="1695" spans="1:16" x14ac:dyDescent="0.35">
      <c r="A1695">
        <v>715360</v>
      </c>
      <c r="B1695" t="s">
        <v>25</v>
      </c>
      <c r="C1695" t="s">
        <v>138</v>
      </c>
      <c r="D1695" t="s">
        <v>594</v>
      </c>
      <c r="E1695" t="s">
        <v>682</v>
      </c>
      <c r="F1695" t="s">
        <v>187</v>
      </c>
      <c r="G1695" s="1">
        <v>45930</v>
      </c>
      <c r="H1695" s="1">
        <v>45930</v>
      </c>
      <c r="I1695" s="2">
        <v>630</v>
      </c>
      <c r="J1695" t="s">
        <v>777</v>
      </c>
      <c r="K1695" t="s">
        <v>783</v>
      </c>
      <c r="L1695" t="s">
        <v>823</v>
      </c>
      <c r="M1695" t="s">
        <v>828</v>
      </c>
      <c r="N1695" t="str">
        <f t="shared" si="78"/>
        <v>T-3</v>
      </c>
      <c r="O1695">
        <f t="shared" si="79"/>
        <v>2025</v>
      </c>
      <c r="P1695" t="str">
        <f t="shared" si="80"/>
        <v>9. septiembre</v>
      </c>
    </row>
    <row r="1696" spans="1:16" x14ac:dyDescent="0.35">
      <c r="A1696">
        <v>713979</v>
      </c>
      <c r="B1696" t="s">
        <v>34</v>
      </c>
      <c r="C1696" t="s">
        <v>138</v>
      </c>
      <c r="D1696" t="s">
        <v>595</v>
      </c>
      <c r="E1696" t="s">
        <v>760</v>
      </c>
      <c r="F1696" t="s">
        <v>773</v>
      </c>
      <c r="G1696" s="1">
        <v>45950</v>
      </c>
      <c r="H1696" s="1">
        <v>45966</v>
      </c>
      <c r="I1696" s="2">
        <v>1288</v>
      </c>
      <c r="J1696" t="s">
        <v>777</v>
      </c>
      <c r="K1696" t="s">
        <v>786</v>
      </c>
      <c r="L1696" t="s">
        <v>823</v>
      </c>
      <c r="M1696" t="s">
        <v>829</v>
      </c>
      <c r="N1696" t="str">
        <f t="shared" si="78"/>
        <v>T-4</v>
      </c>
      <c r="O1696">
        <f t="shared" si="79"/>
        <v>2025</v>
      </c>
      <c r="P1696" t="str">
        <f t="shared" si="80"/>
        <v>10. octubre</v>
      </c>
    </row>
    <row r="1697" spans="1:16" x14ac:dyDescent="0.35">
      <c r="A1697">
        <v>720645</v>
      </c>
      <c r="B1697" t="s">
        <v>55</v>
      </c>
      <c r="C1697" t="s">
        <v>141</v>
      </c>
      <c r="D1697" t="s">
        <v>353</v>
      </c>
      <c r="E1697" t="s">
        <v>660</v>
      </c>
      <c r="F1697" t="s">
        <v>187</v>
      </c>
      <c r="G1697" s="1">
        <v>45936</v>
      </c>
      <c r="H1697" s="1">
        <v>45938</v>
      </c>
      <c r="I1697" s="2">
        <v>390</v>
      </c>
      <c r="J1697" t="s">
        <v>776</v>
      </c>
      <c r="K1697" t="s">
        <v>786</v>
      </c>
      <c r="L1697" t="s">
        <v>823</v>
      </c>
      <c r="M1697" t="s">
        <v>830</v>
      </c>
      <c r="N1697" t="str">
        <f t="shared" si="78"/>
        <v>T-4</v>
      </c>
      <c r="O1697">
        <f t="shared" si="79"/>
        <v>2025</v>
      </c>
      <c r="P1697" t="str">
        <f t="shared" si="80"/>
        <v>10. octubre</v>
      </c>
    </row>
    <row r="1698" spans="1:16" x14ac:dyDescent="0.35">
      <c r="A1698">
        <v>720136</v>
      </c>
      <c r="B1698" t="s">
        <v>50</v>
      </c>
      <c r="C1698" t="s">
        <v>138</v>
      </c>
      <c r="D1698" t="s">
        <v>353</v>
      </c>
      <c r="E1698" t="s">
        <v>660</v>
      </c>
      <c r="F1698" t="s">
        <v>187</v>
      </c>
      <c r="G1698" s="1">
        <v>45936</v>
      </c>
      <c r="H1698" s="1">
        <v>45938</v>
      </c>
      <c r="I1698" s="2">
        <v>250.84</v>
      </c>
      <c r="J1698" t="s">
        <v>776</v>
      </c>
      <c r="K1698" t="s">
        <v>786</v>
      </c>
      <c r="L1698" t="s">
        <v>823</v>
      </c>
      <c r="M1698" t="s">
        <v>830</v>
      </c>
      <c r="N1698" t="str">
        <f t="shared" si="78"/>
        <v>T-4</v>
      </c>
      <c r="O1698">
        <f t="shared" si="79"/>
        <v>2025</v>
      </c>
      <c r="P1698" t="str">
        <f t="shared" si="80"/>
        <v>10. octubre</v>
      </c>
    </row>
    <row r="1699" spans="1:16" x14ac:dyDescent="0.35">
      <c r="A1699">
        <v>497273</v>
      </c>
      <c r="B1699" t="s">
        <v>30</v>
      </c>
      <c r="C1699" t="s">
        <v>138</v>
      </c>
      <c r="D1699" t="s">
        <v>596</v>
      </c>
      <c r="E1699" t="s">
        <v>660</v>
      </c>
      <c r="F1699" t="s">
        <v>187</v>
      </c>
      <c r="G1699" s="1">
        <v>45943</v>
      </c>
      <c r="H1699" s="1">
        <v>45951</v>
      </c>
      <c r="I1699" s="2">
        <v>1365</v>
      </c>
      <c r="J1699" t="s">
        <v>776</v>
      </c>
      <c r="K1699" t="s">
        <v>791</v>
      </c>
      <c r="L1699" t="s">
        <v>823</v>
      </c>
      <c r="M1699" t="s">
        <v>828</v>
      </c>
      <c r="N1699" t="str">
        <f t="shared" si="78"/>
        <v>T-4</v>
      </c>
      <c r="O1699">
        <f t="shared" si="79"/>
        <v>2025</v>
      </c>
      <c r="P1699" t="str">
        <f t="shared" si="80"/>
        <v>10. octubre</v>
      </c>
    </row>
    <row r="1700" spans="1:16" x14ac:dyDescent="0.35">
      <c r="A1700">
        <v>499162</v>
      </c>
      <c r="B1700" t="s">
        <v>23</v>
      </c>
      <c r="C1700" t="s">
        <v>136</v>
      </c>
      <c r="D1700" t="s">
        <v>353</v>
      </c>
      <c r="E1700" t="s">
        <v>660</v>
      </c>
      <c r="F1700" t="s">
        <v>187</v>
      </c>
      <c r="G1700" s="1">
        <v>45936</v>
      </c>
      <c r="H1700" s="1">
        <v>45938</v>
      </c>
      <c r="I1700" s="2">
        <v>1170</v>
      </c>
      <c r="J1700" t="s">
        <v>776</v>
      </c>
      <c r="K1700" t="s">
        <v>786</v>
      </c>
      <c r="L1700" t="s">
        <v>823</v>
      </c>
      <c r="M1700" t="s">
        <v>830</v>
      </c>
      <c r="N1700" t="str">
        <f t="shared" si="78"/>
        <v>T-4</v>
      </c>
      <c r="O1700">
        <f t="shared" si="79"/>
        <v>2025</v>
      </c>
      <c r="P1700" t="str">
        <f t="shared" si="80"/>
        <v>10. octubre</v>
      </c>
    </row>
    <row r="1701" spans="1:16" x14ac:dyDescent="0.35">
      <c r="A1701">
        <v>609267</v>
      </c>
      <c r="B1701" t="s">
        <v>13</v>
      </c>
      <c r="C1701" t="s">
        <v>138</v>
      </c>
      <c r="D1701" t="s">
        <v>597</v>
      </c>
      <c r="E1701" t="s">
        <v>660</v>
      </c>
      <c r="F1701" t="s">
        <v>187</v>
      </c>
      <c r="G1701" s="1">
        <v>45943</v>
      </c>
      <c r="H1701" s="1">
        <v>45944</v>
      </c>
      <c r="I1701" s="2">
        <v>2002</v>
      </c>
      <c r="J1701" t="s">
        <v>776</v>
      </c>
      <c r="K1701" t="s">
        <v>783</v>
      </c>
      <c r="L1701" t="s">
        <v>823</v>
      </c>
      <c r="M1701" t="s">
        <v>829</v>
      </c>
      <c r="N1701" t="str">
        <f t="shared" si="78"/>
        <v>T-4</v>
      </c>
      <c r="O1701">
        <f t="shared" si="79"/>
        <v>2025</v>
      </c>
      <c r="P1701" t="str">
        <f t="shared" si="80"/>
        <v>10. octubre</v>
      </c>
    </row>
    <row r="1702" spans="1:16" x14ac:dyDescent="0.35">
      <c r="A1702">
        <v>706685</v>
      </c>
      <c r="B1702" t="s">
        <v>71</v>
      </c>
      <c r="C1702" t="s">
        <v>138</v>
      </c>
      <c r="D1702" t="s">
        <v>423</v>
      </c>
      <c r="E1702" t="s">
        <v>694</v>
      </c>
      <c r="F1702" t="s">
        <v>187</v>
      </c>
      <c r="G1702" s="1">
        <v>45880</v>
      </c>
      <c r="H1702" s="1">
        <v>45950</v>
      </c>
      <c r="I1702" s="2">
        <v>225</v>
      </c>
      <c r="J1702" t="s">
        <v>778</v>
      </c>
      <c r="K1702" t="s">
        <v>783</v>
      </c>
      <c r="L1702" t="s">
        <v>824</v>
      </c>
      <c r="M1702" t="s">
        <v>830</v>
      </c>
      <c r="N1702" t="str">
        <f t="shared" si="78"/>
        <v>T-3</v>
      </c>
      <c r="O1702">
        <f t="shared" si="79"/>
        <v>2025</v>
      </c>
      <c r="P1702" t="str">
        <f t="shared" si="80"/>
        <v>8. agosto</v>
      </c>
    </row>
    <row r="1703" spans="1:16" x14ac:dyDescent="0.35">
      <c r="A1703">
        <v>722487</v>
      </c>
      <c r="B1703" t="s">
        <v>7</v>
      </c>
      <c r="C1703" t="s">
        <v>138</v>
      </c>
      <c r="D1703" t="s">
        <v>419</v>
      </c>
      <c r="E1703" t="s">
        <v>694</v>
      </c>
      <c r="F1703" t="s">
        <v>187</v>
      </c>
      <c r="G1703" s="1">
        <v>45880</v>
      </c>
      <c r="H1703" s="1">
        <v>45950</v>
      </c>
      <c r="I1703" s="2">
        <v>262.5</v>
      </c>
      <c r="J1703" t="s">
        <v>778</v>
      </c>
      <c r="K1703" t="s">
        <v>783</v>
      </c>
      <c r="L1703" t="s">
        <v>823</v>
      </c>
      <c r="M1703" t="s">
        <v>830</v>
      </c>
      <c r="N1703" t="str">
        <f t="shared" si="78"/>
        <v>T-3</v>
      </c>
      <c r="O1703">
        <f t="shared" si="79"/>
        <v>2025</v>
      </c>
      <c r="P1703" t="str">
        <f t="shared" si="80"/>
        <v>8. agosto</v>
      </c>
    </row>
    <row r="1704" spans="1:16" x14ac:dyDescent="0.35">
      <c r="A1704">
        <v>530954</v>
      </c>
      <c r="B1704" t="s">
        <v>5</v>
      </c>
      <c r="C1704" t="s">
        <v>138</v>
      </c>
      <c r="D1704" t="s">
        <v>379</v>
      </c>
      <c r="E1704" t="s">
        <v>694</v>
      </c>
      <c r="F1704" t="s">
        <v>187</v>
      </c>
      <c r="G1704" s="1">
        <v>45880</v>
      </c>
      <c r="H1704" s="1">
        <v>45950</v>
      </c>
      <c r="I1704" s="2">
        <v>540</v>
      </c>
      <c r="J1704" t="s">
        <v>778</v>
      </c>
      <c r="K1704" t="s">
        <v>783</v>
      </c>
      <c r="L1704" t="s">
        <v>823</v>
      </c>
      <c r="M1704" t="s">
        <v>828</v>
      </c>
      <c r="N1704" t="str">
        <f t="shared" si="78"/>
        <v>T-3</v>
      </c>
      <c r="O1704">
        <f t="shared" si="79"/>
        <v>2025</v>
      </c>
      <c r="P1704" t="str">
        <f t="shared" si="80"/>
        <v>8. agosto</v>
      </c>
    </row>
    <row r="1705" spans="1:16" x14ac:dyDescent="0.35">
      <c r="A1705">
        <v>702275</v>
      </c>
      <c r="B1705" t="s">
        <v>20</v>
      </c>
      <c r="C1705" t="s">
        <v>136</v>
      </c>
      <c r="D1705" t="s">
        <v>419</v>
      </c>
      <c r="E1705" t="s">
        <v>694</v>
      </c>
      <c r="F1705" t="s">
        <v>187</v>
      </c>
      <c r="G1705" s="1">
        <v>45880</v>
      </c>
      <c r="H1705" s="1">
        <v>45950</v>
      </c>
      <c r="I1705" s="2">
        <v>262.5</v>
      </c>
      <c r="J1705" t="s">
        <v>778</v>
      </c>
      <c r="K1705" t="s">
        <v>783</v>
      </c>
      <c r="L1705" t="s">
        <v>823</v>
      </c>
      <c r="M1705" t="s">
        <v>828</v>
      </c>
      <c r="N1705" t="str">
        <f t="shared" si="78"/>
        <v>T-3</v>
      </c>
      <c r="O1705">
        <f t="shared" si="79"/>
        <v>2025</v>
      </c>
      <c r="P1705" t="str">
        <f t="shared" si="80"/>
        <v>8. agosto</v>
      </c>
    </row>
    <row r="1706" spans="1:16" x14ac:dyDescent="0.35">
      <c r="A1706">
        <v>715574</v>
      </c>
      <c r="B1706" t="s">
        <v>56</v>
      </c>
      <c r="C1706" t="s">
        <v>137</v>
      </c>
      <c r="D1706" t="s">
        <v>475</v>
      </c>
      <c r="E1706" t="s">
        <v>714</v>
      </c>
      <c r="F1706" t="s">
        <v>187</v>
      </c>
      <c r="G1706" s="1">
        <v>45943</v>
      </c>
      <c r="H1706" s="1">
        <v>45944</v>
      </c>
      <c r="I1706" s="2">
        <v>546</v>
      </c>
      <c r="J1706" t="s">
        <v>779</v>
      </c>
      <c r="K1706" t="s">
        <v>791</v>
      </c>
      <c r="L1706" t="s">
        <v>823</v>
      </c>
      <c r="M1706" t="s">
        <v>830</v>
      </c>
      <c r="N1706" t="str">
        <f t="shared" si="78"/>
        <v>T-4</v>
      </c>
      <c r="O1706">
        <f t="shared" si="79"/>
        <v>2025</v>
      </c>
      <c r="P1706" t="str">
        <f t="shared" si="80"/>
        <v>10. octubre</v>
      </c>
    </row>
    <row r="1707" spans="1:16" x14ac:dyDescent="0.35">
      <c r="A1707">
        <v>427846</v>
      </c>
      <c r="B1707" t="s">
        <v>5</v>
      </c>
      <c r="C1707" t="s">
        <v>138</v>
      </c>
      <c r="D1707" t="s">
        <v>475</v>
      </c>
      <c r="E1707" t="s">
        <v>714</v>
      </c>
      <c r="F1707" t="s">
        <v>187</v>
      </c>
      <c r="G1707" s="1">
        <v>45943</v>
      </c>
      <c r="H1707" s="1">
        <v>45944</v>
      </c>
      <c r="I1707" s="2">
        <v>1183</v>
      </c>
      <c r="J1707" t="s">
        <v>779</v>
      </c>
      <c r="K1707" t="s">
        <v>786</v>
      </c>
      <c r="L1707" t="s">
        <v>823</v>
      </c>
      <c r="M1707" t="s">
        <v>829</v>
      </c>
      <c r="N1707" t="str">
        <f t="shared" si="78"/>
        <v>T-4</v>
      </c>
      <c r="O1707">
        <f t="shared" si="79"/>
        <v>2025</v>
      </c>
      <c r="P1707" t="str">
        <f t="shared" si="80"/>
        <v>10. octubre</v>
      </c>
    </row>
    <row r="1708" spans="1:16" x14ac:dyDescent="0.35">
      <c r="A1708">
        <v>713992</v>
      </c>
      <c r="B1708" t="s">
        <v>6</v>
      </c>
      <c r="C1708" t="s">
        <v>138</v>
      </c>
      <c r="D1708" t="s">
        <v>232</v>
      </c>
      <c r="E1708" t="s">
        <v>675</v>
      </c>
      <c r="F1708" t="s">
        <v>187</v>
      </c>
      <c r="G1708" s="1">
        <v>45944</v>
      </c>
      <c r="H1708" s="1">
        <v>45946</v>
      </c>
      <c r="I1708" s="2">
        <v>334.29</v>
      </c>
      <c r="J1708" t="s">
        <v>779</v>
      </c>
      <c r="K1708" t="s">
        <v>789</v>
      </c>
      <c r="L1708" t="s">
        <v>824</v>
      </c>
      <c r="M1708" t="s">
        <v>830</v>
      </c>
      <c r="N1708" t="str">
        <f t="shared" si="78"/>
        <v>T-4</v>
      </c>
      <c r="O1708">
        <f t="shared" si="79"/>
        <v>2025</v>
      </c>
      <c r="P1708" t="str">
        <f t="shared" si="80"/>
        <v>10. octubre</v>
      </c>
    </row>
    <row r="1709" spans="1:16" x14ac:dyDescent="0.35">
      <c r="A1709">
        <v>609082</v>
      </c>
      <c r="B1709" t="s">
        <v>13</v>
      </c>
      <c r="C1709" t="s">
        <v>138</v>
      </c>
      <c r="D1709" t="s">
        <v>232</v>
      </c>
      <c r="E1709" t="s">
        <v>675</v>
      </c>
      <c r="F1709" t="s">
        <v>187</v>
      </c>
      <c r="G1709" s="1">
        <v>45938</v>
      </c>
      <c r="H1709" s="1">
        <v>45945</v>
      </c>
      <c r="I1709" s="2">
        <v>550.59</v>
      </c>
      <c r="J1709" t="s">
        <v>779</v>
      </c>
      <c r="K1709" t="s">
        <v>788</v>
      </c>
      <c r="L1709" t="s">
        <v>823</v>
      </c>
      <c r="M1709" t="s">
        <v>830</v>
      </c>
      <c r="N1709" t="str">
        <f t="shared" si="78"/>
        <v>T-4</v>
      </c>
      <c r="O1709">
        <f t="shared" si="79"/>
        <v>2025</v>
      </c>
      <c r="P1709" t="str">
        <f t="shared" si="80"/>
        <v>10. octubre</v>
      </c>
    </row>
    <row r="1710" spans="1:16" x14ac:dyDescent="0.35">
      <c r="A1710">
        <v>716474</v>
      </c>
      <c r="B1710" t="s">
        <v>4</v>
      </c>
      <c r="C1710" t="s">
        <v>138</v>
      </c>
      <c r="D1710" t="s">
        <v>232</v>
      </c>
      <c r="E1710" t="s">
        <v>675</v>
      </c>
      <c r="F1710" t="s">
        <v>187</v>
      </c>
      <c r="G1710" s="1">
        <v>45944</v>
      </c>
      <c r="H1710" s="1">
        <v>45946</v>
      </c>
      <c r="I1710" s="2">
        <v>445.71</v>
      </c>
      <c r="J1710" t="s">
        <v>779</v>
      </c>
      <c r="K1710" t="s">
        <v>800</v>
      </c>
      <c r="L1710" t="s">
        <v>823</v>
      </c>
      <c r="M1710" t="s">
        <v>828</v>
      </c>
      <c r="N1710" t="str">
        <f t="shared" si="78"/>
        <v>T-4</v>
      </c>
      <c r="O1710">
        <f t="shared" si="79"/>
        <v>2025</v>
      </c>
      <c r="P1710" t="str">
        <f t="shared" si="80"/>
        <v>10. octubre</v>
      </c>
    </row>
    <row r="1711" spans="1:16" x14ac:dyDescent="0.35">
      <c r="A1711">
        <v>709690</v>
      </c>
      <c r="B1711" t="s">
        <v>10</v>
      </c>
      <c r="C1711" t="s">
        <v>136</v>
      </c>
      <c r="D1711" t="s">
        <v>232</v>
      </c>
      <c r="E1711" t="s">
        <v>675</v>
      </c>
      <c r="F1711" t="s">
        <v>187</v>
      </c>
      <c r="G1711" s="1">
        <v>45946</v>
      </c>
      <c r="H1711" s="1">
        <v>45947</v>
      </c>
      <c r="I1711" s="2">
        <v>825.88</v>
      </c>
      <c r="J1711" t="s">
        <v>779</v>
      </c>
      <c r="K1711" t="s">
        <v>783</v>
      </c>
      <c r="L1711" t="s">
        <v>823</v>
      </c>
      <c r="M1711" t="s">
        <v>828</v>
      </c>
      <c r="N1711" t="str">
        <f t="shared" si="78"/>
        <v>T-4</v>
      </c>
      <c r="O1711">
        <f t="shared" si="79"/>
        <v>2025</v>
      </c>
      <c r="P1711" t="str">
        <f t="shared" si="80"/>
        <v>10. octubre</v>
      </c>
    </row>
    <row r="1712" spans="1:16" x14ac:dyDescent="0.35">
      <c r="A1712">
        <v>566604</v>
      </c>
      <c r="B1712" t="s">
        <v>30</v>
      </c>
      <c r="C1712" t="s">
        <v>138</v>
      </c>
      <c r="D1712" t="s">
        <v>563</v>
      </c>
      <c r="E1712" t="s">
        <v>675</v>
      </c>
      <c r="F1712" t="s">
        <v>187</v>
      </c>
      <c r="G1712" s="1">
        <v>45947</v>
      </c>
      <c r="H1712" s="1">
        <v>45947</v>
      </c>
      <c r="I1712" s="2">
        <v>325</v>
      </c>
      <c r="J1712" t="s">
        <v>779</v>
      </c>
      <c r="K1712" t="s">
        <v>785</v>
      </c>
      <c r="L1712" t="s">
        <v>823</v>
      </c>
      <c r="M1712" t="s">
        <v>829</v>
      </c>
      <c r="N1712" t="str">
        <f t="shared" si="78"/>
        <v>T-4</v>
      </c>
      <c r="O1712">
        <f t="shared" si="79"/>
        <v>2025</v>
      </c>
      <c r="P1712" t="str">
        <f t="shared" si="80"/>
        <v>10. octubre</v>
      </c>
    </row>
    <row r="1713" spans="1:16" x14ac:dyDescent="0.35">
      <c r="A1713">
        <v>713973</v>
      </c>
      <c r="B1713" t="s">
        <v>32</v>
      </c>
      <c r="C1713" t="s">
        <v>137</v>
      </c>
      <c r="D1713" t="s">
        <v>533</v>
      </c>
      <c r="E1713" t="s">
        <v>647</v>
      </c>
      <c r="F1713" t="s">
        <v>187</v>
      </c>
      <c r="G1713" s="1">
        <v>45943</v>
      </c>
      <c r="H1713" s="1">
        <v>45945</v>
      </c>
      <c r="I1713" s="2">
        <v>320</v>
      </c>
      <c r="J1713" t="s">
        <v>776</v>
      </c>
      <c r="K1713" t="s">
        <v>783</v>
      </c>
      <c r="L1713" t="s">
        <v>823</v>
      </c>
      <c r="M1713" t="s">
        <v>830</v>
      </c>
      <c r="N1713" t="str">
        <f t="shared" si="78"/>
        <v>T-4</v>
      </c>
      <c r="O1713">
        <f t="shared" si="79"/>
        <v>2025</v>
      </c>
      <c r="P1713" t="str">
        <f t="shared" si="80"/>
        <v>10. octubre</v>
      </c>
    </row>
    <row r="1714" spans="1:16" x14ac:dyDescent="0.35">
      <c r="A1714">
        <v>715207</v>
      </c>
      <c r="B1714" t="s">
        <v>4</v>
      </c>
      <c r="C1714" t="s">
        <v>136</v>
      </c>
      <c r="D1714" t="s">
        <v>155</v>
      </c>
      <c r="E1714" t="s">
        <v>647</v>
      </c>
      <c r="F1714" t="s">
        <v>187</v>
      </c>
      <c r="G1714" s="1">
        <v>45944</v>
      </c>
      <c r="H1714" s="1">
        <v>45946</v>
      </c>
      <c r="I1714" s="2">
        <v>480</v>
      </c>
      <c r="J1714" t="s">
        <v>776</v>
      </c>
      <c r="K1714" t="s">
        <v>811</v>
      </c>
      <c r="L1714" t="s">
        <v>823</v>
      </c>
      <c r="M1714" t="s">
        <v>830</v>
      </c>
      <c r="N1714" t="str">
        <f t="shared" si="78"/>
        <v>T-4</v>
      </c>
      <c r="O1714">
        <f t="shared" si="79"/>
        <v>2025</v>
      </c>
      <c r="P1714" t="str">
        <f t="shared" si="80"/>
        <v>10. octubre</v>
      </c>
    </row>
    <row r="1715" spans="1:16" x14ac:dyDescent="0.35">
      <c r="A1715">
        <v>721352</v>
      </c>
      <c r="B1715" t="s">
        <v>63</v>
      </c>
      <c r="C1715" t="s">
        <v>136</v>
      </c>
      <c r="D1715" t="s">
        <v>533</v>
      </c>
      <c r="E1715" t="s">
        <v>647</v>
      </c>
      <c r="F1715" t="s">
        <v>187</v>
      </c>
      <c r="G1715" s="1">
        <v>45943</v>
      </c>
      <c r="H1715" s="1">
        <v>45945</v>
      </c>
      <c r="I1715" s="2">
        <v>1760</v>
      </c>
      <c r="J1715" t="s">
        <v>776</v>
      </c>
      <c r="K1715" t="s">
        <v>783</v>
      </c>
      <c r="L1715" t="s">
        <v>824</v>
      </c>
      <c r="M1715" t="s">
        <v>828</v>
      </c>
      <c r="N1715" t="str">
        <f t="shared" si="78"/>
        <v>T-4</v>
      </c>
      <c r="O1715">
        <f t="shared" si="79"/>
        <v>2025</v>
      </c>
      <c r="P1715" t="str">
        <f t="shared" si="80"/>
        <v>10. octubre</v>
      </c>
    </row>
    <row r="1716" spans="1:16" x14ac:dyDescent="0.35">
      <c r="A1716">
        <v>715383</v>
      </c>
      <c r="B1716" t="s">
        <v>32</v>
      </c>
      <c r="C1716" t="s">
        <v>137</v>
      </c>
      <c r="D1716" t="s">
        <v>155</v>
      </c>
      <c r="E1716" t="s">
        <v>647</v>
      </c>
      <c r="F1716" t="s">
        <v>187</v>
      </c>
      <c r="G1716" s="1">
        <v>45944</v>
      </c>
      <c r="H1716" s="1">
        <v>45946</v>
      </c>
      <c r="I1716" s="2">
        <v>1800</v>
      </c>
      <c r="J1716" t="s">
        <v>776</v>
      </c>
      <c r="K1716" t="s">
        <v>783</v>
      </c>
      <c r="L1716" t="s">
        <v>823</v>
      </c>
      <c r="M1716" t="s">
        <v>830</v>
      </c>
      <c r="N1716" t="str">
        <f t="shared" si="78"/>
        <v>T-4</v>
      </c>
      <c r="O1716">
        <f t="shared" si="79"/>
        <v>2025</v>
      </c>
      <c r="P1716" t="str">
        <f t="shared" si="80"/>
        <v>10. octubre</v>
      </c>
    </row>
    <row r="1717" spans="1:16" x14ac:dyDescent="0.35">
      <c r="A1717">
        <v>700383</v>
      </c>
      <c r="B1717" t="s">
        <v>39</v>
      </c>
      <c r="C1717" t="s">
        <v>138</v>
      </c>
      <c r="D1717" t="s">
        <v>533</v>
      </c>
      <c r="E1717" t="s">
        <v>647</v>
      </c>
      <c r="F1717" t="s">
        <v>187</v>
      </c>
      <c r="G1717" s="1">
        <v>45943</v>
      </c>
      <c r="H1717" s="1">
        <v>45945</v>
      </c>
      <c r="I1717" s="2">
        <v>1440</v>
      </c>
      <c r="J1717" t="s">
        <v>776</v>
      </c>
      <c r="K1717" t="s">
        <v>786</v>
      </c>
      <c r="L1717" t="s">
        <v>823</v>
      </c>
      <c r="M1717" t="s">
        <v>829</v>
      </c>
      <c r="N1717" t="str">
        <f t="shared" si="78"/>
        <v>T-4</v>
      </c>
      <c r="O1717">
        <f t="shared" si="79"/>
        <v>2025</v>
      </c>
      <c r="P1717" t="str">
        <f t="shared" si="80"/>
        <v>10. octubre</v>
      </c>
    </row>
    <row r="1718" spans="1:16" x14ac:dyDescent="0.35">
      <c r="A1718">
        <v>564780</v>
      </c>
      <c r="B1718" t="s">
        <v>22</v>
      </c>
      <c r="C1718" t="s">
        <v>140</v>
      </c>
      <c r="D1718" t="s">
        <v>155</v>
      </c>
      <c r="E1718" t="s">
        <v>647</v>
      </c>
      <c r="F1718" t="s">
        <v>187</v>
      </c>
      <c r="G1718" s="1">
        <v>45944</v>
      </c>
      <c r="H1718" s="1">
        <v>45946</v>
      </c>
      <c r="I1718" s="2">
        <v>240</v>
      </c>
      <c r="J1718" t="s">
        <v>776</v>
      </c>
      <c r="K1718" t="s">
        <v>786</v>
      </c>
      <c r="L1718" t="s">
        <v>823</v>
      </c>
      <c r="M1718" t="s">
        <v>830</v>
      </c>
      <c r="N1718" t="str">
        <f t="shared" si="78"/>
        <v>T-4</v>
      </c>
      <c r="O1718">
        <f t="shared" si="79"/>
        <v>2025</v>
      </c>
      <c r="P1718" t="str">
        <f t="shared" si="80"/>
        <v>10. octubre</v>
      </c>
    </row>
    <row r="1719" spans="1:16" x14ac:dyDescent="0.35">
      <c r="A1719">
        <v>702326</v>
      </c>
      <c r="B1719" t="s">
        <v>4</v>
      </c>
      <c r="C1719" t="s">
        <v>138</v>
      </c>
      <c r="D1719" t="s">
        <v>595</v>
      </c>
      <c r="E1719" t="s">
        <v>761</v>
      </c>
      <c r="F1719" t="s">
        <v>773</v>
      </c>
      <c r="G1719" s="1">
        <v>45950</v>
      </c>
      <c r="H1719" s="1">
        <v>45966</v>
      </c>
      <c r="I1719" s="2">
        <v>322</v>
      </c>
      <c r="J1719" t="s">
        <v>777</v>
      </c>
      <c r="K1719" t="s">
        <v>783</v>
      </c>
      <c r="L1719" t="s">
        <v>823</v>
      </c>
      <c r="M1719" t="s">
        <v>830</v>
      </c>
      <c r="N1719" t="str">
        <f t="shared" si="78"/>
        <v>T-4</v>
      </c>
      <c r="O1719">
        <f t="shared" si="79"/>
        <v>2025</v>
      </c>
      <c r="P1719" t="str">
        <f t="shared" si="80"/>
        <v>10. octubre</v>
      </c>
    </row>
    <row r="1720" spans="1:16" x14ac:dyDescent="0.35">
      <c r="A1720">
        <v>497927</v>
      </c>
      <c r="B1720" t="s">
        <v>24</v>
      </c>
      <c r="C1720" t="s">
        <v>138</v>
      </c>
      <c r="D1720" t="s">
        <v>415</v>
      </c>
      <c r="E1720" t="s">
        <v>647</v>
      </c>
      <c r="F1720" t="s">
        <v>187</v>
      </c>
      <c r="G1720" s="1">
        <v>45950</v>
      </c>
      <c r="H1720" s="1">
        <v>45953</v>
      </c>
      <c r="I1720" s="2">
        <v>810</v>
      </c>
      <c r="J1720" t="s">
        <v>774</v>
      </c>
      <c r="K1720" t="s">
        <v>789</v>
      </c>
      <c r="L1720" t="s">
        <v>823</v>
      </c>
      <c r="M1720" t="s">
        <v>828</v>
      </c>
      <c r="N1720" t="str">
        <f t="shared" si="78"/>
        <v>T-4</v>
      </c>
      <c r="O1720">
        <f t="shared" si="79"/>
        <v>2025</v>
      </c>
      <c r="P1720" t="str">
        <f t="shared" si="80"/>
        <v>10. octubre</v>
      </c>
    </row>
    <row r="1721" spans="1:16" x14ac:dyDescent="0.35">
      <c r="A1721">
        <v>711127</v>
      </c>
      <c r="B1721" t="s">
        <v>46</v>
      </c>
      <c r="C1721" t="s">
        <v>138</v>
      </c>
      <c r="D1721" t="s">
        <v>599</v>
      </c>
      <c r="E1721" t="s">
        <v>694</v>
      </c>
      <c r="F1721" t="s">
        <v>187</v>
      </c>
      <c r="G1721" s="1">
        <v>45880</v>
      </c>
      <c r="H1721" s="1">
        <v>45950</v>
      </c>
      <c r="I1721" s="2">
        <v>225</v>
      </c>
      <c r="J1721" t="s">
        <v>778</v>
      </c>
      <c r="K1721" t="s">
        <v>787</v>
      </c>
      <c r="L1721" t="s">
        <v>823</v>
      </c>
      <c r="M1721" t="s">
        <v>828</v>
      </c>
      <c r="N1721" t="str">
        <f t="shared" si="78"/>
        <v>T-3</v>
      </c>
      <c r="O1721">
        <f t="shared" si="79"/>
        <v>2025</v>
      </c>
      <c r="P1721" t="str">
        <f t="shared" si="80"/>
        <v>8. agosto</v>
      </c>
    </row>
    <row r="1722" spans="1:16" x14ac:dyDescent="0.35">
      <c r="A1722">
        <v>721549</v>
      </c>
      <c r="B1722" t="s">
        <v>32</v>
      </c>
      <c r="C1722" t="s">
        <v>137</v>
      </c>
      <c r="D1722" t="s">
        <v>600</v>
      </c>
      <c r="E1722" t="s">
        <v>647</v>
      </c>
      <c r="F1722" t="s">
        <v>187</v>
      </c>
      <c r="G1722" s="1">
        <v>45947</v>
      </c>
      <c r="H1722" s="1">
        <v>45947</v>
      </c>
      <c r="I1722" s="2">
        <v>797.34</v>
      </c>
      <c r="J1722" t="s">
        <v>776</v>
      </c>
      <c r="K1722" t="s">
        <v>783</v>
      </c>
      <c r="L1722" t="s">
        <v>823</v>
      </c>
      <c r="M1722" t="s">
        <v>830</v>
      </c>
      <c r="N1722" t="str">
        <f t="shared" si="78"/>
        <v>T-4</v>
      </c>
      <c r="O1722">
        <f t="shared" si="79"/>
        <v>2025</v>
      </c>
      <c r="P1722" t="str">
        <f t="shared" si="80"/>
        <v>10. octubre</v>
      </c>
    </row>
    <row r="1723" spans="1:16" x14ac:dyDescent="0.35">
      <c r="A1723">
        <v>111057</v>
      </c>
      <c r="B1723" t="s">
        <v>51</v>
      </c>
      <c r="C1723" t="s">
        <v>139</v>
      </c>
      <c r="D1723" t="s">
        <v>337</v>
      </c>
      <c r="E1723" t="s">
        <v>647</v>
      </c>
      <c r="F1723" t="s">
        <v>187</v>
      </c>
      <c r="G1723" s="1">
        <v>45946</v>
      </c>
      <c r="H1723" s="1">
        <v>45950</v>
      </c>
      <c r="I1723" s="2">
        <v>1756.36</v>
      </c>
      <c r="J1723" t="s">
        <v>776</v>
      </c>
      <c r="K1723" t="s">
        <v>783</v>
      </c>
      <c r="L1723" t="s">
        <v>824</v>
      </c>
      <c r="M1723" t="s">
        <v>829</v>
      </c>
      <c r="N1723" t="str">
        <f t="shared" si="78"/>
        <v>T-4</v>
      </c>
      <c r="O1723">
        <f t="shared" si="79"/>
        <v>2025</v>
      </c>
      <c r="P1723" t="str">
        <f t="shared" si="80"/>
        <v>10. octubre</v>
      </c>
    </row>
    <row r="1724" spans="1:16" x14ac:dyDescent="0.35">
      <c r="A1724">
        <v>401703</v>
      </c>
      <c r="B1724" t="s">
        <v>5</v>
      </c>
      <c r="C1724" t="s">
        <v>139</v>
      </c>
      <c r="D1724" t="s">
        <v>372</v>
      </c>
      <c r="E1724" t="s">
        <v>658</v>
      </c>
      <c r="F1724" t="s">
        <v>187</v>
      </c>
      <c r="G1724" s="1">
        <v>45947</v>
      </c>
      <c r="H1724" s="1">
        <v>45947</v>
      </c>
      <c r="I1724" s="2">
        <v>484</v>
      </c>
      <c r="J1724" t="s">
        <v>774</v>
      </c>
      <c r="K1724" t="s">
        <v>785</v>
      </c>
      <c r="L1724" t="s">
        <v>823</v>
      </c>
      <c r="M1724" t="s">
        <v>830</v>
      </c>
      <c r="N1724" t="str">
        <f t="shared" si="78"/>
        <v>T-4</v>
      </c>
      <c r="O1724">
        <f t="shared" si="79"/>
        <v>2025</v>
      </c>
      <c r="P1724" t="str">
        <f t="shared" si="80"/>
        <v>10. octubre</v>
      </c>
    </row>
    <row r="1725" spans="1:16" x14ac:dyDescent="0.35">
      <c r="A1725">
        <v>609871</v>
      </c>
      <c r="B1725" t="s">
        <v>13</v>
      </c>
      <c r="C1725" t="s">
        <v>138</v>
      </c>
      <c r="D1725" t="s">
        <v>232</v>
      </c>
      <c r="E1725" t="s">
        <v>675</v>
      </c>
      <c r="F1725" t="s">
        <v>187</v>
      </c>
      <c r="G1725" s="1">
        <v>45943</v>
      </c>
      <c r="H1725" s="1">
        <v>45944</v>
      </c>
      <c r="I1725" s="2">
        <v>1101.18</v>
      </c>
      <c r="J1725" t="s">
        <v>779</v>
      </c>
      <c r="K1725" t="s">
        <v>783</v>
      </c>
      <c r="L1725" t="s">
        <v>823</v>
      </c>
      <c r="M1725" t="s">
        <v>830</v>
      </c>
      <c r="N1725" t="str">
        <f t="shared" si="78"/>
        <v>T-4</v>
      </c>
      <c r="O1725">
        <f t="shared" si="79"/>
        <v>2025</v>
      </c>
      <c r="P1725" t="str">
        <f t="shared" si="80"/>
        <v>10. octubre</v>
      </c>
    </row>
    <row r="1726" spans="1:16" x14ac:dyDescent="0.35">
      <c r="A1726">
        <v>611130</v>
      </c>
      <c r="B1726" t="s">
        <v>13</v>
      </c>
      <c r="C1726" t="s">
        <v>136</v>
      </c>
      <c r="D1726" t="s">
        <v>576</v>
      </c>
      <c r="E1726" t="s">
        <v>679</v>
      </c>
      <c r="F1726" t="s">
        <v>187</v>
      </c>
      <c r="G1726" s="1">
        <v>45946</v>
      </c>
      <c r="H1726" s="1">
        <v>45946</v>
      </c>
      <c r="I1726" s="2">
        <v>2100</v>
      </c>
      <c r="J1726" t="s">
        <v>779</v>
      </c>
      <c r="K1726" t="s">
        <v>783</v>
      </c>
      <c r="L1726" t="s">
        <v>823</v>
      </c>
      <c r="M1726" t="s">
        <v>828</v>
      </c>
      <c r="N1726" t="str">
        <f t="shared" si="78"/>
        <v>T-4</v>
      </c>
      <c r="O1726">
        <f t="shared" si="79"/>
        <v>2025</v>
      </c>
      <c r="P1726" t="str">
        <f t="shared" si="80"/>
        <v>10. octubre</v>
      </c>
    </row>
    <row r="1727" spans="1:16" x14ac:dyDescent="0.35">
      <c r="A1727">
        <v>751621</v>
      </c>
      <c r="B1727" t="s">
        <v>31</v>
      </c>
      <c r="C1727" t="s">
        <v>136</v>
      </c>
      <c r="D1727" t="s">
        <v>576</v>
      </c>
      <c r="E1727" t="s">
        <v>679</v>
      </c>
      <c r="F1727" t="s">
        <v>187</v>
      </c>
      <c r="G1727" s="1">
        <v>45946</v>
      </c>
      <c r="H1727" s="1">
        <v>45946</v>
      </c>
      <c r="I1727" s="2">
        <v>2100</v>
      </c>
      <c r="J1727" t="s">
        <v>779</v>
      </c>
      <c r="K1727" t="s">
        <v>791</v>
      </c>
      <c r="L1727" t="s">
        <v>823</v>
      </c>
      <c r="M1727" t="s">
        <v>828</v>
      </c>
      <c r="N1727" t="str">
        <f t="shared" si="78"/>
        <v>T-4</v>
      </c>
      <c r="O1727">
        <f t="shared" si="79"/>
        <v>2025</v>
      </c>
      <c r="P1727" t="str">
        <f t="shared" si="80"/>
        <v>10. octubre</v>
      </c>
    </row>
    <row r="1728" spans="1:16" x14ac:dyDescent="0.35">
      <c r="A1728">
        <v>433259</v>
      </c>
      <c r="B1728" t="s">
        <v>13</v>
      </c>
      <c r="C1728" t="s">
        <v>138</v>
      </c>
      <c r="D1728" t="s">
        <v>401</v>
      </c>
      <c r="E1728" t="s">
        <v>669</v>
      </c>
      <c r="F1728" t="s">
        <v>187</v>
      </c>
      <c r="G1728" s="1">
        <v>45840</v>
      </c>
      <c r="H1728" s="1">
        <v>45944</v>
      </c>
      <c r="I1728" s="2">
        <v>630</v>
      </c>
      <c r="J1728" t="s">
        <v>778</v>
      </c>
      <c r="K1728" t="s">
        <v>783</v>
      </c>
      <c r="L1728" t="s">
        <v>823</v>
      </c>
      <c r="M1728" t="s">
        <v>829</v>
      </c>
      <c r="N1728" t="str">
        <f t="shared" si="78"/>
        <v>T-3</v>
      </c>
      <c r="O1728">
        <f t="shared" si="79"/>
        <v>2025</v>
      </c>
      <c r="P1728" t="str">
        <f t="shared" si="80"/>
        <v>7. julio</v>
      </c>
    </row>
    <row r="1729" spans="1:16" x14ac:dyDescent="0.35">
      <c r="A1729">
        <v>487364</v>
      </c>
      <c r="B1729" t="s">
        <v>4</v>
      </c>
      <c r="C1729" t="s">
        <v>137</v>
      </c>
      <c r="D1729" t="s">
        <v>601</v>
      </c>
      <c r="E1729" t="s">
        <v>669</v>
      </c>
      <c r="F1729" t="s">
        <v>187</v>
      </c>
      <c r="G1729" s="1">
        <v>45840</v>
      </c>
      <c r="H1729" s="1">
        <v>45944</v>
      </c>
      <c r="I1729" s="2">
        <v>245</v>
      </c>
      <c r="J1729" t="s">
        <v>778</v>
      </c>
      <c r="K1729" t="s">
        <v>783</v>
      </c>
      <c r="L1729" t="s">
        <v>824</v>
      </c>
      <c r="M1729" t="s">
        <v>830</v>
      </c>
      <c r="N1729" t="str">
        <f t="shared" si="78"/>
        <v>T-3</v>
      </c>
      <c r="O1729">
        <f t="shared" si="79"/>
        <v>2025</v>
      </c>
      <c r="P1729" t="str">
        <f t="shared" si="80"/>
        <v>7. julio</v>
      </c>
    </row>
    <row r="1730" spans="1:16" x14ac:dyDescent="0.35">
      <c r="A1730">
        <v>721143</v>
      </c>
      <c r="B1730" t="s">
        <v>24</v>
      </c>
      <c r="C1730" t="s">
        <v>138</v>
      </c>
      <c r="D1730" t="s">
        <v>602</v>
      </c>
      <c r="E1730" t="s">
        <v>669</v>
      </c>
      <c r="F1730" t="s">
        <v>187</v>
      </c>
      <c r="G1730" s="1">
        <v>45840</v>
      </c>
      <c r="H1730" s="1">
        <v>45944</v>
      </c>
      <c r="I1730" s="2">
        <v>350</v>
      </c>
      <c r="J1730" t="s">
        <v>778</v>
      </c>
      <c r="K1730" t="s">
        <v>783</v>
      </c>
      <c r="L1730" t="s">
        <v>823</v>
      </c>
      <c r="M1730" t="s">
        <v>830</v>
      </c>
      <c r="N1730" t="str">
        <f t="shared" si="78"/>
        <v>T-3</v>
      </c>
      <c r="O1730">
        <f t="shared" si="79"/>
        <v>2025</v>
      </c>
      <c r="P1730" t="str">
        <f t="shared" si="80"/>
        <v>7. julio</v>
      </c>
    </row>
    <row r="1731" spans="1:16" x14ac:dyDescent="0.35">
      <c r="A1731">
        <v>270452</v>
      </c>
      <c r="B1731" t="s">
        <v>33</v>
      </c>
      <c r="C1731" t="s">
        <v>138</v>
      </c>
      <c r="D1731" t="s">
        <v>603</v>
      </c>
      <c r="E1731" t="s">
        <v>669</v>
      </c>
      <c r="F1731" t="s">
        <v>187</v>
      </c>
      <c r="G1731" s="1">
        <v>45912</v>
      </c>
      <c r="H1731" s="1">
        <v>45944</v>
      </c>
      <c r="I1731" s="2">
        <v>252</v>
      </c>
      <c r="J1731" t="s">
        <v>778</v>
      </c>
      <c r="K1731" t="s">
        <v>800</v>
      </c>
      <c r="L1731" t="s">
        <v>823</v>
      </c>
      <c r="M1731" t="s">
        <v>828</v>
      </c>
      <c r="N1731" t="str">
        <f t="shared" ref="N1731:N1794" si="81">"T-" &amp; ROUNDUP((MONTH(G1731)/3), 0)</f>
        <v>T-3</v>
      </c>
      <c r="O1731">
        <f t="shared" ref="O1731:O1794" si="82">YEAR(G1731)</f>
        <v>2025</v>
      </c>
      <c r="P1731" t="str">
        <f t="shared" ref="P1731:P1794" si="83">MONTH(G1731) &amp; ". " &amp; TEXT(G1731, "MMMM")</f>
        <v>9. septiembre</v>
      </c>
    </row>
    <row r="1732" spans="1:16" x14ac:dyDescent="0.35">
      <c r="A1732">
        <v>360090</v>
      </c>
      <c r="B1732" t="s">
        <v>5</v>
      </c>
      <c r="C1732" t="s">
        <v>140</v>
      </c>
      <c r="D1732" t="s">
        <v>604</v>
      </c>
      <c r="E1732" t="s">
        <v>669</v>
      </c>
      <c r="F1732" t="s">
        <v>187</v>
      </c>
      <c r="G1732" s="1">
        <v>45912</v>
      </c>
      <c r="H1732" s="1">
        <v>45944</v>
      </c>
      <c r="I1732" s="2">
        <v>840</v>
      </c>
      <c r="J1732" t="s">
        <v>778</v>
      </c>
      <c r="K1732" t="s">
        <v>783</v>
      </c>
      <c r="L1732" t="s">
        <v>823</v>
      </c>
      <c r="M1732" t="s">
        <v>830</v>
      </c>
      <c r="N1732" t="str">
        <f t="shared" si="81"/>
        <v>T-3</v>
      </c>
      <c r="O1732">
        <f t="shared" si="82"/>
        <v>2025</v>
      </c>
      <c r="P1732" t="str">
        <f t="shared" si="83"/>
        <v>9. septiembre</v>
      </c>
    </row>
    <row r="1733" spans="1:16" x14ac:dyDescent="0.35">
      <c r="A1733">
        <v>361981</v>
      </c>
      <c r="B1733" t="s">
        <v>39</v>
      </c>
      <c r="C1733" t="s">
        <v>138</v>
      </c>
      <c r="D1733" t="s">
        <v>367</v>
      </c>
      <c r="E1733" t="s">
        <v>669</v>
      </c>
      <c r="F1733" t="s">
        <v>187</v>
      </c>
      <c r="G1733" s="1">
        <v>45912</v>
      </c>
      <c r="H1733" s="1">
        <v>45944</v>
      </c>
      <c r="I1733" s="2">
        <v>252</v>
      </c>
      <c r="J1733" t="s">
        <v>778</v>
      </c>
      <c r="K1733" t="s">
        <v>789</v>
      </c>
      <c r="L1733" t="s">
        <v>823</v>
      </c>
      <c r="M1733" t="s">
        <v>829</v>
      </c>
      <c r="N1733" t="str">
        <f t="shared" si="81"/>
        <v>T-3</v>
      </c>
      <c r="O1733">
        <f t="shared" si="82"/>
        <v>2025</v>
      </c>
      <c r="P1733" t="str">
        <f t="shared" si="83"/>
        <v>9. septiembre</v>
      </c>
    </row>
    <row r="1734" spans="1:16" x14ac:dyDescent="0.35">
      <c r="A1734">
        <v>561841</v>
      </c>
      <c r="B1734" t="s">
        <v>22</v>
      </c>
      <c r="C1734" t="s">
        <v>138</v>
      </c>
      <c r="D1734" t="s">
        <v>366</v>
      </c>
      <c r="E1734" t="s">
        <v>669</v>
      </c>
      <c r="F1734" t="s">
        <v>187</v>
      </c>
      <c r="G1734" s="1">
        <v>45912</v>
      </c>
      <c r="H1734" s="1">
        <v>45944</v>
      </c>
      <c r="I1734" s="2">
        <v>840</v>
      </c>
      <c r="J1734" t="s">
        <v>778</v>
      </c>
      <c r="K1734" t="s">
        <v>783</v>
      </c>
      <c r="L1734" t="s">
        <v>823</v>
      </c>
      <c r="M1734" t="s">
        <v>830</v>
      </c>
      <c r="N1734" t="str">
        <f t="shared" si="81"/>
        <v>T-3</v>
      </c>
      <c r="O1734">
        <f t="shared" si="82"/>
        <v>2025</v>
      </c>
      <c r="P1734" t="str">
        <f t="shared" si="83"/>
        <v>9. septiembre</v>
      </c>
    </row>
    <row r="1735" spans="1:16" x14ac:dyDescent="0.35">
      <c r="A1735">
        <v>721876</v>
      </c>
      <c r="B1735" t="s">
        <v>5</v>
      </c>
      <c r="C1735" t="s">
        <v>138</v>
      </c>
      <c r="D1735" t="s">
        <v>171</v>
      </c>
      <c r="E1735" t="s">
        <v>669</v>
      </c>
      <c r="F1735" t="s">
        <v>187</v>
      </c>
      <c r="G1735" s="1">
        <v>45951</v>
      </c>
      <c r="H1735" s="1">
        <v>45952</v>
      </c>
      <c r="I1735" s="2">
        <v>1143.75</v>
      </c>
      <c r="J1735" t="s">
        <v>776</v>
      </c>
      <c r="K1735" t="s">
        <v>783</v>
      </c>
      <c r="L1735" t="s">
        <v>823</v>
      </c>
      <c r="M1735" t="s">
        <v>830</v>
      </c>
      <c r="N1735" t="str">
        <f t="shared" si="81"/>
        <v>T-4</v>
      </c>
      <c r="O1735">
        <f t="shared" si="82"/>
        <v>2025</v>
      </c>
      <c r="P1735" t="str">
        <f t="shared" si="83"/>
        <v>10. octubre</v>
      </c>
    </row>
    <row r="1736" spans="1:16" x14ac:dyDescent="0.35">
      <c r="A1736">
        <v>605009</v>
      </c>
      <c r="B1736" t="s">
        <v>13</v>
      </c>
      <c r="C1736" t="s">
        <v>136</v>
      </c>
      <c r="D1736" t="s">
        <v>171</v>
      </c>
      <c r="E1736" t="s">
        <v>669</v>
      </c>
      <c r="F1736" t="s">
        <v>187</v>
      </c>
      <c r="G1736" s="1">
        <v>45950</v>
      </c>
      <c r="H1736" s="1">
        <v>45951</v>
      </c>
      <c r="I1736" s="2">
        <v>285.94</v>
      </c>
      <c r="J1736" t="s">
        <v>776</v>
      </c>
      <c r="K1736" t="s">
        <v>789</v>
      </c>
      <c r="L1736" t="s">
        <v>824</v>
      </c>
      <c r="M1736" t="s">
        <v>828</v>
      </c>
      <c r="N1736" t="str">
        <f t="shared" si="81"/>
        <v>T-4</v>
      </c>
      <c r="O1736">
        <f t="shared" si="82"/>
        <v>2025</v>
      </c>
      <c r="P1736" t="str">
        <f t="shared" si="83"/>
        <v>10. octubre</v>
      </c>
    </row>
    <row r="1737" spans="1:16" x14ac:dyDescent="0.35">
      <c r="A1737">
        <v>499503</v>
      </c>
      <c r="B1737" t="s">
        <v>19</v>
      </c>
      <c r="C1737" t="s">
        <v>138</v>
      </c>
      <c r="D1737" t="s">
        <v>171</v>
      </c>
      <c r="E1737" t="s">
        <v>669</v>
      </c>
      <c r="F1737" t="s">
        <v>187</v>
      </c>
      <c r="G1737" s="1">
        <v>45950</v>
      </c>
      <c r="H1737" s="1">
        <v>45951</v>
      </c>
      <c r="I1737" s="2">
        <v>1143.75</v>
      </c>
      <c r="J1737" t="s">
        <v>776</v>
      </c>
      <c r="K1737" t="s">
        <v>783</v>
      </c>
      <c r="L1737" t="s">
        <v>823</v>
      </c>
      <c r="M1737" t="s">
        <v>828</v>
      </c>
      <c r="N1737" t="str">
        <f t="shared" si="81"/>
        <v>T-4</v>
      </c>
      <c r="O1737">
        <f t="shared" si="82"/>
        <v>2025</v>
      </c>
      <c r="P1737" t="str">
        <f t="shared" si="83"/>
        <v>10. octubre</v>
      </c>
    </row>
    <row r="1738" spans="1:16" x14ac:dyDescent="0.35">
      <c r="A1738">
        <v>708662</v>
      </c>
      <c r="B1738" t="s">
        <v>43</v>
      </c>
      <c r="C1738" t="s">
        <v>138</v>
      </c>
      <c r="D1738" t="s">
        <v>351</v>
      </c>
      <c r="E1738" t="s">
        <v>647</v>
      </c>
      <c r="F1738" t="s">
        <v>773</v>
      </c>
      <c r="G1738" s="1">
        <v>46244</v>
      </c>
      <c r="H1738" s="1">
        <v>46244</v>
      </c>
      <c r="I1738" s="2">
        <v>240</v>
      </c>
      <c r="J1738" t="s">
        <v>774</v>
      </c>
      <c r="K1738" t="s">
        <v>787</v>
      </c>
      <c r="L1738" t="s">
        <v>823</v>
      </c>
      <c r="M1738" t="s">
        <v>830</v>
      </c>
      <c r="N1738" t="str">
        <f t="shared" si="81"/>
        <v>T-3</v>
      </c>
      <c r="O1738">
        <f t="shared" si="82"/>
        <v>2026</v>
      </c>
      <c r="P1738" t="str">
        <f t="shared" si="83"/>
        <v>8. agosto</v>
      </c>
    </row>
    <row r="1739" spans="1:16" x14ac:dyDescent="0.35">
      <c r="A1739">
        <v>713724</v>
      </c>
      <c r="B1739" t="s">
        <v>6</v>
      </c>
      <c r="C1739" t="s">
        <v>137</v>
      </c>
      <c r="D1739" t="s">
        <v>548</v>
      </c>
      <c r="E1739" t="s">
        <v>753</v>
      </c>
      <c r="F1739" t="s">
        <v>187</v>
      </c>
      <c r="G1739" s="1">
        <v>45952</v>
      </c>
      <c r="H1739" s="1">
        <v>45953</v>
      </c>
      <c r="I1739" s="2">
        <v>560</v>
      </c>
      <c r="J1739" t="s">
        <v>776</v>
      </c>
      <c r="K1739" t="s">
        <v>812</v>
      </c>
      <c r="L1739" t="s">
        <v>823</v>
      </c>
      <c r="M1739" t="s">
        <v>829</v>
      </c>
      <c r="N1739" t="str">
        <f t="shared" si="81"/>
        <v>T-4</v>
      </c>
      <c r="O1739">
        <f t="shared" si="82"/>
        <v>2025</v>
      </c>
      <c r="P1739" t="str">
        <f t="shared" si="83"/>
        <v>10. octubre</v>
      </c>
    </row>
    <row r="1740" spans="1:16" x14ac:dyDescent="0.35">
      <c r="A1740">
        <v>417476</v>
      </c>
      <c r="B1740" t="s">
        <v>26</v>
      </c>
      <c r="C1740" t="s">
        <v>139</v>
      </c>
      <c r="D1740" t="s">
        <v>605</v>
      </c>
      <c r="E1740" t="s">
        <v>753</v>
      </c>
      <c r="F1740" t="s">
        <v>187</v>
      </c>
      <c r="G1740" s="1">
        <v>45952</v>
      </c>
      <c r="H1740" s="1">
        <v>45953</v>
      </c>
      <c r="I1740" s="2">
        <v>535</v>
      </c>
      <c r="J1740" t="s">
        <v>776</v>
      </c>
      <c r="K1740" t="s">
        <v>783</v>
      </c>
      <c r="L1740" t="s">
        <v>823</v>
      </c>
      <c r="M1740" t="s">
        <v>830</v>
      </c>
      <c r="N1740" t="str">
        <f t="shared" si="81"/>
        <v>T-4</v>
      </c>
      <c r="O1740">
        <f t="shared" si="82"/>
        <v>2025</v>
      </c>
      <c r="P1740" t="str">
        <f t="shared" si="83"/>
        <v>10. octubre</v>
      </c>
    </row>
    <row r="1741" spans="1:16" x14ac:dyDescent="0.35">
      <c r="A1741">
        <v>413673</v>
      </c>
      <c r="B1741" t="s">
        <v>14</v>
      </c>
      <c r="C1741" t="s">
        <v>141</v>
      </c>
      <c r="D1741" t="s">
        <v>605</v>
      </c>
      <c r="E1741" t="s">
        <v>753</v>
      </c>
      <c r="F1741" t="s">
        <v>187</v>
      </c>
      <c r="G1741" s="1">
        <v>45952</v>
      </c>
      <c r="H1741" s="1">
        <v>45953</v>
      </c>
      <c r="I1741" s="2">
        <v>535</v>
      </c>
      <c r="J1741" t="s">
        <v>776</v>
      </c>
      <c r="K1741" t="s">
        <v>783</v>
      </c>
      <c r="L1741" t="s">
        <v>823</v>
      </c>
      <c r="M1741" t="s">
        <v>830</v>
      </c>
      <c r="N1741" t="str">
        <f t="shared" si="81"/>
        <v>T-4</v>
      </c>
      <c r="O1741">
        <f t="shared" si="82"/>
        <v>2025</v>
      </c>
      <c r="P1741" t="str">
        <f t="shared" si="83"/>
        <v>10. octubre</v>
      </c>
    </row>
    <row r="1742" spans="1:16" x14ac:dyDescent="0.35">
      <c r="A1742">
        <v>713626</v>
      </c>
      <c r="B1742" t="s">
        <v>30</v>
      </c>
      <c r="C1742" t="s">
        <v>137</v>
      </c>
      <c r="D1742" t="s">
        <v>606</v>
      </c>
      <c r="E1742" t="s">
        <v>754</v>
      </c>
      <c r="F1742" t="s">
        <v>187</v>
      </c>
      <c r="G1742" s="1">
        <v>45950</v>
      </c>
      <c r="H1742" s="1">
        <v>45953</v>
      </c>
      <c r="I1742" s="2">
        <v>1230.77</v>
      </c>
      <c r="J1742" t="s">
        <v>776</v>
      </c>
      <c r="K1742" t="s">
        <v>783</v>
      </c>
      <c r="L1742" t="s">
        <v>823</v>
      </c>
      <c r="M1742" t="s">
        <v>828</v>
      </c>
      <c r="N1742" t="str">
        <f t="shared" si="81"/>
        <v>T-4</v>
      </c>
      <c r="O1742">
        <f t="shared" si="82"/>
        <v>2025</v>
      </c>
      <c r="P1742" t="str">
        <f t="shared" si="83"/>
        <v>10. octubre</v>
      </c>
    </row>
    <row r="1743" spans="1:16" x14ac:dyDescent="0.35">
      <c r="A1743">
        <v>606718</v>
      </c>
      <c r="B1743" t="s">
        <v>13</v>
      </c>
      <c r="C1743" t="s">
        <v>138</v>
      </c>
      <c r="D1743" t="s">
        <v>606</v>
      </c>
      <c r="E1743" t="s">
        <v>754</v>
      </c>
      <c r="F1743" t="s">
        <v>187</v>
      </c>
      <c r="G1743" s="1">
        <v>45950</v>
      </c>
      <c r="H1743" s="1">
        <v>45953</v>
      </c>
      <c r="I1743" s="2">
        <v>1230.77</v>
      </c>
      <c r="J1743" t="s">
        <v>776</v>
      </c>
      <c r="K1743" t="s">
        <v>783</v>
      </c>
      <c r="L1743" t="s">
        <v>823</v>
      </c>
      <c r="M1743" t="s">
        <v>828</v>
      </c>
      <c r="N1743" t="str">
        <f t="shared" si="81"/>
        <v>T-4</v>
      </c>
      <c r="O1743">
        <f t="shared" si="82"/>
        <v>2025</v>
      </c>
      <c r="P1743" t="str">
        <f t="shared" si="83"/>
        <v>10. octubre</v>
      </c>
    </row>
    <row r="1744" spans="1:16" x14ac:dyDescent="0.35">
      <c r="A1744">
        <v>409049</v>
      </c>
      <c r="B1744" t="s">
        <v>5</v>
      </c>
      <c r="C1744" t="s">
        <v>138</v>
      </c>
      <c r="D1744" t="s">
        <v>606</v>
      </c>
      <c r="E1744" t="s">
        <v>754</v>
      </c>
      <c r="F1744" t="s">
        <v>187</v>
      </c>
      <c r="G1744" s="1">
        <v>45950</v>
      </c>
      <c r="H1744" s="1">
        <v>45953</v>
      </c>
      <c r="I1744" s="2">
        <v>1230.77</v>
      </c>
      <c r="J1744" t="s">
        <v>776</v>
      </c>
      <c r="K1744" t="s">
        <v>783</v>
      </c>
      <c r="L1744" t="s">
        <v>824</v>
      </c>
      <c r="M1744" t="s">
        <v>829</v>
      </c>
      <c r="N1744" t="str">
        <f t="shared" si="81"/>
        <v>T-4</v>
      </c>
      <c r="O1744">
        <f t="shared" si="82"/>
        <v>2025</v>
      </c>
      <c r="P1744" t="str">
        <f t="shared" si="83"/>
        <v>10. octubre</v>
      </c>
    </row>
    <row r="1745" spans="1:16" x14ac:dyDescent="0.35">
      <c r="A1745">
        <v>712653</v>
      </c>
      <c r="B1745" t="s">
        <v>46</v>
      </c>
      <c r="C1745" t="s">
        <v>138</v>
      </c>
      <c r="D1745" t="s">
        <v>606</v>
      </c>
      <c r="E1745" t="s">
        <v>754</v>
      </c>
      <c r="F1745" t="s">
        <v>187</v>
      </c>
      <c r="G1745" s="1">
        <v>45950</v>
      </c>
      <c r="H1745" s="1">
        <v>45953</v>
      </c>
      <c r="I1745" s="2">
        <v>4307.6899999999996</v>
      </c>
      <c r="J1745" t="s">
        <v>776</v>
      </c>
      <c r="K1745" t="s">
        <v>783</v>
      </c>
      <c r="L1745" t="s">
        <v>823</v>
      </c>
      <c r="M1745" t="s">
        <v>830</v>
      </c>
      <c r="N1745" t="str">
        <f t="shared" si="81"/>
        <v>T-4</v>
      </c>
      <c r="O1745">
        <f t="shared" si="82"/>
        <v>2025</v>
      </c>
      <c r="P1745" t="str">
        <f t="shared" si="83"/>
        <v>10. octubre</v>
      </c>
    </row>
    <row r="1746" spans="1:16" x14ac:dyDescent="0.35">
      <c r="A1746">
        <v>606171</v>
      </c>
      <c r="B1746" t="s">
        <v>13</v>
      </c>
      <c r="C1746" t="s">
        <v>138</v>
      </c>
      <c r="D1746" t="s">
        <v>544</v>
      </c>
      <c r="E1746" t="s">
        <v>737</v>
      </c>
      <c r="F1746" t="s">
        <v>187</v>
      </c>
      <c r="G1746" s="1">
        <v>45950</v>
      </c>
      <c r="H1746" s="1">
        <v>45954</v>
      </c>
      <c r="I1746" s="2">
        <v>650</v>
      </c>
      <c r="J1746" t="s">
        <v>776</v>
      </c>
      <c r="K1746" t="s">
        <v>783</v>
      </c>
      <c r="L1746" t="s">
        <v>823</v>
      </c>
      <c r="M1746" t="s">
        <v>830</v>
      </c>
      <c r="N1746" t="str">
        <f t="shared" si="81"/>
        <v>T-4</v>
      </c>
      <c r="O1746">
        <f t="shared" si="82"/>
        <v>2025</v>
      </c>
      <c r="P1746" t="str">
        <f t="shared" si="83"/>
        <v>10. octubre</v>
      </c>
    </row>
    <row r="1747" spans="1:16" x14ac:dyDescent="0.35">
      <c r="A1747">
        <v>751025</v>
      </c>
      <c r="B1747" t="s">
        <v>31</v>
      </c>
      <c r="C1747" t="s">
        <v>138</v>
      </c>
      <c r="D1747" t="s">
        <v>519</v>
      </c>
      <c r="E1747" t="s">
        <v>737</v>
      </c>
      <c r="F1747" t="s">
        <v>187</v>
      </c>
      <c r="G1747" s="1">
        <v>45950</v>
      </c>
      <c r="H1747" s="1">
        <v>45954</v>
      </c>
      <c r="I1747" s="2">
        <v>3250</v>
      </c>
      <c r="J1747" t="s">
        <v>776</v>
      </c>
      <c r="K1747" t="s">
        <v>783</v>
      </c>
      <c r="L1747" t="s">
        <v>823</v>
      </c>
      <c r="M1747" t="s">
        <v>828</v>
      </c>
      <c r="N1747" t="str">
        <f t="shared" si="81"/>
        <v>T-4</v>
      </c>
      <c r="O1747">
        <f t="shared" si="82"/>
        <v>2025</v>
      </c>
      <c r="P1747" t="str">
        <f t="shared" si="83"/>
        <v>10. octubre</v>
      </c>
    </row>
    <row r="1748" spans="1:16" x14ac:dyDescent="0.35">
      <c r="A1748">
        <v>332406</v>
      </c>
      <c r="B1748" t="s">
        <v>15</v>
      </c>
      <c r="C1748" t="s">
        <v>136</v>
      </c>
      <c r="D1748" t="s">
        <v>544</v>
      </c>
      <c r="E1748" t="s">
        <v>737</v>
      </c>
      <c r="F1748" t="s">
        <v>187</v>
      </c>
      <c r="G1748" s="1">
        <v>45950</v>
      </c>
      <c r="H1748" s="1">
        <v>45954</v>
      </c>
      <c r="I1748" s="2">
        <v>1625</v>
      </c>
      <c r="J1748" t="s">
        <v>776</v>
      </c>
      <c r="K1748" t="s">
        <v>783</v>
      </c>
      <c r="L1748" t="s">
        <v>823</v>
      </c>
      <c r="M1748" t="s">
        <v>830</v>
      </c>
      <c r="N1748" t="str">
        <f t="shared" si="81"/>
        <v>T-4</v>
      </c>
      <c r="O1748">
        <f t="shared" si="82"/>
        <v>2025</v>
      </c>
      <c r="P1748" t="str">
        <f t="shared" si="83"/>
        <v>10. octubre</v>
      </c>
    </row>
    <row r="1749" spans="1:16" x14ac:dyDescent="0.35">
      <c r="A1749">
        <v>700360</v>
      </c>
      <c r="B1749" t="s">
        <v>30</v>
      </c>
      <c r="C1749" t="s">
        <v>138</v>
      </c>
      <c r="D1749" t="s">
        <v>519</v>
      </c>
      <c r="E1749" t="s">
        <v>737</v>
      </c>
      <c r="F1749" t="s">
        <v>187</v>
      </c>
      <c r="G1749" s="1">
        <v>45950</v>
      </c>
      <c r="H1749" s="1">
        <v>45954</v>
      </c>
      <c r="I1749" s="2">
        <v>2275</v>
      </c>
      <c r="J1749" t="s">
        <v>776</v>
      </c>
      <c r="K1749" t="s">
        <v>783</v>
      </c>
      <c r="L1749" t="s">
        <v>823</v>
      </c>
      <c r="M1749" t="s">
        <v>829</v>
      </c>
      <c r="N1749" t="str">
        <f t="shared" si="81"/>
        <v>T-4</v>
      </c>
      <c r="O1749">
        <f t="shared" si="82"/>
        <v>2025</v>
      </c>
      <c r="P1749" t="str">
        <f t="shared" si="83"/>
        <v>10. octubre</v>
      </c>
    </row>
    <row r="1750" spans="1:16" x14ac:dyDescent="0.35">
      <c r="A1750">
        <v>708422</v>
      </c>
      <c r="B1750" t="s">
        <v>2</v>
      </c>
      <c r="C1750" t="s">
        <v>138</v>
      </c>
      <c r="D1750" t="s">
        <v>544</v>
      </c>
      <c r="E1750" t="s">
        <v>737</v>
      </c>
      <c r="F1750" t="s">
        <v>187</v>
      </c>
      <c r="G1750" s="1">
        <v>45950</v>
      </c>
      <c r="H1750" s="1">
        <v>45954</v>
      </c>
      <c r="I1750" s="2">
        <v>5525</v>
      </c>
      <c r="J1750" t="s">
        <v>776</v>
      </c>
      <c r="K1750" t="s">
        <v>783</v>
      </c>
      <c r="L1750" t="s">
        <v>824</v>
      </c>
      <c r="M1750" t="s">
        <v>830</v>
      </c>
      <c r="N1750" t="str">
        <f t="shared" si="81"/>
        <v>T-4</v>
      </c>
      <c r="O1750">
        <f t="shared" si="82"/>
        <v>2025</v>
      </c>
      <c r="P1750" t="str">
        <f t="shared" si="83"/>
        <v>10. octubre</v>
      </c>
    </row>
    <row r="1751" spans="1:16" x14ac:dyDescent="0.35">
      <c r="A1751">
        <v>717772</v>
      </c>
      <c r="B1751" t="s">
        <v>4</v>
      </c>
      <c r="C1751" t="s">
        <v>137</v>
      </c>
      <c r="D1751" t="s">
        <v>519</v>
      </c>
      <c r="E1751" t="s">
        <v>737</v>
      </c>
      <c r="F1751" t="s">
        <v>187</v>
      </c>
      <c r="G1751" s="1">
        <v>45950</v>
      </c>
      <c r="H1751" s="1">
        <v>45954</v>
      </c>
      <c r="I1751" s="2">
        <v>1300</v>
      </c>
      <c r="J1751" t="s">
        <v>776</v>
      </c>
      <c r="K1751" t="s">
        <v>783</v>
      </c>
      <c r="L1751" t="s">
        <v>823</v>
      </c>
      <c r="M1751" t="s">
        <v>830</v>
      </c>
      <c r="N1751" t="str">
        <f t="shared" si="81"/>
        <v>T-4</v>
      </c>
      <c r="O1751">
        <f t="shared" si="82"/>
        <v>2025</v>
      </c>
      <c r="P1751" t="str">
        <f t="shared" si="83"/>
        <v>10. octubre</v>
      </c>
    </row>
    <row r="1752" spans="1:16" x14ac:dyDescent="0.35">
      <c r="A1752">
        <v>110041</v>
      </c>
      <c r="B1752" t="s">
        <v>131</v>
      </c>
      <c r="C1752" t="s">
        <v>136</v>
      </c>
      <c r="D1752" t="s">
        <v>519</v>
      </c>
      <c r="E1752" t="s">
        <v>737</v>
      </c>
      <c r="F1752" t="s">
        <v>187</v>
      </c>
      <c r="G1752" s="1">
        <v>45950</v>
      </c>
      <c r="H1752" s="1">
        <v>45954</v>
      </c>
      <c r="I1752" s="2">
        <v>325</v>
      </c>
      <c r="J1752" t="s">
        <v>776</v>
      </c>
      <c r="K1752" t="s">
        <v>783</v>
      </c>
      <c r="L1752" t="s">
        <v>823</v>
      </c>
      <c r="M1752" t="s">
        <v>828</v>
      </c>
      <c r="N1752" t="str">
        <f t="shared" si="81"/>
        <v>T-4</v>
      </c>
      <c r="O1752">
        <f t="shared" si="82"/>
        <v>2025</v>
      </c>
      <c r="P1752" t="str">
        <f t="shared" si="83"/>
        <v>10. octubre</v>
      </c>
    </row>
    <row r="1753" spans="1:16" x14ac:dyDescent="0.35">
      <c r="A1753">
        <v>402500</v>
      </c>
      <c r="B1753" t="s">
        <v>24</v>
      </c>
      <c r="C1753" t="s">
        <v>138</v>
      </c>
      <c r="D1753" t="s">
        <v>415</v>
      </c>
      <c r="E1753" t="s">
        <v>647</v>
      </c>
      <c r="F1753" t="s">
        <v>187</v>
      </c>
      <c r="G1753" s="1">
        <v>45950</v>
      </c>
      <c r="H1753" s="1">
        <v>45953</v>
      </c>
      <c r="I1753" s="2">
        <v>3240</v>
      </c>
      <c r="J1753" t="s">
        <v>774</v>
      </c>
      <c r="K1753" t="s">
        <v>783</v>
      </c>
      <c r="L1753" t="s">
        <v>823</v>
      </c>
      <c r="M1753" t="s">
        <v>828</v>
      </c>
      <c r="N1753" t="str">
        <f t="shared" si="81"/>
        <v>T-4</v>
      </c>
      <c r="O1753">
        <f t="shared" si="82"/>
        <v>2025</v>
      </c>
      <c r="P1753" t="str">
        <f t="shared" si="83"/>
        <v>10. octubre</v>
      </c>
    </row>
    <row r="1754" spans="1:16" x14ac:dyDescent="0.35">
      <c r="A1754">
        <v>720333</v>
      </c>
      <c r="B1754" t="s">
        <v>30</v>
      </c>
      <c r="C1754" t="s">
        <v>138</v>
      </c>
      <c r="D1754" t="s">
        <v>415</v>
      </c>
      <c r="E1754" t="s">
        <v>647</v>
      </c>
      <c r="F1754" t="s">
        <v>187</v>
      </c>
      <c r="G1754" s="1">
        <v>45950</v>
      </c>
      <c r="H1754" s="1">
        <v>45953</v>
      </c>
      <c r="I1754" s="2">
        <v>637.25</v>
      </c>
      <c r="J1754" t="s">
        <v>776</v>
      </c>
      <c r="K1754" t="s">
        <v>783</v>
      </c>
      <c r="L1754" t="s">
        <v>823</v>
      </c>
      <c r="M1754" t="s">
        <v>830</v>
      </c>
      <c r="N1754" t="str">
        <f t="shared" si="81"/>
        <v>T-4</v>
      </c>
      <c r="O1754">
        <f t="shared" si="82"/>
        <v>2025</v>
      </c>
      <c r="P1754" t="str">
        <f t="shared" si="83"/>
        <v>10. octubre</v>
      </c>
    </row>
    <row r="1755" spans="1:16" x14ac:dyDescent="0.35">
      <c r="A1755">
        <v>561137</v>
      </c>
      <c r="B1755" t="s">
        <v>39</v>
      </c>
      <c r="C1755" t="s">
        <v>138</v>
      </c>
      <c r="D1755" t="s">
        <v>518</v>
      </c>
      <c r="E1755" t="s">
        <v>703</v>
      </c>
      <c r="F1755" t="s">
        <v>187</v>
      </c>
      <c r="G1755" s="1">
        <v>45950</v>
      </c>
      <c r="H1755" s="1">
        <v>45954</v>
      </c>
      <c r="I1755" s="2">
        <v>381.94</v>
      </c>
      <c r="J1755" t="s">
        <v>776</v>
      </c>
      <c r="K1755" t="s">
        <v>783</v>
      </c>
      <c r="L1755" t="s">
        <v>823</v>
      </c>
      <c r="M1755" t="s">
        <v>829</v>
      </c>
      <c r="N1755" t="str">
        <f t="shared" si="81"/>
        <v>T-4</v>
      </c>
      <c r="O1755">
        <f t="shared" si="82"/>
        <v>2025</v>
      </c>
      <c r="P1755" t="str">
        <f t="shared" si="83"/>
        <v>10. octubre</v>
      </c>
    </row>
    <row r="1756" spans="1:16" x14ac:dyDescent="0.35">
      <c r="A1756">
        <v>361468</v>
      </c>
      <c r="B1756" t="s">
        <v>39</v>
      </c>
      <c r="C1756" t="s">
        <v>139</v>
      </c>
      <c r="D1756" t="s">
        <v>518</v>
      </c>
      <c r="E1756" t="s">
        <v>703</v>
      </c>
      <c r="F1756" t="s">
        <v>187</v>
      </c>
      <c r="G1756" s="1">
        <v>45950</v>
      </c>
      <c r="H1756" s="1">
        <v>45954</v>
      </c>
      <c r="I1756" s="2">
        <v>2348.83</v>
      </c>
      <c r="J1756" t="s">
        <v>776</v>
      </c>
      <c r="K1756" t="s">
        <v>783</v>
      </c>
      <c r="L1756" t="s">
        <v>823</v>
      </c>
      <c r="M1756" t="s">
        <v>830</v>
      </c>
      <c r="N1756" t="str">
        <f t="shared" si="81"/>
        <v>T-4</v>
      </c>
      <c r="O1756">
        <f t="shared" si="82"/>
        <v>2025</v>
      </c>
      <c r="P1756" t="str">
        <f t="shared" si="83"/>
        <v>10. octubre</v>
      </c>
    </row>
    <row r="1757" spans="1:16" x14ac:dyDescent="0.35">
      <c r="A1757">
        <v>714073</v>
      </c>
      <c r="B1757" t="s">
        <v>2</v>
      </c>
      <c r="C1757" t="s">
        <v>137</v>
      </c>
      <c r="D1757" t="s">
        <v>518</v>
      </c>
      <c r="E1757" t="s">
        <v>703</v>
      </c>
      <c r="F1757" t="s">
        <v>187</v>
      </c>
      <c r="G1757" s="1">
        <v>45950</v>
      </c>
      <c r="H1757" s="1">
        <v>45954</v>
      </c>
      <c r="I1757" s="2">
        <v>1909.72</v>
      </c>
      <c r="J1757" t="s">
        <v>776</v>
      </c>
      <c r="K1757" t="s">
        <v>783</v>
      </c>
      <c r="L1757" t="s">
        <v>824</v>
      </c>
      <c r="M1757" t="s">
        <v>830</v>
      </c>
      <c r="N1757" t="str">
        <f t="shared" si="81"/>
        <v>T-4</v>
      </c>
      <c r="O1757">
        <f t="shared" si="82"/>
        <v>2025</v>
      </c>
      <c r="P1757" t="str">
        <f t="shared" si="83"/>
        <v>10. octubre</v>
      </c>
    </row>
    <row r="1758" spans="1:16" x14ac:dyDescent="0.35">
      <c r="A1758">
        <v>751576</v>
      </c>
      <c r="B1758" t="s">
        <v>31</v>
      </c>
      <c r="C1758" t="s">
        <v>136</v>
      </c>
      <c r="D1758" t="s">
        <v>518</v>
      </c>
      <c r="E1758" t="s">
        <v>703</v>
      </c>
      <c r="F1758" t="s">
        <v>187</v>
      </c>
      <c r="G1758" s="1">
        <v>45950</v>
      </c>
      <c r="H1758" s="1">
        <v>45954</v>
      </c>
      <c r="I1758" s="2">
        <v>1145.83</v>
      </c>
      <c r="J1758" t="s">
        <v>776</v>
      </c>
      <c r="K1758" t="s">
        <v>783</v>
      </c>
      <c r="L1758" t="s">
        <v>823</v>
      </c>
      <c r="M1758" t="s">
        <v>828</v>
      </c>
      <c r="N1758" t="str">
        <f t="shared" si="81"/>
        <v>T-4</v>
      </c>
      <c r="O1758">
        <f t="shared" si="82"/>
        <v>2025</v>
      </c>
      <c r="P1758" t="str">
        <f t="shared" si="83"/>
        <v>10. octubre</v>
      </c>
    </row>
    <row r="1759" spans="1:16" x14ac:dyDescent="0.35">
      <c r="A1759">
        <v>447329</v>
      </c>
      <c r="B1759" t="s">
        <v>30</v>
      </c>
      <c r="C1759" t="s">
        <v>138</v>
      </c>
      <c r="D1759" t="s">
        <v>518</v>
      </c>
      <c r="E1759" t="s">
        <v>703</v>
      </c>
      <c r="F1759" t="s">
        <v>187</v>
      </c>
      <c r="G1759" s="1">
        <v>45950</v>
      </c>
      <c r="H1759" s="1">
        <v>45954</v>
      </c>
      <c r="I1759" s="2">
        <v>1088.67</v>
      </c>
      <c r="J1759" t="s">
        <v>776</v>
      </c>
      <c r="K1759" t="s">
        <v>783</v>
      </c>
      <c r="L1759" t="s">
        <v>823</v>
      </c>
      <c r="M1759" t="s">
        <v>828</v>
      </c>
      <c r="N1759" t="str">
        <f t="shared" si="81"/>
        <v>T-4</v>
      </c>
      <c r="O1759">
        <f t="shared" si="82"/>
        <v>2025</v>
      </c>
      <c r="P1759" t="str">
        <f t="shared" si="83"/>
        <v>10. octubre</v>
      </c>
    </row>
    <row r="1760" spans="1:16" x14ac:dyDescent="0.35">
      <c r="A1760">
        <v>415096</v>
      </c>
      <c r="B1760" t="s">
        <v>5</v>
      </c>
      <c r="C1760" t="s">
        <v>138</v>
      </c>
      <c r="D1760" t="s">
        <v>607</v>
      </c>
      <c r="E1760" t="s">
        <v>732</v>
      </c>
      <c r="F1760" t="s">
        <v>773</v>
      </c>
      <c r="G1760" s="1">
        <v>45980</v>
      </c>
      <c r="H1760" s="1">
        <v>45981</v>
      </c>
      <c r="I1760" s="2">
        <v>2990</v>
      </c>
      <c r="J1760" t="s">
        <v>776</v>
      </c>
      <c r="K1760" t="s">
        <v>783</v>
      </c>
      <c r="L1760" t="s">
        <v>823</v>
      </c>
      <c r="M1760" t="s">
        <v>829</v>
      </c>
      <c r="N1760" t="str">
        <f t="shared" si="81"/>
        <v>T-4</v>
      </c>
      <c r="O1760">
        <f t="shared" si="82"/>
        <v>2025</v>
      </c>
      <c r="P1760" t="str">
        <f t="shared" si="83"/>
        <v>11. noviembre</v>
      </c>
    </row>
    <row r="1761" spans="1:16" x14ac:dyDescent="0.35">
      <c r="A1761">
        <v>492765</v>
      </c>
      <c r="B1761" t="s">
        <v>4</v>
      </c>
      <c r="C1761" t="s">
        <v>138</v>
      </c>
      <c r="D1761" t="s">
        <v>421</v>
      </c>
      <c r="E1761" t="s">
        <v>736</v>
      </c>
      <c r="F1761" t="s">
        <v>187</v>
      </c>
      <c r="G1761" s="1">
        <v>45953</v>
      </c>
      <c r="H1761" s="1">
        <v>45954</v>
      </c>
      <c r="I1761" s="2">
        <v>3650</v>
      </c>
      <c r="J1761" t="s">
        <v>776</v>
      </c>
      <c r="K1761" t="s">
        <v>783</v>
      </c>
      <c r="L1761" t="s">
        <v>823</v>
      </c>
      <c r="M1761" t="s">
        <v>830</v>
      </c>
      <c r="N1761" t="str">
        <f t="shared" si="81"/>
        <v>T-4</v>
      </c>
      <c r="O1761">
        <f t="shared" si="82"/>
        <v>2025</v>
      </c>
      <c r="P1761" t="str">
        <f t="shared" si="83"/>
        <v>10. octubre</v>
      </c>
    </row>
    <row r="1762" spans="1:16" x14ac:dyDescent="0.35">
      <c r="A1762">
        <v>703692</v>
      </c>
      <c r="B1762" t="s">
        <v>30</v>
      </c>
      <c r="C1762" t="s">
        <v>137</v>
      </c>
      <c r="D1762" t="s">
        <v>576</v>
      </c>
      <c r="E1762" t="s">
        <v>679</v>
      </c>
      <c r="F1762" t="s">
        <v>187</v>
      </c>
      <c r="G1762" s="1">
        <v>45952</v>
      </c>
      <c r="H1762" s="1">
        <v>45952</v>
      </c>
      <c r="I1762" s="2">
        <v>700</v>
      </c>
      <c r="J1762" t="s">
        <v>779</v>
      </c>
      <c r="K1762" t="s">
        <v>783</v>
      </c>
      <c r="L1762" t="s">
        <v>823</v>
      </c>
      <c r="M1762" t="s">
        <v>830</v>
      </c>
      <c r="N1762" t="str">
        <f t="shared" si="81"/>
        <v>T-4</v>
      </c>
      <c r="O1762">
        <f t="shared" si="82"/>
        <v>2025</v>
      </c>
      <c r="P1762" t="str">
        <f t="shared" si="83"/>
        <v>10. octubre</v>
      </c>
    </row>
    <row r="1763" spans="1:16" x14ac:dyDescent="0.35">
      <c r="A1763">
        <v>485026</v>
      </c>
      <c r="B1763" t="s">
        <v>14</v>
      </c>
      <c r="C1763" t="s">
        <v>138</v>
      </c>
      <c r="D1763" t="s">
        <v>576</v>
      </c>
      <c r="E1763" t="s">
        <v>679</v>
      </c>
      <c r="F1763" t="s">
        <v>187</v>
      </c>
      <c r="G1763" s="1">
        <v>45952</v>
      </c>
      <c r="H1763" s="1">
        <v>45952</v>
      </c>
      <c r="I1763" s="2">
        <v>1260</v>
      </c>
      <c r="J1763" t="s">
        <v>779</v>
      </c>
      <c r="K1763" t="s">
        <v>783</v>
      </c>
      <c r="L1763" t="s">
        <v>823</v>
      </c>
      <c r="M1763" t="s">
        <v>828</v>
      </c>
      <c r="N1763" t="str">
        <f t="shared" si="81"/>
        <v>T-4</v>
      </c>
      <c r="O1763">
        <f t="shared" si="82"/>
        <v>2025</v>
      </c>
      <c r="P1763" t="str">
        <f t="shared" si="83"/>
        <v>10. octubre</v>
      </c>
    </row>
    <row r="1764" spans="1:16" x14ac:dyDescent="0.35">
      <c r="A1764">
        <v>750064</v>
      </c>
      <c r="B1764" t="s">
        <v>31</v>
      </c>
      <c r="C1764" t="s">
        <v>136</v>
      </c>
      <c r="D1764" t="s">
        <v>311</v>
      </c>
      <c r="E1764" t="s">
        <v>675</v>
      </c>
      <c r="F1764" t="s">
        <v>187</v>
      </c>
      <c r="G1764" s="1">
        <v>45923</v>
      </c>
      <c r="H1764" s="1">
        <v>45924</v>
      </c>
      <c r="I1764" s="2">
        <v>842.4</v>
      </c>
      <c r="J1764" t="s">
        <v>779</v>
      </c>
      <c r="K1764" t="s">
        <v>783</v>
      </c>
      <c r="L1764" t="s">
        <v>823</v>
      </c>
      <c r="M1764" t="s">
        <v>830</v>
      </c>
      <c r="N1764" t="str">
        <f t="shared" si="81"/>
        <v>T-3</v>
      </c>
      <c r="O1764">
        <f t="shared" si="82"/>
        <v>2025</v>
      </c>
      <c r="P1764" t="str">
        <f t="shared" si="83"/>
        <v>9. septiembre</v>
      </c>
    </row>
    <row r="1765" spans="1:16" x14ac:dyDescent="0.35">
      <c r="A1765">
        <v>419527</v>
      </c>
      <c r="B1765" t="s">
        <v>69</v>
      </c>
      <c r="C1765" t="s">
        <v>141</v>
      </c>
      <c r="D1765" t="s">
        <v>311</v>
      </c>
      <c r="E1765" t="s">
        <v>675</v>
      </c>
      <c r="F1765" t="s">
        <v>187</v>
      </c>
      <c r="G1765" s="1">
        <v>45923</v>
      </c>
      <c r="H1765" s="1">
        <v>45924</v>
      </c>
      <c r="I1765" s="2">
        <v>631.79999999999995</v>
      </c>
      <c r="J1765" t="s">
        <v>779</v>
      </c>
      <c r="K1765" t="s">
        <v>783</v>
      </c>
      <c r="L1765" t="s">
        <v>824</v>
      </c>
      <c r="M1765" t="s">
        <v>829</v>
      </c>
      <c r="N1765" t="str">
        <f t="shared" si="81"/>
        <v>T-3</v>
      </c>
      <c r="O1765">
        <f t="shared" si="82"/>
        <v>2025</v>
      </c>
      <c r="P1765" t="str">
        <f t="shared" si="83"/>
        <v>9. septiembre</v>
      </c>
    </row>
    <row r="1766" spans="1:16" x14ac:dyDescent="0.35">
      <c r="A1766">
        <v>718273</v>
      </c>
      <c r="B1766" t="s">
        <v>8</v>
      </c>
      <c r="C1766" t="s">
        <v>138</v>
      </c>
      <c r="D1766" t="s">
        <v>311</v>
      </c>
      <c r="E1766" t="s">
        <v>675</v>
      </c>
      <c r="F1766" t="s">
        <v>187</v>
      </c>
      <c r="G1766" s="1">
        <v>45932</v>
      </c>
      <c r="H1766" s="1">
        <v>45937</v>
      </c>
      <c r="I1766" s="2">
        <v>789.75</v>
      </c>
      <c r="J1766" t="s">
        <v>779</v>
      </c>
      <c r="K1766" t="s">
        <v>783</v>
      </c>
      <c r="L1766" t="s">
        <v>823</v>
      </c>
      <c r="M1766" t="s">
        <v>830</v>
      </c>
      <c r="N1766" t="str">
        <f t="shared" si="81"/>
        <v>T-4</v>
      </c>
      <c r="O1766">
        <f t="shared" si="82"/>
        <v>2025</v>
      </c>
      <c r="P1766" t="str">
        <f t="shared" si="83"/>
        <v>10. octubre</v>
      </c>
    </row>
    <row r="1767" spans="1:16" x14ac:dyDescent="0.35">
      <c r="A1767">
        <v>493830</v>
      </c>
      <c r="B1767" t="s">
        <v>24</v>
      </c>
      <c r="C1767" t="s">
        <v>138</v>
      </c>
      <c r="D1767" t="s">
        <v>311</v>
      </c>
      <c r="E1767" t="s">
        <v>675</v>
      </c>
      <c r="F1767" t="s">
        <v>187</v>
      </c>
      <c r="G1767" s="1">
        <v>45937</v>
      </c>
      <c r="H1767" s="1">
        <v>45939</v>
      </c>
      <c r="I1767" s="2">
        <v>1531.64</v>
      </c>
      <c r="J1767" t="s">
        <v>779</v>
      </c>
      <c r="K1767" t="s">
        <v>783</v>
      </c>
      <c r="L1767" t="s">
        <v>823</v>
      </c>
      <c r="M1767" t="s">
        <v>830</v>
      </c>
      <c r="N1767" t="str">
        <f t="shared" si="81"/>
        <v>T-4</v>
      </c>
      <c r="O1767">
        <f t="shared" si="82"/>
        <v>2025</v>
      </c>
      <c r="P1767" t="str">
        <f t="shared" si="83"/>
        <v>10. octubre</v>
      </c>
    </row>
    <row r="1768" spans="1:16" x14ac:dyDescent="0.35">
      <c r="A1768">
        <v>589285</v>
      </c>
      <c r="B1768" t="s">
        <v>27</v>
      </c>
      <c r="C1768" t="s">
        <v>140</v>
      </c>
      <c r="D1768" t="s">
        <v>311</v>
      </c>
      <c r="E1768" t="s">
        <v>675</v>
      </c>
      <c r="F1768" t="s">
        <v>187</v>
      </c>
      <c r="G1768" s="1">
        <v>45923</v>
      </c>
      <c r="H1768" s="1">
        <v>45924</v>
      </c>
      <c r="I1768" s="2">
        <v>510.29</v>
      </c>
      <c r="J1768" t="s">
        <v>779</v>
      </c>
      <c r="K1768" t="s">
        <v>783</v>
      </c>
      <c r="L1768" t="s">
        <v>823</v>
      </c>
      <c r="M1768" t="s">
        <v>828</v>
      </c>
      <c r="N1768" t="str">
        <f t="shared" si="81"/>
        <v>T-3</v>
      </c>
      <c r="O1768">
        <f t="shared" si="82"/>
        <v>2025</v>
      </c>
      <c r="P1768" t="str">
        <f t="shared" si="83"/>
        <v>9. septiembre</v>
      </c>
    </row>
    <row r="1769" spans="1:16" x14ac:dyDescent="0.35">
      <c r="A1769">
        <v>412515</v>
      </c>
      <c r="B1769" t="s">
        <v>39</v>
      </c>
      <c r="C1769" t="s">
        <v>138</v>
      </c>
      <c r="D1769" t="s">
        <v>311</v>
      </c>
      <c r="E1769" t="s">
        <v>675</v>
      </c>
      <c r="F1769" t="s">
        <v>187</v>
      </c>
      <c r="G1769" s="1">
        <v>45932</v>
      </c>
      <c r="H1769" s="1">
        <v>45937</v>
      </c>
      <c r="I1769" s="2">
        <v>1316.25</v>
      </c>
      <c r="J1769" t="s">
        <v>779</v>
      </c>
      <c r="K1769" t="s">
        <v>783</v>
      </c>
      <c r="L1769" t="s">
        <v>823</v>
      </c>
      <c r="M1769" t="s">
        <v>828</v>
      </c>
      <c r="N1769" t="str">
        <f t="shared" si="81"/>
        <v>T-4</v>
      </c>
      <c r="O1769">
        <f t="shared" si="82"/>
        <v>2025</v>
      </c>
      <c r="P1769" t="str">
        <f t="shared" si="83"/>
        <v>10. octubre</v>
      </c>
    </row>
    <row r="1770" spans="1:16" x14ac:dyDescent="0.35">
      <c r="A1770">
        <v>506284</v>
      </c>
      <c r="B1770" t="s">
        <v>2</v>
      </c>
      <c r="C1770" t="s">
        <v>138</v>
      </c>
      <c r="D1770" t="s">
        <v>311</v>
      </c>
      <c r="E1770" t="s">
        <v>675</v>
      </c>
      <c r="F1770" t="s">
        <v>187</v>
      </c>
      <c r="G1770" s="1">
        <v>45937</v>
      </c>
      <c r="H1770" s="1">
        <v>45939</v>
      </c>
      <c r="I1770" s="2">
        <v>574.36</v>
      </c>
      <c r="J1770" t="s">
        <v>779</v>
      </c>
      <c r="K1770" t="s">
        <v>783</v>
      </c>
      <c r="L1770" t="s">
        <v>823</v>
      </c>
      <c r="M1770" t="s">
        <v>830</v>
      </c>
      <c r="N1770" t="str">
        <f t="shared" si="81"/>
        <v>T-4</v>
      </c>
      <c r="O1770">
        <f t="shared" si="82"/>
        <v>2025</v>
      </c>
      <c r="P1770" t="str">
        <f t="shared" si="83"/>
        <v>10. octubre</v>
      </c>
    </row>
    <row r="1771" spans="1:16" x14ac:dyDescent="0.35">
      <c r="A1771">
        <v>416537</v>
      </c>
      <c r="B1771" t="s">
        <v>18</v>
      </c>
      <c r="C1771" t="s">
        <v>136</v>
      </c>
      <c r="D1771" t="s">
        <v>608</v>
      </c>
      <c r="E1771" t="s">
        <v>762</v>
      </c>
      <c r="F1771" t="s">
        <v>773</v>
      </c>
      <c r="G1771" s="1">
        <v>45944</v>
      </c>
      <c r="H1771" s="1">
        <v>46142</v>
      </c>
      <c r="I1771" s="2">
        <v>3672</v>
      </c>
      <c r="J1771" t="s">
        <v>776</v>
      </c>
      <c r="K1771" t="s">
        <v>783</v>
      </c>
      <c r="L1771" t="s">
        <v>824</v>
      </c>
      <c r="M1771" t="s">
        <v>829</v>
      </c>
      <c r="N1771" t="str">
        <f t="shared" si="81"/>
        <v>T-4</v>
      </c>
      <c r="O1771">
        <f t="shared" si="82"/>
        <v>2025</v>
      </c>
      <c r="P1771" t="str">
        <f t="shared" si="83"/>
        <v>10. octubre</v>
      </c>
    </row>
    <row r="1772" spans="1:16" x14ac:dyDescent="0.35">
      <c r="A1772">
        <v>465908</v>
      </c>
      <c r="B1772" t="s">
        <v>5</v>
      </c>
      <c r="C1772" t="s">
        <v>138</v>
      </c>
      <c r="D1772" t="s">
        <v>598</v>
      </c>
      <c r="E1772" t="s">
        <v>694</v>
      </c>
      <c r="F1772" t="s">
        <v>187</v>
      </c>
      <c r="G1772" s="1">
        <v>45915</v>
      </c>
      <c r="H1772" s="1">
        <v>45954</v>
      </c>
      <c r="I1772" s="2">
        <v>315</v>
      </c>
      <c r="J1772" t="s">
        <v>778</v>
      </c>
      <c r="K1772" t="s">
        <v>783</v>
      </c>
      <c r="L1772" t="s">
        <v>823</v>
      </c>
      <c r="M1772" t="s">
        <v>830</v>
      </c>
      <c r="N1772" t="str">
        <f t="shared" si="81"/>
        <v>T-3</v>
      </c>
      <c r="O1772">
        <f t="shared" si="82"/>
        <v>2025</v>
      </c>
      <c r="P1772" t="str">
        <f t="shared" si="83"/>
        <v>9. septiembre</v>
      </c>
    </row>
    <row r="1773" spans="1:16" x14ac:dyDescent="0.35">
      <c r="A1773">
        <v>714358</v>
      </c>
      <c r="B1773" t="s">
        <v>23</v>
      </c>
      <c r="C1773" t="s">
        <v>137</v>
      </c>
      <c r="D1773" t="s">
        <v>165</v>
      </c>
      <c r="E1773" t="s">
        <v>694</v>
      </c>
      <c r="F1773" t="s">
        <v>187</v>
      </c>
      <c r="G1773" s="1">
        <v>45915</v>
      </c>
      <c r="H1773" s="1">
        <v>45954</v>
      </c>
      <c r="I1773" s="2">
        <v>360</v>
      </c>
      <c r="J1773" t="s">
        <v>778</v>
      </c>
      <c r="K1773" t="s">
        <v>783</v>
      </c>
      <c r="L1773" t="s">
        <v>823</v>
      </c>
      <c r="M1773" t="s">
        <v>830</v>
      </c>
      <c r="N1773" t="str">
        <f t="shared" si="81"/>
        <v>T-3</v>
      </c>
      <c r="O1773">
        <f t="shared" si="82"/>
        <v>2025</v>
      </c>
      <c r="P1773" t="str">
        <f t="shared" si="83"/>
        <v>9. septiembre</v>
      </c>
    </row>
    <row r="1774" spans="1:16" x14ac:dyDescent="0.35">
      <c r="A1774">
        <v>703727</v>
      </c>
      <c r="B1774" t="s">
        <v>4</v>
      </c>
      <c r="C1774" t="s">
        <v>137</v>
      </c>
      <c r="D1774" t="s">
        <v>357</v>
      </c>
      <c r="E1774" t="s">
        <v>694</v>
      </c>
      <c r="F1774" t="s">
        <v>187</v>
      </c>
      <c r="G1774" s="1">
        <v>45915</v>
      </c>
      <c r="H1774" s="1">
        <v>45954</v>
      </c>
      <c r="I1774" s="2">
        <v>1500</v>
      </c>
      <c r="J1774" t="s">
        <v>778</v>
      </c>
      <c r="K1774" t="s">
        <v>783</v>
      </c>
      <c r="L1774" t="s">
        <v>823</v>
      </c>
      <c r="M1774" t="s">
        <v>828</v>
      </c>
      <c r="N1774" t="str">
        <f t="shared" si="81"/>
        <v>T-3</v>
      </c>
      <c r="O1774">
        <f t="shared" si="82"/>
        <v>2025</v>
      </c>
      <c r="P1774" t="str">
        <f t="shared" si="83"/>
        <v>9. septiembre</v>
      </c>
    </row>
    <row r="1775" spans="1:16" x14ac:dyDescent="0.35">
      <c r="A1775">
        <v>433262</v>
      </c>
      <c r="B1775" t="s">
        <v>13</v>
      </c>
      <c r="C1775" t="s">
        <v>138</v>
      </c>
      <c r="D1775" t="s">
        <v>554</v>
      </c>
      <c r="E1775" t="s">
        <v>694</v>
      </c>
      <c r="F1775" t="s">
        <v>187</v>
      </c>
      <c r="G1775" s="1">
        <v>45915</v>
      </c>
      <c r="H1775" s="1">
        <v>45954</v>
      </c>
      <c r="I1775" s="2">
        <v>660</v>
      </c>
      <c r="J1775" t="s">
        <v>778</v>
      </c>
      <c r="K1775" t="s">
        <v>783</v>
      </c>
      <c r="L1775" t="s">
        <v>823</v>
      </c>
      <c r="M1775" t="s">
        <v>828</v>
      </c>
      <c r="N1775" t="str">
        <f t="shared" si="81"/>
        <v>T-3</v>
      </c>
      <c r="O1775">
        <f t="shared" si="82"/>
        <v>2025</v>
      </c>
      <c r="P1775" t="str">
        <f t="shared" si="83"/>
        <v>9. septiembre</v>
      </c>
    </row>
    <row r="1776" spans="1:16" x14ac:dyDescent="0.35">
      <c r="A1776">
        <v>715988</v>
      </c>
      <c r="B1776" t="s">
        <v>10</v>
      </c>
      <c r="C1776" t="s">
        <v>138</v>
      </c>
      <c r="D1776" t="s">
        <v>358</v>
      </c>
      <c r="E1776" t="s">
        <v>694</v>
      </c>
      <c r="F1776" t="s">
        <v>187</v>
      </c>
      <c r="G1776" s="1">
        <v>45915</v>
      </c>
      <c r="H1776" s="1">
        <v>45954</v>
      </c>
      <c r="I1776" s="2">
        <v>360</v>
      </c>
      <c r="J1776" t="s">
        <v>778</v>
      </c>
      <c r="K1776" t="s">
        <v>783</v>
      </c>
      <c r="L1776" t="s">
        <v>823</v>
      </c>
      <c r="M1776" t="s">
        <v>829</v>
      </c>
      <c r="N1776" t="str">
        <f t="shared" si="81"/>
        <v>T-3</v>
      </c>
      <c r="O1776">
        <f t="shared" si="82"/>
        <v>2025</v>
      </c>
      <c r="P1776" t="str">
        <f t="shared" si="83"/>
        <v>9. septiembre</v>
      </c>
    </row>
    <row r="1777" spans="1:16" x14ac:dyDescent="0.35">
      <c r="A1777">
        <v>721404</v>
      </c>
      <c r="B1777" t="s">
        <v>4</v>
      </c>
      <c r="C1777" t="s">
        <v>136</v>
      </c>
      <c r="D1777" t="s">
        <v>173</v>
      </c>
      <c r="E1777" t="s">
        <v>694</v>
      </c>
      <c r="F1777" t="s">
        <v>187</v>
      </c>
      <c r="G1777" s="1">
        <v>45915</v>
      </c>
      <c r="H1777" s="1">
        <v>45954</v>
      </c>
      <c r="I1777" s="2">
        <v>480</v>
      </c>
      <c r="J1777" t="s">
        <v>778</v>
      </c>
      <c r="K1777" t="s">
        <v>783</v>
      </c>
      <c r="L1777" t="s">
        <v>823</v>
      </c>
      <c r="M1777" t="s">
        <v>830</v>
      </c>
      <c r="N1777" t="str">
        <f t="shared" si="81"/>
        <v>T-3</v>
      </c>
      <c r="O1777">
        <f t="shared" si="82"/>
        <v>2025</v>
      </c>
      <c r="P1777" t="str">
        <f t="shared" si="83"/>
        <v>9. septiembre</v>
      </c>
    </row>
    <row r="1778" spans="1:16" x14ac:dyDescent="0.35">
      <c r="A1778">
        <v>464190</v>
      </c>
      <c r="B1778" t="s">
        <v>32</v>
      </c>
      <c r="C1778" t="s">
        <v>141</v>
      </c>
      <c r="D1778" t="s">
        <v>359</v>
      </c>
      <c r="E1778" t="s">
        <v>694</v>
      </c>
      <c r="F1778" t="s">
        <v>187</v>
      </c>
      <c r="G1778" s="1">
        <v>45915</v>
      </c>
      <c r="H1778" s="1">
        <v>45954</v>
      </c>
      <c r="I1778" s="2">
        <v>270</v>
      </c>
      <c r="J1778" t="s">
        <v>778</v>
      </c>
      <c r="K1778" t="s">
        <v>783</v>
      </c>
      <c r="L1778" t="s">
        <v>824</v>
      </c>
      <c r="M1778" t="s">
        <v>830</v>
      </c>
      <c r="N1778" t="str">
        <f t="shared" si="81"/>
        <v>T-3</v>
      </c>
      <c r="O1778">
        <f t="shared" si="82"/>
        <v>2025</v>
      </c>
      <c r="P1778" t="str">
        <f t="shared" si="83"/>
        <v>9. septiembre</v>
      </c>
    </row>
    <row r="1779" spans="1:16" x14ac:dyDescent="0.35">
      <c r="A1779">
        <v>606850</v>
      </c>
      <c r="B1779" t="s">
        <v>13</v>
      </c>
      <c r="C1779" t="s">
        <v>138</v>
      </c>
      <c r="D1779" t="s">
        <v>361</v>
      </c>
      <c r="E1779" t="s">
        <v>694</v>
      </c>
      <c r="F1779" t="s">
        <v>187</v>
      </c>
      <c r="G1779" s="1">
        <v>45915</v>
      </c>
      <c r="H1779" s="1">
        <v>45954</v>
      </c>
      <c r="I1779" s="2">
        <v>2700</v>
      </c>
      <c r="J1779" t="s">
        <v>778</v>
      </c>
      <c r="K1779" t="s">
        <v>783</v>
      </c>
      <c r="L1779" t="s">
        <v>823</v>
      </c>
      <c r="M1779" t="s">
        <v>828</v>
      </c>
      <c r="N1779" t="str">
        <f t="shared" si="81"/>
        <v>T-3</v>
      </c>
      <c r="O1779">
        <f t="shared" si="82"/>
        <v>2025</v>
      </c>
      <c r="P1779" t="str">
        <f t="shared" si="83"/>
        <v>9. septiembre</v>
      </c>
    </row>
    <row r="1780" spans="1:16" x14ac:dyDescent="0.35">
      <c r="A1780">
        <v>705730</v>
      </c>
      <c r="B1780" t="s">
        <v>24</v>
      </c>
      <c r="C1780" t="s">
        <v>137</v>
      </c>
      <c r="D1780" t="s">
        <v>361</v>
      </c>
      <c r="E1780" t="s">
        <v>694</v>
      </c>
      <c r="F1780" t="s">
        <v>187</v>
      </c>
      <c r="G1780" s="1">
        <v>45915</v>
      </c>
      <c r="H1780" s="1">
        <v>45954</v>
      </c>
      <c r="I1780" s="2">
        <v>2700</v>
      </c>
      <c r="J1780" t="s">
        <v>778</v>
      </c>
      <c r="K1780" t="s">
        <v>783</v>
      </c>
      <c r="L1780" t="s">
        <v>823</v>
      </c>
      <c r="M1780" t="s">
        <v>830</v>
      </c>
      <c r="N1780" t="str">
        <f t="shared" si="81"/>
        <v>T-3</v>
      </c>
      <c r="O1780">
        <f t="shared" si="82"/>
        <v>2025</v>
      </c>
      <c r="P1780" t="str">
        <f t="shared" si="83"/>
        <v>9. septiembre</v>
      </c>
    </row>
    <row r="1781" spans="1:16" x14ac:dyDescent="0.35">
      <c r="A1781">
        <v>720742</v>
      </c>
      <c r="B1781" t="s">
        <v>4</v>
      </c>
      <c r="C1781" t="s">
        <v>137</v>
      </c>
      <c r="D1781" t="s">
        <v>360</v>
      </c>
      <c r="E1781" t="s">
        <v>694</v>
      </c>
      <c r="F1781" t="s">
        <v>187</v>
      </c>
      <c r="G1781" s="1">
        <v>45915</v>
      </c>
      <c r="H1781" s="1">
        <v>45954</v>
      </c>
      <c r="I1781" s="2">
        <v>660</v>
      </c>
      <c r="J1781" t="s">
        <v>778</v>
      </c>
      <c r="K1781" t="s">
        <v>783</v>
      </c>
      <c r="L1781" t="s">
        <v>823</v>
      </c>
      <c r="M1781" t="s">
        <v>829</v>
      </c>
      <c r="N1781" t="str">
        <f t="shared" si="81"/>
        <v>T-3</v>
      </c>
      <c r="O1781">
        <f t="shared" si="82"/>
        <v>2025</v>
      </c>
      <c r="P1781" t="str">
        <f t="shared" si="83"/>
        <v>9. septiembre</v>
      </c>
    </row>
    <row r="1782" spans="1:16" x14ac:dyDescent="0.35">
      <c r="A1782">
        <v>427738</v>
      </c>
      <c r="B1782" t="s">
        <v>23</v>
      </c>
      <c r="C1782" t="s">
        <v>139</v>
      </c>
      <c r="D1782" t="s">
        <v>311</v>
      </c>
      <c r="E1782" t="s">
        <v>675</v>
      </c>
      <c r="F1782" t="s">
        <v>187</v>
      </c>
      <c r="G1782" s="1">
        <v>45918</v>
      </c>
      <c r="H1782" s="1">
        <v>45930</v>
      </c>
      <c r="I1782" s="2">
        <v>2071.6</v>
      </c>
      <c r="J1782" t="s">
        <v>779</v>
      </c>
      <c r="K1782" t="s">
        <v>783</v>
      </c>
      <c r="L1782" t="s">
        <v>823</v>
      </c>
      <c r="M1782" t="s">
        <v>830</v>
      </c>
      <c r="N1782" t="str">
        <f t="shared" si="81"/>
        <v>T-3</v>
      </c>
      <c r="O1782">
        <f t="shared" si="82"/>
        <v>2025</v>
      </c>
      <c r="P1782" t="str">
        <f t="shared" si="83"/>
        <v>9. septiembre</v>
      </c>
    </row>
    <row r="1783" spans="1:16" x14ac:dyDescent="0.35">
      <c r="A1783">
        <v>564378</v>
      </c>
      <c r="B1783" t="s">
        <v>125</v>
      </c>
      <c r="C1783" t="s">
        <v>140</v>
      </c>
      <c r="D1783" t="s">
        <v>609</v>
      </c>
      <c r="E1783" t="s">
        <v>675</v>
      </c>
      <c r="F1783" t="s">
        <v>187</v>
      </c>
      <c r="G1783" s="1">
        <v>45950</v>
      </c>
      <c r="H1783" s="1">
        <v>45952</v>
      </c>
      <c r="I1783" s="2">
        <v>850.91</v>
      </c>
      <c r="J1783" t="s">
        <v>779</v>
      </c>
      <c r="K1783" t="s">
        <v>783</v>
      </c>
      <c r="L1783" t="s">
        <v>823</v>
      </c>
      <c r="M1783" t="s">
        <v>830</v>
      </c>
      <c r="N1783" t="str">
        <f t="shared" si="81"/>
        <v>T-4</v>
      </c>
      <c r="O1783">
        <f t="shared" si="82"/>
        <v>2025</v>
      </c>
      <c r="P1783" t="str">
        <f t="shared" si="83"/>
        <v>10. octubre</v>
      </c>
    </row>
    <row r="1784" spans="1:16" x14ac:dyDescent="0.35">
      <c r="A1784">
        <v>361686</v>
      </c>
      <c r="B1784" t="s">
        <v>30</v>
      </c>
      <c r="C1784" t="s">
        <v>138</v>
      </c>
      <c r="D1784" t="s">
        <v>609</v>
      </c>
      <c r="E1784" t="s">
        <v>675</v>
      </c>
      <c r="F1784" t="s">
        <v>187</v>
      </c>
      <c r="G1784" s="1">
        <v>45950</v>
      </c>
      <c r="H1784" s="1">
        <v>45952</v>
      </c>
      <c r="I1784" s="2">
        <v>709.09</v>
      </c>
      <c r="J1784" t="s">
        <v>779</v>
      </c>
      <c r="K1784" t="s">
        <v>783</v>
      </c>
      <c r="L1784" t="s">
        <v>823</v>
      </c>
      <c r="M1784" t="s">
        <v>828</v>
      </c>
      <c r="N1784" t="str">
        <f t="shared" si="81"/>
        <v>T-4</v>
      </c>
      <c r="O1784">
        <f t="shared" si="82"/>
        <v>2025</v>
      </c>
      <c r="P1784" t="str">
        <f t="shared" si="83"/>
        <v>10. octubre</v>
      </c>
    </row>
    <row r="1785" spans="1:16" x14ac:dyDescent="0.35">
      <c r="A1785">
        <v>465069</v>
      </c>
      <c r="B1785" t="s">
        <v>8</v>
      </c>
      <c r="C1785" t="s">
        <v>138</v>
      </c>
      <c r="D1785" t="s">
        <v>455</v>
      </c>
      <c r="E1785" t="s">
        <v>678</v>
      </c>
      <c r="F1785" t="s">
        <v>187</v>
      </c>
      <c r="G1785" s="1">
        <v>45950</v>
      </c>
      <c r="H1785" s="1">
        <v>45954</v>
      </c>
      <c r="I1785" s="2">
        <v>390</v>
      </c>
      <c r="J1785" t="s">
        <v>776</v>
      </c>
      <c r="K1785" t="s">
        <v>783</v>
      </c>
      <c r="L1785" t="s">
        <v>823</v>
      </c>
      <c r="M1785" t="s">
        <v>828</v>
      </c>
      <c r="N1785" t="str">
        <f t="shared" si="81"/>
        <v>T-4</v>
      </c>
      <c r="O1785">
        <f t="shared" si="82"/>
        <v>2025</v>
      </c>
      <c r="P1785" t="str">
        <f t="shared" si="83"/>
        <v>10. octubre</v>
      </c>
    </row>
    <row r="1786" spans="1:16" x14ac:dyDescent="0.35">
      <c r="A1786">
        <v>706820</v>
      </c>
      <c r="B1786" t="s">
        <v>8</v>
      </c>
      <c r="C1786" t="s">
        <v>136</v>
      </c>
      <c r="D1786" t="s">
        <v>610</v>
      </c>
      <c r="E1786" t="s">
        <v>678</v>
      </c>
      <c r="F1786" t="s">
        <v>187</v>
      </c>
      <c r="G1786" s="1">
        <v>45950</v>
      </c>
      <c r="H1786" s="1">
        <v>45954</v>
      </c>
      <c r="I1786" s="2">
        <v>325</v>
      </c>
      <c r="J1786" t="s">
        <v>776</v>
      </c>
      <c r="K1786" t="s">
        <v>783</v>
      </c>
      <c r="L1786" t="s">
        <v>824</v>
      </c>
      <c r="M1786" t="s">
        <v>830</v>
      </c>
      <c r="N1786" t="str">
        <f t="shared" si="81"/>
        <v>T-4</v>
      </c>
      <c r="O1786">
        <f t="shared" si="82"/>
        <v>2025</v>
      </c>
      <c r="P1786" t="str">
        <f t="shared" si="83"/>
        <v>10. octubre</v>
      </c>
    </row>
    <row r="1787" spans="1:16" x14ac:dyDescent="0.35">
      <c r="A1787">
        <v>715932</v>
      </c>
      <c r="B1787" t="s">
        <v>4</v>
      </c>
      <c r="C1787" t="s">
        <v>138</v>
      </c>
      <c r="D1787" t="s">
        <v>460</v>
      </c>
      <c r="E1787" t="s">
        <v>678</v>
      </c>
      <c r="F1787" t="s">
        <v>187</v>
      </c>
      <c r="G1787" s="1">
        <v>45950</v>
      </c>
      <c r="H1787" s="1">
        <v>45952</v>
      </c>
      <c r="I1787" s="2">
        <v>208</v>
      </c>
      <c r="J1787" t="s">
        <v>776</v>
      </c>
      <c r="K1787" t="s">
        <v>783</v>
      </c>
      <c r="L1787" t="s">
        <v>823</v>
      </c>
      <c r="M1787" t="s">
        <v>829</v>
      </c>
      <c r="N1787" t="str">
        <f t="shared" si="81"/>
        <v>T-4</v>
      </c>
      <c r="O1787">
        <f t="shared" si="82"/>
        <v>2025</v>
      </c>
      <c r="P1787" t="str">
        <f t="shared" si="83"/>
        <v>10. octubre</v>
      </c>
    </row>
    <row r="1788" spans="1:16" x14ac:dyDescent="0.35">
      <c r="A1788">
        <v>712171</v>
      </c>
      <c r="B1788" t="s">
        <v>15</v>
      </c>
      <c r="C1788" t="s">
        <v>136</v>
      </c>
      <c r="D1788" t="s">
        <v>461</v>
      </c>
      <c r="E1788" t="s">
        <v>678</v>
      </c>
      <c r="F1788" t="s">
        <v>187</v>
      </c>
      <c r="G1788" s="1">
        <v>45953</v>
      </c>
      <c r="H1788" s="1">
        <v>45954</v>
      </c>
      <c r="I1788" s="2">
        <v>624</v>
      </c>
      <c r="J1788" t="s">
        <v>776</v>
      </c>
      <c r="K1788" t="s">
        <v>783</v>
      </c>
      <c r="L1788" t="s">
        <v>823</v>
      </c>
      <c r="M1788" t="s">
        <v>830</v>
      </c>
      <c r="N1788" t="str">
        <f t="shared" si="81"/>
        <v>T-4</v>
      </c>
      <c r="O1788">
        <f t="shared" si="82"/>
        <v>2025</v>
      </c>
      <c r="P1788" t="str">
        <f t="shared" si="83"/>
        <v>10. octubre</v>
      </c>
    </row>
    <row r="1789" spans="1:16" x14ac:dyDescent="0.35">
      <c r="A1789">
        <v>560325</v>
      </c>
      <c r="B1789" t="s">
        <v>5</v>
      </c>
      <c r="C1789" t="s">
        <v>138</v>
      </c>
      <c r="D1789" t="s">
        <v>457</v>
      </c>
      <c r="E1789" t="s">
        <v>678</v>
      </c>
      <c r="F1789" t="s">
        <v>187</v>
      </c>
      <c r="G1789" s="1">
        <v>45950</v>
      </c>
      <c r="H1789" s="1">
        <v>45954</v>
      </c>
      <c r="I1789" s="2">
        <v>325</v>
      </c>
      <c r="J1789" t="s">
        <v>776</v>
      </c>
      <c r="K1789" t="s">
        <v>783</v>
      </c>
      <c r="L1789" t="s">
        <v>823</v>
      </c>
      <c r="M1789" t="s">
        <v>830</v>
      </c>
      <c r="N1789" t="str">
        <f t="shared" si="81"/>
        <v>T-4</v>
      </c>
      <c r="O1789">
        <f t="shared" si="82"/>
        <v>2025</v>
      </c>
      <c r="P1789" t="str">
        <f t="shared" si="83"/>
        <v>10. octubre</v>
      </c>
    </row>
    <row r="1790" spans="1:16" x14ac:dyDescent="0.35">
      <c r="A1790">
        <v>567646</v>
      </c>
      <c r="B1790" t="s">
        <v>30</v>
      </c>
      <c r="C1790" t="s">
        <v>138</v>
      </c>
      <c r="D1790" t="s">
        <v>611</v>
      </c>
      <c r="E1790" t="s">
        <v>678</v>
      </c>
      <c r="F1790" t="s">
        <v>187</v>
      </c>
      <c r="G1790" s="1">
        <v>45950</v>
      </c>
      <c r="H1790" s="1">
        <v>45952</v>
      </c>
      <c r="I1790" s="2">
        <v>1755</v>
      </c>
      <c r="J1790" t="s">
        <v>776</v>
      </c>
      <c r="K1790" t="s">
        <v>783</v>
      </c>
      <c r="L1790" t="s">
        <v>823</v>
      </c>
      <c r="M1790" t="s">
        <v>828</v>
      </c>
      <c r="N1790" t="str">
        <f t="shared" si="81"/>
        <v>T-4</v>
      </c>
      <c r="O1790">
        <f t="shared" si="82"/>
        <v>2025</v>
      </c>
      <c r="P1790" t="str">
        <f t="shared" si="83"/>
        <v>10. octubre</v>
      </c>
    </row>
    <row r="1791" spans="1:16" x14ac:dyDescent="0.35">
      <c r="A1791">
        <v>717897</v>
      </c>
      <c r="B1791" t="s">
        <v>25</v>
      </c>
      <c r="C1791" t="s">
        <v>138</v>
      </c>
      <c r="D1791" t="s">
        <v>185</v>
      </c>
      <c r="E1791" t="s">
        <v>678</v>
      </c>
      <c r="F1791" t="s">
        <v>187</v>
      </c>
      <c r="G1791" s="1">
        <v>45950</v>
      </c>
      <c r="H1791" s="1">
        <v>45953</v>
      </c>
      <c r="I1791" s="2">
        <v>520</v>
      </c>
      <c r="J1791" t="s">
        <v>776</v>
      </c>
      <c r="K1791" t="s">
        <v>783</v>
      </c>
      <c r="L1791" t="s">
        <v>823</v>
      </c>
      <c r="M1791" t="s">
        <v>828</v>
      </c>
      <c r="N1791" t="str">
        <f t="shared" si="81"/>
        <v>T-4</v>
      </c>
      <c r="O1791">
        <f t="shared" si="82"/>
        <v>2025</v>
      </c>
      <c r="P1791" t="str">
        <f t="shared" si="83"/>
        <v>10. octubre</v>
      </c>
    </row>
    <row r="1792" spans="1:16" x14ac:dyDescent="0.35">
      <c r="A1792">
        <v>713849</v>
      </c>
      <c r="B1792" t="s">
        <v>57</v>
      </c>
      <c r="C1792" t="s">
        <v>139</v>
      </c>
      <c r="D1792" t="s">
        <v>610</v>
      </c>
      <c r="E1792" t="s">
        <v>678</v>
      </c>
      <c r="F1792" t="s">
        <v>187</v>
      </c>
      <c r="G1792" s="1">
        <v>45950</v>
      </c>
      <c r="H1792" s="1">
        <v>45954</v>
      </c>
      <c r="I1792" s="2">
        <v>2600</v>
      </c>
      <c r="J1792" t="s">
        <v>776</v>
      </c>
      <c r="K1792" t="s">
        <v>783</v>
      </c>
      <c r="L1792" t="s">
        <v>824</v>
      </c>
      <c r="M1792" t="s">
        <v>829</v>
      </c>
      <c r="N1792" t="str">
        <f t="shared" si="81"/>
        <v>T-4</v>
      </c>
      <c r="O1792">
        <f t="shared" si="82"/>
        <v>2025</v>
      </c>
      <c r="P1792" t="str">
        <f t="shared" si="83"/>
        <v>10. octubre</v>
      </c>
    </row>
    <row r="1793" spans="1:16" x14ac:dyDescent="0.35">
      <c r="A1793">
        <v>497960</v>
      </c>
      <c r="B1793" t="s">
        <v>42</v>
      </c>
      <c r="C1793" t="s">
        <v>138</v>
      </c>
      <c r="D1793" t="s">
        <v>460</v>
      </c>
      <c r="E1793" t="s">
        <v>678</v>
      </c>
      <c r="F1793" t="s">
        <v>187</v>
      </c>
      <c r="G1793" s="1">
        <v>45950</v>
      </c>
      <c r="H1793" s="1">
        <v>45952</v>
      </c>
      <c r="I1793" s="2">
        <v>416</v>
      </c>
      <c r="J1793" t="s">
        <v>776</v>
      </c>
      <c r="K1793" t="s">
        <v>783</v>
      </c>
      <c r="L1793" t="s">
        <v>823</v>
      </c>
      <c r="M1793" t="s">
        <v>830</v>
      </c>
      <c r="N1793" t="str">
        <f t="shared" si="81"/>
        <v>T-4</v>
      </c>
      <c r="O1793">
        <f t="shared" si="82"/>
        <v>2025</v>
      </c>
      <c r="P1793" t="str">
        <f t="shared" si="83"/>
        <v>10. octubre</v>
      </c>
    </row>
    <row r="1794" spans="1:16" x14ac:dyDescent="0.35">
      <c r="A1794">
        <v>606824</v>
      </c>
      <c r="B1794" t="s">
        <v>13</v>
      </c>
      <c r="C1794" t="s">
        <v>138</v>
      </c>
      <c r="D1794" t="s">
        <v>461</v>
      </c>
      <c r="E1794" t="s">
        <v>678</v>
      </c>
      <c r="F1794" t="s">
        <v>187</v>
      </c>
      <c r="G1794" s="1">
        <v>45953</v>
      </c>
      <c r="H1794" s="1">
        <v>45954</v>
      </c>
      <c r="I1794" s="2">
        <v>208</v>
      </c>
      <c r="J1794" t="s">
        <v>776</v>
      </c>
      <c r="K1794" t="s">
        <v>783</v>
      </c>
      <c r="L1794" t="s">
        <v>823</v>
      </c>
      <c r="M1794" t="s">
        <v>830</v>
      </c>
      <c r="N1794" t="str">
        <f t="shared" si="81"/>
        <v>T-4</v>
      </c>
      <c r="O1794">
        <f t="shared" si="82"/>
        <v>2025</v>
      </c>
      <c r="P1794" t="str">
        <f t="shared" si="83"/>
        <v>10. octubre</v>
      </c>
    </row>
    <row r="1795" spans="1:16" x14ac:dyDescent="0.35">
      <c r="A1795">
        <v>486755</v>
      </c>
      <c r="B1795" t="s">
        <v>20</v>
      </c>
      <c r="C1795" t="s">
        <v>136</v>
      </c>
      <c r="D1795" t="s">
        <v>457</v>
      </c>
      <c r="E1795" t="s">
        <v>678</v>
      </c>
      <c r="F1795" t="s">
        <v>187</v>
      </c>
      <c r="G1795" s="1">
        <v>45950</v>
      </c>
      <c r="H1795" s="1">
        <v>45954</v>
      </c>
      <c r="I1795" s="2">
        <v>325</v>
      </c>
      <c r="J1795" t="s">
        <v>776</v>
      </c>
      <c r="K1795" t="s">
        <v>783</v>
      </c>
      <c r="L1795" t="s">
        <v>823</v>
      </c>
      <c r="M1795" t="s">
        <v>828</v>
      </c>
      <c r="N1795" t="str">
        <f t="shared" ref="N1795:N1858" si="84">"T-" &amp; ROUNDUP((MONTH(G1795)/3), 0)</f>
        <v>T-4</v>
      </c>
      <c r="O1795">
        <f t="shared" ref="O1795:O1858" si="85">YEAR(G1795)</f>
        <v>2025</v>
      </c>
      <c r="P1795" t="str">
        <f t="shared" ref="P1795:P1858" si="86">MONTH(G1795) &amp; ". " &amp; TEXT(G1795, "MMMM")</f>
        <v>10. octubre</v>
      </c>
    </row>
    <row r="1796" spans="1:16" x14ac:dyDescent="0.35">
      <c r="A1796">
        <v>718293</v>
      </c>
      <c r="B1796" t="s">
        <v>32</v>
      </c>
      <c r="C1796" t="s">
        <v>137</v>
      </c>
      <c r="D1796" t="s">
        <v>455</v>
      </c>
      <c r="E1796" t="s">
        <v>678</v>
      </c>
      <c r="F1796" t="s">
        <v>187</v>
      </c>
      <c r="G1796" s="1">
        <v>45950</v>
      </c>
      <c r="H1796" s="1">
        <v>45954</v>
      </c>
      <c r="I1796" s="2">
        <v>1170</v>
      </c>
      <c r="J1796" t="s">
        <v>776</v>
      </c>
      <c r="K1796" t="s">
        <v>783</v>
      </c>
      <c r="L1796" t="s">
        <v>823</v>
      </c>
      <c r="M1796" t="s">
        <v>830</v>
      </c>
      <c r="N1796" t="str">
        <f t="shared" si="84"/>
        <v>T-4</v>
      </c>
      <c r="O1796">
        <f t="shared" si="85"/>
        <v>2025</v>
      </c>
      <c r="P1796" t="str">
        <f t="shared" si="86"/>
        <v>10. octubre</v>
      </c>
    </row>
    <row r="1797" spans="1:16" x14ac:dyDescent="0.35">
      <c r="A1797">
        <v>421066</v>
      </c>
      <c r="B1797" t="s">
        <v>30</v>
      </c>
      <c r="C1797" t="s">
        <v>138</v>
      </c>
      <c r="D1797" t="s">
        <v>185</v>
      </c>
      <c r="E1797" t="s">
        <v>678</v>
      </c>
      <c r="F1797" t="s">
        <v>187</v>
      </c>
      <c r="G1797" s="1">
        <v>45950</v>
      </c>
      <c r="H1797" s="1">
        <v>45953</v>
      </c>
      <c r="I1797" s="2">
        <v>520</v>
      </c>
      <c r="J1797" t="s">
        <v>776</v>
      </c>
      <c r="K1797" t="s">
        <v>783</v>
      </c>
      <c r="L1797" t="s">
        <v>823</v>
      </c>
      <c r="M1797" t="s">
        <v>829</v>
      </c>
      <c r="N1797" t="str">
        <f t="shared" si="84"/>
        <v>T-4</v>
      </c>
      <c r="O1797">
        <f t="shared" si="85"/>
        <v>2025</v>
      </c>
      <c r="P1797" t="str">
        <f t="shared" si="86"/>
        <v>10. octubre</v>
      </c>
    </row>
    <row r="1798" spans="1:16" x14ac:dyDescent="0.35">
      <c r="A1798">
        <v>710045</v>
      </c>
      <c r="B1798" t="s">
        <v>8</v>
      </c>
      <c r="C1798" t="s">
        <v>138</v>
      </c>
      <c r="D1798" t="s">
        <v>610</v>
      </c>
      <c r="E1798" t="s">
        <v>678</v>
      </c>
      <c r="F1798" t="s">
        <v>187</v>
      </c>
      <c r="G1798" s="1">
        <v>45950</v>
      </c>
      <c r="H1798" s="1">
        <v>45954</v>
      </c>
      <c r="I1798" s="2">
        <v>325</v>
      </c>
      <c r="J1798" t="s">
        <v>776</v>
      </c>
      <c r="K1798" t="s">
        <v>783</v>
      </c>
      <c r="L1798" t="s">
        <v>823</v>
      </c>
      <c r="M1798" t="s">
        <v>830</v>
      </c>
      <c r="N1798" t="str">
        <f t="shared" si="84"/>
        <v>T-4</v>
      </c>
      <c r="O1798">
        <f t="shared" si="85"/>
        <v>2025</v>
      </c>
      <c r="P1798" t="str">
        <f t="shared" si="86"/>
        <v>10. octubre</v>
      </c>
    </row>
    <row r="1799" spans="1:16" x14ac:dyDescent="0.35">
      <c r="A1799">
        <v>723445</v>
      </c>
      <c r="B1799" t="s">
        <v>37</v>
      </c>
      <c r="C1799" t="s">
        <v>138</v>
      </c>
      <c r="D1799" t="s">
        <v>460</v>
      </c>
      <c r="E1799" t="s">
        <v>678</v>
      </c>
      <c r="F1799" t="s">
        <v>187</v>
      </c>
      <c r="G1799" s="1">
        <v>45950</v>
      </c>
      <c r="H1799" s="1">
        <v>45952</v>
      </c>
      <c r="I1799" s="2">
        <v>208</v>
      </c>
      <c r="J1799" t="s">
        <v>776</v>
      </c>
      <c r="K1799" t="s">
        <v>783</v>
      </c>
      <c r="L1799" t="s">
        <v>824</v>
      </c>
      <c r="M1799" t="s">
        <v>830</v>
      </c>
      <c r="N1799" t="str">
        <f t="shared" si="84"/>
        <v>T-4</v>
      </c>
      <c r="O1799">
        <f t="shared" si="85"/>
        <v>2025</v>
      </c>
      <c r="P1799" t="str">
        <f t="shared" si="86"/>
        <v>10. octubre</v>
      </c>
    </row>
    <row r="1800" spans="1:16" x14ac:dyDescent="0.35">
      <c r="A1800">
        <v>714801</v>
      </c>
      <c r="B1800" t="s">
        <v>23</v>
      </c>
      <c r="C1800" t="s">
        <v>138</v>
      </c>
      <c r="D1800" t="s">
        <v>457</v>
      </c>
      <c r="E1800" t="s">
        <v>678</v>
      </c>
      <c r="F1800" t="s">
        <v>187</v>
      </c>
      <c r="G1800" s="1">
        <v>45950</v>
      </c>
      <c r="H1800" s="1">
        <v>45954</v>
      </c>
      <c r="I1800" s="2">
        <v>975</v>
      </c>
      <c r="J1800" t="s">
        <v>776</v>
      </c>
      <c r="K1800" t="s">
        <v>783</v>
      </c>
      <c r="L1800" t="s">
        <v>823</v>
      </c>
      <c r="M1800" t="s">
        <v>828</v>
      </c>
      <c r="N1800" t="str">
        <f t="shared" si="84"/>
        <v>T-4</v>
      </c>
      <c r="O1800">
        <f t="shared" si="85"/>
        <v>2025</v>
      </c>
      <c r="P1800" t="str">
        <f t="shared" si="86"/>
        <v>10. octubre</v>
      </c>
    </row>
    <row r="1801" spans="1:16" x14ac:dyDescent="0.35">
      <c r="A1801">
        <v>413654</v>
      </c>
      <c r="B1801" t="s">
        <v>72</v>
      </c>
      <c r="C1801" t="s">
        <v>138</v>
      </c>
      <c r="D1801" t="s">
        <v>455</v>
      </c>
      <c r="E1801" t="s">
        <v>678</v>
      </c>
      <c r="F1801" t="s">
        <v>187</v>
      </c>
      <c r="G1801" s="1">
        <v>45950</v>
      </c>
      <c r="H1801" s="1">
        <v>45954</v>
      </c>
      <c r="I1801" s="2">
        <v>780</v>
      </c>
      <c r="J1801" t="s">
        <v>776</v>
      </c>
      <c r="K1801" t="s">
        <v>783</v>
      </c>
      <c r="L1801" t="s">
        <v>823</v>
      </c>
      <c r="M1801" t="s">
        <v>828</v>
      </c>
      <c r="N1801" t="str">
        <f t="shared" si="84"/>
        <v>T-4</v>
      </c>
      <c r="O1801">
        <f t="shared" si="85"/>
        <v>2025</v>
      </c>
      <c r="P1801" t="str">
        <f t="shared" si="86"/>
        <v>10. octubre</v>
      </c>
    </row>
    <row r="1802" spans="1:16" x14ac:dyDescent="0.35">
      <c r="A1802">
        <v>565885</v>
      </c>
      <c r="B1802" t="s">
        <v>2</v>
      </c>
      <c r="C1802" t="s">
        <v>139</v>
      </c>
      <c r="D1802" t="s">
        <v>460</v>
      </c>
      <c r="E1802" t="s">
        <v>678</v>
      </c>
      <c r="F1802" t="s">
        <v>187</v>
      </c>
      <c r="G1802" s="1">
        <v>45950</v>
      </c>
      <c r="H1802" s="1">
        <v>45952</v>
      </c>
      <c r="I1802" s="2">
        <v>2496</v>
      </c>
      <c r="J1802" t="s">
        <v>776</v>
      </c>
      <c r="K1802" t="s">
        <v>783</v>
      </c>
      <c r="L1802" t="s">
        <v>823</v>
      </c>
      <c r="M1802" t="s">
        <v>830</v>
      </c>
      <c r="N1802" t="str">
        <f t="shared" si="84"/>
        <v>T-4</v>
      </c>
      <c r="O1802">
        <f t="shared" si="85"/>
        <v>2025</v>
      </c>
      <c r="P1802" t="str">
        <f t="shared" si="86"/>
        <v>10. octubre</v>
      </c>
    </row>
    <row r="1803" spans="1:16" x14ac:dyDescent="0.35">
      <c r="A1803">
        <v>702031</v>
      </c>
      <c r="B1803" t="s">
        <v>30</v>
      </c>
      <c r="C1803" t="s">
        <v>138</v>
      </c>
      <c r="D1803" t="s">
        <v>461</v>
      </c>
      <c r="E1803" t="s">
        <v>678</v>
      </c>
      <c r="F1803" t="s">
        <v>187</v>
      </c>
      <c r="G1803" s="1">
        <v>45953</v>
      </c>
      <c r="H1803" s="1">
        <v>45954</v>
      </c>
      <c r="I1803" s="2">
        <v>1040</v>
      </c>
      <c r="J1803" t="s">
        <v>776</v>
      </c>
      <c r="K1803" t="s">
        <v>783</v>
      </c>
      <c r="L1803" t="s">
        <v>823</v>
      </c>
      <c r="M1803" t="s">
        <v>829</v>
      </c>
      <c r="N1803" t="str">
        <f t="shared" si="84"/>
        <v>T-4</v>
      </c>
      <c r="O1803">
        <f t="shared" si="85"/>
        <v>2025</v>
      </c>
      <c r="P1803" t="str">
        <f t="shared" si="86"/>
        <v>10. octubre</v>
      </c>
    </row>
    <row r="1804" spans="1:16" x14ac:dyDescent="0.35">
      <c r="A1804">
        <v>508028</v>
      </c>
      <c r="B1804" t="s">
        <v>39</v>
      </c>
      <c r="C1804" t="s">
        <v>138</v>
      </c>
      <c r="D1804" t="s">
        <v>457</v>
      </c>
      <c r="E1804" t="s">
        <v>678</v>
      </c>
      <c r="F1804" t="s">
        <v>187</v>
      </c>
      <c r="G1804" s="1">
        <v>45950</v>
      </c>
      <c r="H1804" s="1">
        <v>45954</v>
      </c>
      <c r="I1804" s="2">
        <v>2925</v>
      </c>
      <c r="J1804" t="s">
        <v>776</v>
      </c>
      <c r="K1804" t="s">
        <v>783</v>
      </c>
      <c r="L1804" t="s">
        <v>823</v>
      </c>
      <c r="M1804" t="s">
        <v>830</v>
      </c>
      <c r="N1804" t="str">
        <f t="shared" si="84"/>
        <v>T-4</v>
      </c>
      <c r="O1804">
        <f t="shared" si="85"/>
        <v>2025</v>
      </c>
      <c r="P1804" t="str">
        <f t="shared" si="86"/>
        <v>10. octubre</v>
      </c>
    </row>
    <row r="1805" spans="1:16" x14ac:dyDescent="0.35">
      <c r="A1805">
        <v>408031</v>
      </c>
      <c r="B1805" t="s">
        <v>5</v>
      </c>
      <c r="C1805" t="s">
        <v>138</v>
      </c>
      <c r="D1805" t="s">
        <v>455</v>
      </c>
      <c r="E1805" t="s">
        <v>678</v>
      </c>
      <c r="F1805" t="s">
        <v>187</v>
      </c>
      <c r="G1805" s="1">
        <v>45950</v>
      </c>
      <c r="H1805" s="1">
        <v>45954</v>
      </c>
      <c r="I1805" s="2">
        <v>1170</v>
      </c>
      <c r="J1805" t="s">
        <v>776</v>
      </c>
      <c r="K1805" t="s">
        <v>783</v>
      </c>
      <c r="L1805" t="s">
        <v>823</v>
      </c>
      <c r="M1805" t="s">
        <v>830</v>
      </c>
      <c r="N1805" t="str">
        <f t="shared" si="84"/>
        <v>T-4</v>
      </c>
      <c r="O1805">
        <f t="shared" si="85"/>
        <v>2025</v>
      </c>
      <c r="P1805" t="str">
        <f t="shared" si="86"/>
        <v>10. octubre</v>
      </c>
    </row>
    <row r="1806" spans="1:16" x14ac:dyDescent="0.35">
      <c r="A1806">
        <v>721932</v>
      </c>
      <c r="B1806" t="s">
        <v>2</v>
      </c>
      <c r="C1806" t="s">
        <v>137</v>
      </c>
      <c r="D1806" t="s">
        <v>611</v>
      </c>
      <c r="E1806" t="s">
        <v>678</v>
      </c>
      <c r="F1806" t="s">
        <v>187</v>
      </c>
      <c r="G1806" s="1">
        <v>45950</v>
      </c>
      <c r="H1806" s="1">
        <v>45952</v>
      </c>
      <c r="I1806" s="2">
        <v>1365</v>
      </c>
      <c r="J1806" t="s">
        <v>776</v>
      </c>
      <c r="K1806" t="s">
        <v>783</v>
      </c>
      <c r="L1806" t="s">
        <v>823</v>
      </c>
      <c r="M1806" t="s">
        <v>828</v>
      </c>
      <c r="N1806" t="str">
        <f t="shared" si="84"/>
        <v>T-4</v>
      </c>
      <c r="O1806">
        <f t="shared" si="85"/>
        <v>2025</v>
      </c>
      <c r="P1806" t="str">
        <f t="shared" si="86"/>
        <v>10. octubre</v>
      </c>
    </row>
    <row r="1807" spans="1:16" x14ac:dyDescent="0.35">
      <c r="A1807">
        <v>750067</v>
      </c>
      <c r="B1807" t="s">
        <v>31</v>
      </c>
      <c r="C1807" t="s">
        <v>138</v>
      </c>
      <c r="D1807" t="s">
        <v>185</v>
      </c>
      <c r="E1807" t="s">
        <v>678</v>
      </c>
      <c r="F1807" t="s">
        <v>187</v>
      </c>
      <c r="G1807" s="1">
        <v>45950</v>
      </c>
      <c r="H1807" s="1">
        <v>45953</v>
      </c>
      <c r="I1807" s="2">
        <v>2080</v>
      </c>
      <c r="J1807" t="s">
        <v>776</v>
      </c>
      <c r="K1807" t="s">
        <v>783</v>
      </c>
      <c r="L1807" t="s">
        <v>824</v>
      </c>
      <c r="M1807" t="s">
        <v>828</v>
      </c>
      <c r="N1807" t="str">
        <f t="shared" si="84"/>
        <v>T-4</v>
      </c>
      <c r="O1807">
        <f t="shared" si="85"/>
        <v>2025</v>
      </c>
      <c r="P1807" t="str">
        <f t="shared" si="86"/>
        <v>10. octubre</v>
      </c>
    </row>
    <row r="1808" spans="1:16" x14ac:dyDescent="0.35">
      <c r="A1808">
        <v>704049</v>
      </c>
      <c r="B1808" t="s">
        <v>30</v>
      </c>
      <c r="C1808" t="s">
        <v>138</v>
      </c>
      <c r="D1808" t="s">
        <v>610</v>
      </c>
      <c r="E1808" t="s">
        <v>678</v>
      </c>
      <c r="F1808" t="s">
        <v>187</v>
      </c>
      <c r="G1808" s="1">
        <v>45950</v>
      </c>
      <c r="H1808" s="1">
        <v>45954</v>
      </c>
      <c r="I1808" s="2">
        <v>2600</v>
      </c>
      <c r="J1808" t="s">
        <v>776</v>
      </c>
      <c r="K1808" t="s">
        <v>783</v>
      </c>
      <c r="L1808" t="s">
        <v>823</v>
      </c>
      <c r="M1808" t="s">
        <v>829</v>
      </c>
      <c r="N1808" t="str">
        <f t="shared" si="84"/>
        <v>T-4</v>
      </c>
      <c r="O1808">
        <f t="shared" si="85"/>
        <v>2025</v>
      </c>
      <c r="P1808" t="str">
        <f t="shared" si="86"/>
        <v>10. octubre</v>
      </c>
    </row>
    <row r="1809" spans="1:16" x14ac:dyDescent="0.35">
      <c r="A1809">
        <v>722804</v>
      </c>
      <c r="B1809" t="s">
        <v>20</v>
      </c>
      <c r="C1809" t="s">
        <v>136</v>
      </c>
      <c r="D1809" t="s">
        <v>612</v>
      </c>
      <c r="E1809" t="s">
        <v>713</v>
      </c>
      <c r="F1809" t="s">
        <v>187</v>
      </c>
      <c r="G1809" s="1">
        <v>45968</v>
      </c>
      <c r="H1809" s="1">
        <v>45968</v>
      </c>
      <c r="I1809" s="2">
        <v>4200</v>
      </c>
      <c r="J1809" t="s">
        <v>779</v>
      </c>
      <c r="K1809" t="s">
        <v>783</v>
      </c>
      <c r="L1809" t="s">
        <v>823</v>
      </c>
      <c r="M1809" t="s">
        <v>830</v>
      </c>
      <c r="N1809" t="str">
        <f t="shared" si="84"/>
        <v>T-4</v>
      </c>
      <c r="O1809">
        <f t="shared" si="85"/>
        <v>2025</v>
      </c>
      <c r="P1809" t="str">
        <f t="shared" si="86"/>
        <v>11. noviembre</v>
      </c>
    </row>
    <row r="1810" spans="1:16" x14ac:dyDescent="0.35">
      <c r="A1810">
        <v>720497</v>
      </c>
      <c r="B1810" t="s">
        <v>30</v>
      </c>
      <c r="C1810" t="s">
        <v>137</v>
      </c>
      <c r="D1810" t="s">
        <v>613</v>
      </c>
      <c r="E1810" t="s">
        <v>763</v>
      </c>
      <c r="F1810" t="s">
        <v>773</v>
      </c>
      <c r="G1810" s="1">
        <v>45957</v>
      </c>
      <c r="H1810" s="1">
        <v>45968</v>
      </c>
      <c r="I1810" s="2">
        <v>1518.55</v>
      </c>
      <c r="J1810" t="s">
        <v>777</v>
      </c>
      <c r="K1810" t="s">
        <v>783</v>
      </c>
      <c r="L1810" t="s">
        <v>823</v>
      </c>
      <c r="M1810" t="s">
        <v>830</v>
      </c>
      <c r="N1810" t="str">
        <f t="shared" si="84"/>
        <v>T-4</v>
      </c>
      <c r="O1810">
        <f t="shared" si="85"/>
        <v>2025</v>
      </c>
      <c r="P1810" t="str">
        <f t="shared" si="86"/>
        <v>10. octubre</v>
      </c>
    </row>
    <row r="1811" spans="1:16" x14ac:dyDescent="0.35">
      <c r="A1811">
        <v>721757</v>
      </c>
      <c r="B1811" t="s">
        <v>54</v>
      </c>
      <c r="C1811" t="s">
        <v>136</v>
      </c>
      <c r="D1811" t="s">
        <v>171</v>
      </c>
      <c r="E1811" t="s">
        <v>669</v>
      </c>
      <c r="F1811" t="s">
        <v>187</v>
      </c>
      <c r="G1811" s="1">
        <v>45953</v>
      </c>
      <c r="H1811" s="1">
        <v>45958</v>
      </c>
      <c r="I1811" s="2">
        <v>217.86</v>
      </c>
      <c r="J1811" t="s">
        <v>776</v>
      </c>
      <c r="K1811" t="s">
        <v>783</v>
      </c>
      <c r="L1811" t="s">
        <v>823</v>
      </c>
      <c r="M1811" t="s">
        <v>828</v>
      </c>
      <c r="N1811" t="str">
        <f t="shared" si="84"/>
        <v>T-4</v>
      </c>
      <c r="O1811">
        <f t="shared" si="85"/>
        <v>2025</v>
      </c>
      <c r="P1811" t="str">
        <f t="shared" si="86"/>
        <v>10. octubre</v>
      </c>
    </row>
    <row r="1812" spans="1:16" x14ac:dyDescent="0.35">
      <c r="A1812">
        <v>750069</v>
      </c>
      <c r="B1812" t="s">
        <v>31</v>
      </c>
      <c r="C1812" t="s">
        <v>139</v>
      </c>
      <c r="D1812" t="s">
        <v>171</v>
      </c>
      <c r="E1812" t="s">
        <v>669</v>
      </c>
      <c r="F1812" t="s">
        <v>187</v>
      </c>
      <c r="G1812" s="1">
        <v>45953</v>
      </c>
      <c r="H1812" s="1">
        <v>45958</v>
      </c>
      <c r="I1812" s="2">
        <v>290.48</v>
      </c>
      <c r="J1812" t="s">
        <v>776</v>
      </c>
      <c r="K1812" t="s">
        <v>783</v>
      </c>
      <c r="L1812" t="s">
        <v>823</v>
      </c>
      <c r="M1812" t="s">
        <v>830</v>
      </c>
      <c r="N1812" t="str">
        <f t="shared" si="84"/>
        <v>T-4</v>
      </c>
      <c r="O1812">
        <f t="shared" si="85"/>
        <v>2025</v>
      </c>
      <c r="P1812" t="str">
        <f t="shared" si="86"/>
        <v>10. octubre</v>
      </c>
    </row>
    <row r="1813" spans="1:16" x14ac:dyDescent="0.35">
      <c r="A1813">
        <v>715870</v>
      </c>
      <c r="B1813" t="s">
        <v>39</v>
      </c>
      <c r="C1813" t="s">
        <v>138</v>
      </c>
      <c r="D1813" t="s">
        <v>171</v>
      </c>
      <c r="E1813" t="s">
        <v>669</v>
      </c>
      <c r="F1813" t="s">
        <v>187</v>
      </c>
      <c r="G1813" s="1">
        <v>45953</v>
      </c>
      <c r="H1813" s="1">
        <v>45958</v>
      </c>
      <c r="I1813" s="2">
        <v>798.81</v>
      </c>
      <c r="J1813" t="s">
        <v>776</v>
      </c>
      <c r="K1813" t="s">
        <v>783</v>
      </c>
      <c r="L1813" t="s">
        <v>824</v>
      </c>
      <c r="M1813" t="s">
        <v>829</v>
      </c>
      <c r="N1813" t="str">
        <f t="shared" si="84"/>
        <v>T-4</v>
      </c>
      <c r="O1813">
        <f t="shared" si="85"/>
        <v>2025</v>
      </c>
      <c r="P1813" t="str">
        <f t="shared" si="86"/>
        <v>10. octubre</v>
      </c>
    </row>
    <row r="1814" spans="1:16" x14ac:dyDescent="0.35">
      <c r="A1814">
        <v>705453</v>
      </c>
      <c r="B1814" t="s">
        <v>25</v>
      </c>
      <c r="C1814" t="s">
        <v>138</v>
      </c>
      <c r="D1814" t="s">
        <v>365</v>
      </c>
      <c r="E1814" t="s">
        <v>669</v>
      </c>
      <c r="F1814" t="s">
        <v>187</v>
      </c>
      <c r="G1814" s="1">
        <v>45912</v>
      </c>
      <c r="H1814" s="1">
        <v>45944</v>
      </c>
      <c r="I1814" s="2">
        <v>1820</v>
      </c>
      <c r="J1814" t="s">
        <v>778</v>
      </c>
      <c r="K1814" t="s">
        <v>783</v>
      </c>
      <c r="L1814" t="s">
        <v>823</v>
      </c>
      <c r="M1814" t="s">
        <v>830</v>
      </c>
      <c r="N1814" t="str">
        <f t="shared" si="84"/>
        <v>T-3</v>
      </c>
      <c r="O1814">
        <f t="shared" si="85"/>
        <v>2025</v>
      </c>
      <c r="P1814" t="str">
        <f t="shared" si="86"/>
        <v>9. septiembre</v>
      </c>
    </row>
    <row r="1815" spans="1:16" x14ac:dyDescent="0.35">
      <c r="A1815">
        <v>561012</v>
      </c>
      <c r="B1815" t="s">
        <v>5</v>
      </c>
      <c r="C1815" t="s">
        <v>138</v>
      </c>
      <c r="D1815" t="s">
        <v>365</v>
      </c>
      <c r="E1815" t="s">
        <v>669</v>
      </c>
      <c r="F1815" t="s">
        <v>187</v>
      </c>
      <c r="G1815" s="1">
        <v>45912</v>
      </c>
      <c r="H1815" s="1">
        <v>45944</v>
      </c>
      <c r="I1815" s="2">
        <v>1820</v>
      </c>
      <c r="J1815" t="s">
        <v>778</v>
      </c>
      <c r="K1815" t="s">
        <v>783</v>
      </c>
      <c r="L1815" t="s">
        <v>823</v>
      </c>
      <c r="M1815" t="s">
        <v>830</v>
      </c>
      <c r="N1815" t="str">
        <f t="shared" si="84"/>
        <v>T-3</v>
      </c>
      <c r="O1815">
        <f t="shared" si="85"/>
        <v>2025</v>
      </c>
      <c r="P1815" t="str">
        <f t="shared" si="86"/>
        <v>9. septiembre</v>
      </c>
    </row>
    <row r="1816" spans="1:16" x14ac:dyDescent="0.35">
      <c r="A1816">
        <v>715032</v>
      </c>
      <c r="B1816" t="s">
        <v>30</v>
      </c>
      <c r="C1816" t="s">
        <v>137</v>
      </c>
      <c r="D1816" t="s">
        <v>568</v>
      </c>
      <c r="E1816" t="s">
        <v>695</v>
      </c>
      <c r="F1816" t="s">
        <v>187</v>
      </c>
      <c r="G1816" s="1">
        <v>45950</v>
      </c>
      <c r="H1816" s="1">
        <v>45954</v>
      </c>
      <c r="I1816" s="2">
        <v>325</v>
      </c>
      <c r="J1816" t="s">
        <v>776</v>
      </c>
      <c r="K1816" t="s">
        <v>783</v>
      </c>
      <c r="L1816" t="s">
        <v>823</v>
      </c>
      <c r="M1816" t="s">
        <v>828</v>
      </c>
      <c r="N1816" t="str">
        <f t="shared" si="84"/>
        <v>T-4</v>
      </c>
      <c r="O1816">
        <f t="shared" si="85"/>
        <v>2025</v>
      </c>
      <c r="P1816" t="str">
        <f t="shared" si="86"/>
        <v>10. octubre</v>
      </c>
    </row>
    <row r="1817" spans="1:16" x14ac:dyDescent="0.35">
      <c r="A1817">
        <v>589213</v>
      </c>
      <c r="B1817" t="s">
        <v>27</v>
      </c>
      <c r="C1817" t="s">
        <v>138</v>
      </c>
      <c r="D1817" t="s">
        <v>523</v>
      </c>
      <c r="E1817" t="s">
        <v>695</v>
      </c>
      <c r="F1817" t="s">
        <v>187</v>
      </c>
      <c r="G1817" s="1">
        <v>45950</v>
      </c>
      <c r="H1817" s="1">
        <v>45953</v>
      </c>
      <c r="I1817" s="2">
        <v>260</v>
      </c>
      <c r="J1817" t="s">
        <v>776</v>
      </c>
      <c r="K1817" t="s">
        <v>783</v>
      </c>
      <c r="L1817" t="s">
        <v>823</v>
      </c>
      <c r="M1817" t="s">
        <v>828</v>
      </c>
      <c r="N1817" t="str">
        <f t="shared" si="84"/>
        <v>T-4</v>
      </c>
      <c r="O1817">
        <f t="shared" si="85"/>
        <v>2025</v>
      </c>
      <c r="P1817" t="str">
        <f t="shared" si="86"/>
        <v>10. octubre</v>
      </c>
    </row>
    <row r="1818" spans="1:16" x14ac:dyDescent="0.35">
      <c r="A1818">
        <v>719832</v>
      </c>
      <c r="B1818" t="s">
        <v>84</v>
      </c>
      <c r="C1818" t="s">
        <v>139</v>
      </c>
      <c r="D1818" t="s">
        <v>175</v>
      </c>
      <c r="E1818" t="s">
        <v>695</v>
      </c>
      <c r="F1818" t="s">
        <v>187</v>
      </c>
      <c r="G1818" s="1">
        <v>45950</v>
      </c>
      <c r="H1818" s="1">
        <v>45954</v>
      </c>
      <c r="I1818" s="2">
        <v>390</v>
      </c>
      <c r="J1818" t="s">
        <v>776</v>
      </c>
      <c r="K1818" t="s">
        <v>783</v>
      </c>
      <c r="L1818" t="s">
        <v>823</v>
      </c>
      <c r="M1818" t="s">
        <v>830</v>
      </c>
      <c r="N1818" t="str">
        <f t="shared" si="84"/>
        <v>T-4</v>
      </c>
      <c r="O1818">
        <f t="shared" si="85"/>
        <v>2025</v>
      </c>
      <c r="P1818" t="str">
        <f t="shared" si="86"/>
        <v>10. octubre</v>
      </c>
    </row>
    <row r="1819" spans="1:16" x14ac:dyDescent="0.35">
      <c r="A1819">
        <v>711418</v>
      </c>
      <c r="B1819" t="s">
        <v>62</v>
      </c>
      <c r="C1819" t="s">
        <v>141</v>
      </c>
      <c r="D1819" t="s">
        <v>568</v>
      </c>
      <c r="E1819" t="s">
        <v>695</v>
      </c>
      <c r="F1819" t="s">
        <v>187</v>
      </c>
      <c r="G1819" s="1">
        <v>45950</v>
      </c>
      <c r="H1819" s="1">
        <v>45954</v>
      </c>
      <c r="I1819" s="2">
        <v>325</v>
      </c>
      <c r="J1819" t="s">
        <v>776</v>
      </c>
      <c r="K1819" t="s">
        <v>783</v>
      </c>
      <c r="L1819" t="s">
        <v>823</v>
      </c>
      <c r="M1819" t="s">
        <v>829</v>
      </c>
      <c r="N1819" t="str">
        <f t="shared" si="84"/>
        <v>T-4</v>
      </c>
      <c r="O1819">
        <f t="shared" si="85"/>
        <v>2025</v>
      </c>
      <c r="P1819" t="str">
        <f t="shared" si="86"/>
        <v>10. octubre</v>
      </c>
    </row>
    <row r="1820" spans="1:16" x14ac:dyDescent="0.35">
      <c r="A1820">
        <v>402010</v>
      </c>
      <c r="B1820" t="s">
        <v>5</v>
      </c>
      <c r="C1820" t="s">
        <v>138</v>
      </c>
      <c r="D1820" t="s">
        <v>614</v>
      </c>
      <c r="E1820" t="s">
        <v>695</v>
      </c>
      <c r="F1820" t="s">
        <v>187</v>
      </c>
      <c r="G1820" s="1">
        <v>45950</v>
      </c>
      <c r="H1820" s="1">
        <v>45954</v>
      </c>
      <c r="I1820" s="2">
        <v>312</v>
      </c>
      <c r="J1820" t="s">
        <v>776</v>
      </c>
      <c r="K1820" t="s">
        <v>783</v>
      </c>
      <c r="L1820" t="s">
        <v>824</v>
      </c>
      <c r="M1820" t="s">
        <v>830</v>
      </c>
      <c r="N1820" t="str">
        <f t="shared" si="84"/>
        <v>T-4</v>
      </c>
      <c r="O1820">
        <f t="shared" si="85"/>
        <v>2025</v>
      </c>
      <c r="P1820" t="str">
        <f t="shared" si="86"/>
        <v>10. octubre</v>
      </c>
    </row>
    <row r="1821" spans="1:16" x14ac:dyDescent="0.35">
      <c r="A1821">
        <v>457320</v>
      </c>
      <c r="B1821" t="s">
        <v>22</v>
      </c>
      <c r="C1821" t="s">
        <v>139</v>
      </c>
      <c r="D1821" t="s">
        <v>520</v>
      </c>
      <c r="E1821" t="s">
        <v>695</v>
      </c>
      <c r="F1821" t="s">
        <v>187</v>
      </c>
      <c r="G1821" s="1">
        <v>45950</v>
      </c>
      <c r="H1821" s="1">
        <v>45954</v>
      </c>
      <c r="I1821" s="2">
        <v>416</v>
      </c>
      <c r="J1821" t="s">
        <v>776</v>
      </c>
      <c r="K1821" t="s">
        <v>783</v>
      </c>
      <c r="L1821" t="s">
        <v>823</v>
      </c>
      <c r="M1821" t="s">
        <v>830</v>
      </c>
      <c r="N1821" t="str">
        <f t="shared" si="84"/>
        <v>T-4</v>
      </c>
      <c r="O1821">
        <f t="shared" si="85"/>
        <v>2025</v>
      </c>
      <c r="P1821" t="str">
        <f t="shared" si="86"/>
        <v>10. octubre</v>
      </c>
    </row>
    <row r="1822" spans="1:16" x14ac:dyDescent="0.35">
      <c r="A1822">
        <v>718485</v>
      </c>
      <c r="B1822" t="s">
        <v>2</v>
      </c>
      <c r="C1822" t="s">
        <v>138</v>
      </c>
      <c r="D1822" t="s">
        <v>523</v>
      </c>
      <c r="E1822" t="s">
        <v>695</v>
      </c>
      <c r="F1822" t="s">
        <v>187</v>
      </c>
      <c r="G1822" s="1">
        <v>45950</v>
      </c>
      <c r="H1822" s="1">
        <v>45953</v>
      </c>
      <c r="I1822" s="2">
        <v>1040</v>
      </c>
      <c r="J1822" t="s">
        <v>776</v>
      </c>
      <c r="K1822" t="s">
        <v>783</v>
      </c>
      <c r="L1822" t="s">
        <v>823</v>
      </c>
      <c r="M1822" t="s">
        <v>828</v>
      </c>
      <c r="N1822" t="str">
        <f t="shared" si="84"/>
        <v>T-4</v>
      </c>
      <c r="O1822">
        <f t="shared" si="85"/>
        <v>2025</v>
      </c>
      <c r="P1822" t="str">
        <f t="shared" si="86"/>
        <v>10. octubre</v>
      </c>
    </row>
    <row r="1823" spans="1:16" x14ac:dyDescent="0.35">
      <c r="A1823">
        <v>507402</v>
      </c>
      <c r="B1823" t="s">
        <v>5</v>
      </c>
      <c r="C1823" t="s">
        <v>138</v>
      </c>
      <c r="D1823" t="s">
        <v>175</v>
      </c>
      <c r="E1823" t="s">
        <v>695</v>
      </c>
      <c r="F1823" t="s">
        <v>187</v>
      </c>
      <c r="G1823" s="1">
        <v>45950</v>
      </c>
      <c r="H1823" s="1">
        <v>45954</v>
      </c>
      <c r="I1823" s="2">
        <v>4290</v>
      </c>
      <c r="J1823" t="s">
        <v>776</v>
      </c>
      <c r="K1823" t="s">
        <v>783</v>
      </c>
      <c r="L1823" t="s">
        <v>823</v>
      </c>
      <c r="M1823" t="s">
        <v>828</v>
      </c>
      <c r="N1823" t="str">
        <f t="shared" si="84"/>
        <v>T-4</v>
      </c>
      <c r="O1823">
        <f t="shared" si="85"/>
        <v>2025</v>
      </c>
      <c r="P1823" t="str">
        <f t="shared" si="86"/>
        <v>10. octubre</v>
      </c>
    </row>
    <row r="1824" spans="1:16" x14ac:dyDescent="0.35">
      <c r="A1824">
        <v>407200</v>
      </c>
      <c r="B1824" t="s">
        <v>50</v>
      </c>
      <c r="C1824" t="s">
        <v>138</v>
      </c>
      <c r="D1824" t="s">
        <v>568</v>
      </c>
      <c r="E1824" t="s">
        <v>695</v>
      </c>
      <c r="F1824" t="s">
        <v>187</v>
      </c>
      <c r="G1824" s="1">
        <v>45950</v>
      </c>
      <c r="H1824" s="1">
        <v>45954</v>
      </c>
      <c r="I1824" s="2">
        <v>975</v>
      </c>
      <c r="J1824" t="s">
        <v>776</v>
      </c>
      <c r="K1824" t="s">
        <v>783</v>
      </c>
      <c r="L1824" t="s">
        <v>823</v>
      </c>
      <c r="M1824" t="s">
        <v>829</v>
      </c>
      <c r="N1824" t="str">
        <f t="shared" si="84"/>
        <v>T-4</v>
      </c>
      <c r="O1824">
        <f t="shared" si="85"/>
        <v>2025</v>
      </c>
      <c r="P1824" t="str">
        <f t="shared" si="86"/>
        <v>10. octubre</v>
      </c>
    </row>
    <row r="1825" spans="1:16" x14ac:dyDescent="0.35">
      <c r="A1825">
        <v>706963</v>
      </c>
      <c r="B1825" t="s">
        <v>10</v>
      </c>
      <c r="C1825" t="s">
        <v>138</v>
      </c>
      <c r="D1825" t="s">
        <v>523</v>
      </c>
      <c r="E1825" t="s">
        <v>695</v>
      </c>
      <c r="F1825" t="s">
        <v>187</v>
      </c>
      <c r="G1825" s="1">
        <v>45950</v>
      </c>
      <c r="H1825" s="1">
        <v>45953</v>
      </c>
      <c r="I1825" s="2">
        <v>1040</v>
      </c>
      <c r="J1825" t="s">
        <v>776</v>
      </c>
      <c r="K1825" t="s">
        <v>783</v>
      </c>
      <c r="L1825" t="s">
        <v>823</v>
      </c>
      <c r="M1825" t="s">
        <v>830</v>
      </c>
      <c r="N1825" t="str">
        <f t="shared" si="84"/>
        <v>T-4</v>
      </c>
      <c r="O1825">
        <f t="shared" si="85"/>
        <v>2025</v>
      </c>
      <c r="P1825" t="str">
        <f t="shared" si="86"/>
        <v>10. octubre</v>
      </c>
    </row>
    <row r="1826" spans="1:16" x14ac:dyDescent="0.35">
      <c r="A1826">
        <v>606930</v>
      </c>
      <c r="B1826" t="s">
        <v>13</v>
      </c>
      <c r="C1826" t="s">
        <v>138</v>
      </c>
      <c r="D1826" t="s">
        <v>175</v>
      </c>
      <c r="E1826" t="s">
        <v>695</v>
      </c>
      <c r="F1826" t="s">
        <v>187</v>
      </c>
      <c r="G1826" s="1">
        <v>45950</v>
      </c>
      <c r="H1826" s="1">
        <v>45954</v>
      </c>
      <c r="I1826" s="2">
        <v>1950</v>
      </c>
      <c r="J1826" t="s">
        <v>776</v>
      </c>
      <c r="K1826" t="s">
        <v>783</v>
      </c>
      <c r="L1826" t="s">
        <v>823</v>
      </c>
      <c r="M1826" t="s">
        <v>830</v>
      </c>
      <c r="N1826" t="str">
        <f t="shared" si="84"/>
        <v>T-4</v>
      </c>
      <c r="O1826">
        <f t="shared" si="85"/>
        <v>2025</v>
      </c>
      <c r="P1826" t="str">
        <f t="shared" si="86"/>
        <v>10. octubre</v>
      </c>
    </row>
    <row r="1827" spans="1:16" x14ac:dyDescent="0.35">
      <c r="A1827">
        <v>561342</v>
      </c>
      <c r="B1827" t="s">
        <v>22</v>
      </c>
      <c r="C1827" t="s">
        <v>138</v>
      </c>
      <c r="D1827" t="s">
        <v>568</v>
      </c>
      <c r="E1827" t="s">
        <v>695</v>
      </c>
      <c r="F1827" t="s">
        <v>187</v>
      </c>
      <c r="G1827" s="1">
        <v>45950</v>
      </c>
      <c r="H1827" s="1">
        <v>45954</v>
      </c>
      <c r="I1827" s="2">
        <v>3250</v>
      </c>
      <c r="J1827" t="s">
        <v>776</v>
      </c>
      <c r="K1827" t="s">
        <v>783</v>
      </c>
      <c r="L1827" t="s">
        <v>823</v>
      </c>
      <c r="M1827" t="s">
        <v>828</v>
      </c>
      <c r="N1827" t="str">
        <f t="shared" si="84"/>
        <v>T-4</v>
      </c>
      <c r="O1827">
        <f t="shared" si="85"/>
        <v>2025</v>
      </c>
      <c r="P1827" t="str">
        <f t="shared" si="86"/>
        <v>10. octubre</v>
      </c>
    </row>
    <row r="1828" spans="1:16" x14ac:dyDescent="0.35">
      <c r="A1828">
        <v>409839</v>
      </c>
      <c r="B1828" t="s">
        <v>132</v>
      </c>
      <c r="C1828" t="s">
        <v>140</v>
      </c>
      <c r="D1828" t="s">
        <v>520</v>
      </c>
      <c r="E1828" t="s">
        <v>695</v>
      </c>
      <c r="F1828" t="s">
        <v>187</v>
      </c>
      <c r="G1828" s="1">
        <v>45950</v>
      </c>
      <c r="H1828" s="1">
        <v>45954</v>
      </c>
      <c r="I1828" s="2">
        <v>3328</v>
      </c>
      <c r="J1828" t="s">
        <v>776</v>
      </c>
      <c r="K1828" t="s">
        <v>783</v>
      </c>
      <c r="L1828" t="s">
        <v>824</v>
      </c>
      <c r="M1828" t="s">
        <v>830</v>
      </c>
      <c r="N1828" t="str">
        <f t="shared" si="84"/>
        <v>T-4</v>
      </c>
      <c r="O1828">
        <f t="shared" si="85"/>
        <v>2025</v>
      </c>
      <c r="P1828" t="str">
        <f t="shared" si="86"/>
        <v>10. octubre</v>
      </c>
    </row>
    <row r="1829" spans="1:16" x14ac:dyDescent="0.35">
      <c r="A1829">
        <v>479209</v>
      </c>
      <c r="B1829" t="s">
        <v>4</v>
      </c>
      <c r="C1829" t="s">
        <v>138</v>
      </c>
      <c r="D1829" t="s">
        <v>614</v>
      </c>
      <c r="E1829" t="s">
        <v>695</v>
      </c>
      <c r="F1829" t="s">
        <v>187</v>
      </c>
      <c r="G1829" s="1">
        <v>45950</v>
      </c>
      <c r="H1829" s="1">
        <v>45954</v>
      </c>
      <c r="I1829" s="2">
        <v>1248</v>
      </c>
      <c r="J1829" t="s">
        <v>776</v>
      </c>
      <c r="K1829" t="s">
        <v>783</v>
      </c>
      <c r="L1829" t="s">
        <v>823</v>
      </c>
      <c r="M1829" t="s">
        <v>829</v>
      </c>
      <c r="N1829" t="str">
        <f t="shared" si="84"/>
        <v>T-4</v>
      </c>
      <c r="O1829">
        <f t="shared" si="85"/>
        <v>2025</v>
      </c>
      <c r="P1829" t="str">
        <f t="shared" si="86"/>
        <v>10. octubre</v>
      </c>
    </row>
    <row r="1830" spans="1:16" x14ac:dyDescent="0.35">
      <c r="A1830">
        <v>714288</v>
      </c>
      <c r="B1830" t="s">
        <v>62</v>
      </c>
      <c r="C1830" t="s">
        <v>137</v>
      </c>
      <c r="D1830" t="s">
        <v>523</v>
      </c>
      <c r="E1830" t="s">
        <v>695</v>
      </c>
      <c r="F1830" t="s">
        <v>187</v>
      </c>
      <c r="G1830" s="1">
        <v>45950</v>
      </c>
      <c r="H1830" s="1">
        <v>45953</v>
      </c>
      <c r="I1830" s="2">
        <v>2080</v>
      </c>
      <c r="J1830" t="s">
        <v>776</v>
      </c>
      <c r="K1830" t="s">
        <v>783</v>
      </c>
      <c r="L1830" t="s">
        <v>823</v>
      </c>
      <c r="M1830" t="s">
        <v>830</v>
      </c>
      <c r="N1830" t="str">
        <f t="shared" si="84"/>
        <v>T-4</v>
      </c>
      <c r="O1830">
        <f t="shared" si="85"/>
        <v>2025</v>
      </c>
      <c r="P1830" t="str">
        <f t="shared" si="86"/>
        <v>10. octubre</v>
      </c>
    </row>
    <row r="1831" spans="1:16" x14ac:dyDescent="0.35">
      <c r="A1831">
        <v>452619</v>
      </c>
      <c r="B1831" t="s">
        <v>53</v>
      </c>
      <c r="C1831" t="s">
        <v>138</v>
      </c>
      <c r="D1831" t="s">
        <v>175</v>
      </c>
      <c r="E1831" t="s">
        <v>695</v>
      </c>
      <c r="F1831" t="s">
        <v>187</v>
      </c>
      <c r="G1831" s="1">
        <v>45950</v>
      </c>
      <c r="H1831" s="1">
        <v>45954</v>
      </c>
      <c r="I1831" s="2">
        <v>780</v>
      </c>
      <c r="J1831" t="s">
        <v>776</v>
      </c>
      <c r="K1831" t="s">
        <v>783</v>
      </c>
      <c r="L1831" t="s">
        <v>823</v>
      </c>
      <c r="M1831" t="s">
        <v>830</v>
      </c>
      <c r="N1831" t="str">
        <f t="shared" si="84"/>
        <v>T-4</v>
      </c>
      <c r="O1831">
        <f t="shared" si="85"/>
        <v>2025</v>
      </c>
      <c r="P1831" t="str">
        <f t="shared" si="86"/>
        <v>10. octubre</v>
      </c>
    </row>
    <row r="1832" spans="1:16" x14ac:dyDescent="0.35">
      <c r="A1832">
        <v>609227</v>
      </c>
      <c r="B1832" t="s">
        <v>13</v>
      </c>
      <c r="C1832" t="s">
        <v>136</v>
      </c>
      <c r="D1832" t="s">
        <v>568</v>
      </c>
      <c r="E1832" t="s">
        <v>695</v>
      </c>
      <c r="F1832" t="s">
        <v>187</v>
      </c>
      <c r="G1832" s="1">
        <v>45950</v>
      </c>
      <c r="H1832" s="1">
        <v>45954</v>
      </c>
      <c r="I1832" s="2">
        <v>1625</v>
      </c>
      <c r="J1832" t="s">
        <v>776</v>
      </c>
      <c r="K1832" t="s">
        <v>783</v>
      </c>
      <c r="L1832" t="s">
        <v>823</v>
      </c>
      <c r="M1832" t="s">
        <v>828</v>
      </c>
      <c r="N1832" t="str">
        <f t="shared" si="84"/>
        <v>T-4</v>
      </c>
      <c r="O1832">
        <f t="shared" si="85"/>
        <v>2025</v>
      </c>
      <c r="P1832" t="str">
        <f t="shared" si="86"/>
        <v>10. octubre</v>
      </c>
    </row>
    <row r="1833" spans="1:16" x14ac:dyDescent="0.35">
      <c r="A1833">
        <v>716974</v>
      </c>
      <c r="B1833" t="s">
        <v>23</v>
      </c>
      <c r="C1833" t="s">
        <v>136</v>
      </c>
      <c r="D1833" t="s">
        <v>520</v>
      </c>
      <c r="E1833" t="s">
        <v>695</v>
      </c>
      <c r="F1833" t="s">
        <v>187</v>
      </c>
      <c r="G1833" s="1">
        <v>45950</v>
      </c>
      <c r="H1833" s="1">
        <v>45954</v>
      </c>
      <c r="I1833" s="2">
        <v>2080</v>
      </c>
      <c r="J1833" t="s">
        <v>776</v>
      </c>
      <c r="K1833" t="s">
        <v>783</v>
      </c>
      <c r="L1833" t="s">
        <v>823</v>
      </c>
      <c r="M1833" t="s">
        <v>828</v>
      </c>
      <c r="N1833" t="str">
        <f t="shared" si="84"/>
        <v>T-4</v>
      </c>
      <c r="O1833">
        <f t="shared" si="85"/>
        <v>2025</v>
      </c>
      <c r="P1833" t="str">
        <f t="shared" si="86"/>
        <v>10. octubre</v>
      </c>
    </row>
    <row r="1834" spans="1:16" x14ac:dyDescent="0.35">
      <c r="A1834">
        <v>498186</v>
      </c>
      <c r="B1834" t="s">
        <v>54</v>
      </c>
      <c r="C1834" t="s">
        <v>136</v>
      </c>
      <c r="D1834" t="s">
        <v>614</v>
      </c>
      <c r="E1834" t="s">
        <v>695</v>
      </c>
      <c r="F1834" t="s">
        <v>187</v>
      </c>
      <c r="G1834" s="1">
        <v>45950</v>
      </c>
      <c r="H1834" s="1">
        <v>45954</v>
      </c>
      <c r="I1834" s="2">
        <v>2184</v>
      </c>
      <c r="J1834" t="s">
        <v>776</v>
      </c>
      <c r="K1834" t="s">
        <v>783</v>
      </c>
      <c r="L1834" t="s">
        <v>824</v>
      </c>
      <c r="M1834" t="s">
        <v>830</v>
      </c>
      <c r="N1834" t="str">
        <f t="shared" si="84"/>
        <v>T-4</v>
      </c>
      <c r="O1834">
        <f t="shared" si="85"/>
        <v>2025</v>
      </c>
      <c r="P1834" t="str">
        <f t="shared" si="86"/>
        <v>10. octubre</v>
      </c>
    </row>
    <row r="1835" spans="1:16" x14ac:dyDescent="0.35">
      <c r="A1835">
        <v>750002</v>
      </c>
      <c r="B1835" t="s">
        <v>31</v>
      </c>
      <c r="C1835" t="s">
        <v>139</v>
      </c>
      <c r="D1835" t="s">
        <v>368</v>
      </c>
      <c r="E1835" t="s">
        <v>669</v>
      </c>
      <c r="F1835" t="s">
        <v>187</v>
      </c>
      <c r="G1835" s="1">
        <v>45912</v>
      </c>
      <c r="H1835" s="1">
        <v>45958</v>
      </c>
      <c r="I1835" s="2">
        <v>700</v>
      </c>
      <c r="J1835" t="s">
        <v>778</v>
      </c>
      <c r="K1835" t="s">
        <v>783</v>
      </c>
      <c r="L1835" t="s">
        <v>823</v>
      </c>
      <c r="M1835" t="s">
        <v>829</v>
      </c>
      <c r="N1835" t="str">
        <f t="shared" si="84"/>
        <v>T-3</v>
      </c>
      <c r="O1835">
        <f t="shared" si="85"/>
        <v>2025</v>
      </c>
      <c r="P1835" t="str">
        <f t="shared" si="86"/>
        <v>9. septiembre</v>
      </c>
    </row>
    <row r="1836" spans="1:16" x14ac:dyDescent="0.35">
      <c r="A1836">
        <v>608732</v>
      </c>
      <c r="B1836" t="s">
        <v>13</v>
      </c>
      <c r="C1836" t="s">
        <v>138</v>
      </c>
      <c r="D1836" t="s">
        <v>363</v>
      </c>
      <c r="E1836" t="s">
        <v>669</v>
      </c>
      <c r="F1836" t="s">
        <v>187</v>
      </c>
      <c r="G1836" s="1">
        <v>45912</v>
      </c>
      <c r="H1836" s="1">
        <v>45958</v>
      </c>
      <c r="I1836" s="2">
        <v>560</v>
      </c>
      <c r="J1836" t="s">
        <v>778</v>
      </c>
      <c r="K1836" t="s">
        <v>783</v>
      </c>
      <c r="L1836" t="s">
        <v>823</v>
      </c>
      <c r="M1836" t="s">
        <v>830</v>
      </c>
      <c r="N1836" t="str">
        <f t="shared" si="84"/>
        <v>T-3</v>
      </c>
      <c r="O1836">
        <f t="shared" si="85"/>
        <v>2025</v>
      </c>
      <c r="P1836" t="str">
        <f t="shared" si="86"/>
        <v>9. septiembre</v>
      </c>
    </row>
    <row r="1837" spans="1:16" x14ac:dyDescent="0.35">
      <c r="A1837">
        <v>717481</v>
      </c>
      <c r="B1837" t="s">
        <v>4</v>
      </c>
      <c r="C1837" t="s">
        <v>138</v>
      </c>
      <c r="D1837" t="s">
        <v>509</v>
      </c>
      <c r="E1837" t="s">
        <v>669</v>
      </c>
      <c r="F1837" t="s">
        <v>187</v>
      </c>
      <c r="G1837" s="1">
        <v>45912</v>
      </c>
      <c r="H1837" s="1">
        <v>45958</v>
      </c>
      <c r="I1837" s="2">
        <v>350</v>
      </c>
      <c r="J1837" t="s">
        <v>778</v>
      </c>
      <c r="K1837" t="s">
        <v>783</v>
      </c>
      <c r="L1837" t="s">
        <v>823</v>
      </c>
      <c r="M1837" t="s">
        <v>830</v>
      </c>
      <c r="N1837" t="str">
        <f t="shared" si="84"/>
        <v>T-3</v>
      </c>
      <c r="O1837">
        <f t="shared" si="85"/>
        <v>2025</v>
      </c>
      <c r="P1837" t="str">
        <f t="shared" si="86"/>
        <v>9. septiembre</v>
      </c>
    </row>
    <row r="1838" spans="1:16" x14ac:dyDescent="0.35">
      <c r="A1838">
        <v>404895</v>
      </c>
      <c r="B1838" t="s">
        <v>29</v>
      </c>
      <c r="C1838" t="s">
        <v>138</v>
      </c>
      <c r="D1838" t="s">
        <v>169</v>
      </c>
      <c r="E1838" t="s">
        <v>658</v>
      </c>
      <c r="F1838" t="s">
        <v>187</v>
      </c>
      <c r="G1838" s="1">
        <v>45950</v>
      </c>
      <c r="H1838" s="1">
        <v>45953</v>
      </c>
      <c r="I1838" s="2">
        <v>312</v>
      </c>
      <c r="J1838" t="s">
        <v>774</v>
      </c>
      <c r="K1838" t="s">
        <v>783</v>
      </c>
      <c r="L1838" t="s">
        <v>823</v>
      </c>
      <c r="M1838" t="s">
        <v>828</v>
      </c>
      <c r="N1838" t="str">
        <f t="shared" si="84"/>
        <v>T-4</v>
      </c>
      <c r="O1838">
        <f t="shared" si="85"/>
        <v>2025</v>
      </c>
      <c r="P1838" t="str">
        <f t="shared" si="86"/>
        <v>10. octubre</v>
      </c>
    </row>
    <row r="1839" spans="1:16" x14ac:dyDescent="0.35">
      <c r="A1839">
        <v>414238</v>
      </c>
      <c r="B1839" t="s">
        <v>23</v>
      </c>
      <c r="C1839" t="s">
        <v>141</v>
      </c>
      <c r="D1839" t="s">
        <v>169</v>
      </c>
      <c r="E1839" t="s">
        <v>658</v>
      </c>
      <c r="F1839" t="s">
        <v>187</v>
      </c>
      <c r="G1839" s="1">
        <v>45950</v>
      </c>
      <c r="H1839" s="1">
        <v>45953</v>
      </c>
      <c r="I1839" s="2">
        <v>2808</v>
      </c>
      <c r="J1839" t="s">
        <v>774</v>
      </c>
      <c r="K1839" t="s">
        <v>783</v>
      </c>
      <c r="L1839" t="s">
        <v>823</v>
      </c>
      <c r="M1839" t="s">
        <v>828</v>
      </c>
      <c r="N1839" t="str">
        <f t="shared" si="84"/>
        <v>T-4</v>
      </c>
      <c r="O1839">
        <f t="shared" si="85"/>
        <v>2025</v>
      </c>
      <c r="P1839" t="str">
        <f t="shared" si="86"/>
        <v>10. octubre</v>
      </c>
    </row>
    <row r="1840" spans="1:16" x14ac:dyDescent="0.35">
      <c r="A1840">
        <v>479507</v>
      </c>
      <c r="B1840" t="s">
        <v>2</v>
      </c>
      <c r="C1840" t="s">
        <v>139</v>
      </c>
      <c r="D1840" t="s">
        <v>169</v>
      </c>
      <c r="E1840" t="s">
        <v>658</v>
      </c>
      <c r="F1840" t="s">
        <v>187</v>
      </c>
      <c r="G1840" s="1">
        <v>45950</v>
      </c>
      <c r="H1840" s="1">
        <v>45953</v>
      </c>
      <c r="I1840" s="2">
        <v>312</v>
      </c>
      <c r="J1840" t="s">
        <v>774</v>
      </c>
      <c r="K1840" t="s">
        <v>783</v>
      </c>
      <c r="L1840" t="s">
        <v>823</v>
      </c>
      <c r="M1840" t="s">
        <v>829</v>
      </c>
      <c r="N1840" t="str">
        <f t="shared" si="84"/>
        <v>T-4</v>
      </c>
      <c r="O1840">
        <f t="shared" si="85"/>
        <v>2025</v>
      </c>
      <c r="P1840" t="str">
        <f t="shared" si="86"/>
        <v>10. octubre</v>
      </c>
    </row>
    <row r="1841" spans="1:16" x14ac:dyDescent="0.35">
      <c r="A1841">
        <v>724042</v>
      </c>
      <c r="B1841" t="s">
        <v>4</v>
      </c>
      <c r="C1841" t="s">
        <v>138</v>
      </c>
      <c r="D1841" t="s">
        <v>487</v>
      </c>
      <c r="E1841" t="s">
        <v>654</v>
      </c>
      <c r="F1841" t="s">
        <v>187</v>
      </c>
      <c r="G1841" s="1">
        <v>45945</v>
      </c>
      <c r="H1841" s="1">
        <v>45945</v>
      </c>
      <c r="I1841" s="2">
        <v>1045</v>
      </c>
      <c r="J1841" t="s">
        <v>777</v>
      </c>
      <c r="K1841" t="s">
        <v>783</v>
      </c>
      <c r="L1841" t="s">
        <v>824</v>
      </c>
      <c r="M1841" t="s">
        <v>830</v>
      </c>
      <c r="N1841" t="str">
        <f t="shared" si="84"/>
        <v>T-4</v>
      </c>
      <c r="O1841">
        <f t="shared" si="85"/>
        <v>2025</v>
      </c>
      <c r="P1841" t="str">
        <f t="shared" si="86"/>
        <v>10. octubre</v>
      </c>
    </row>
    <row r="1842" spans="1:16" x14ac:dyDescent="0.35">
      <c r="A1842">
        <v>560228</v>
      </c>
      <c r="B1842" t="s">
        <v>5</v>
      </c>
      <c r="C1842" t="s">
        <v>138</v>
      </c>
      <c r="D1842" t="s">
        <v>160</v>
      </c>
      <c r="E1842" t="s">
        <v>654</v>
      </c>
      <c r="F1842" t="s">
        <v>187</v>
      </c>
      <c r="G1842" s="1">
        <v>45940</v>
      </c>
      <c r="H1842" s="1">
        <v>45940</v>
      </c>
      <c r="I1842" s="2">
        <v>770</v>
      </c>
      <c r="J1842" t="s">
        <v>777</v>
      </c>
      <c r="K1842" t="s">
        <v>783</v>
      </c>
      <c r="L1842" t="s">
        <v>823</v>
      </c>
      <c r="M1842" t="s">
        <v>830</v>
      </c>
      <c r="N1842" t="str">
        <f t="shared" si="84"/>
        <v>T-4</v>
      </c>
      <c r="O1842">
        <f t="shared" si="85"/>
        <v>2025</v>
      </c>
      <c r="P1842" t="str">
        <f t="shared" si="86"/>
        <v>10. octubre</v>
      </c>
    </row>
    <row r="1843" spans="1:16" x14ac:dyDescent="0.35">
      <c r="A1843">
        <v>400978</v>
      </c>
      <c r="B1843" t="s">
        <v>133</v>
      </c>
      <c r="C1843" t="s">
        <v>140</v>
      </c>
      <c r="D1843" t="s">
        <v>615</v>
      </c>
      <c r="E1843" t="s">
        <v>660</v>
      </c>
      <c r="F1843" t="s">
        <v>187</v>
      </c>
      <c r="G1843" s="1">
        <v>45950</v>
      </c>
      <c r="H1843" s="1">
        <v>45953</v>
      </c>
      <c r="I1843" s="2">
        <v>208</v>
      </c>
      <c r="J1843" t="s">
        <v>776</v>
      </c>
      <c r="K1843" t="s">
        <v>783</v>
      </c>
      <c r="L1843" t="s">
        <v>823</v>
      </c>
      <c r="M1843" t="s">
        <v>828</v>
      </c>
      <c r="N1843" t="str">
        <f t="shared" si="84"/>
        <v>T-4</v>
      </c>
      <c r="O1843">
        <f t="shared" si="85"/>
        <v>2025</v>
      </c>
      <c r="P1843" t="str">
        <f t="shared" si="86"/>
        <v>10. octubre</v>
      </c>
    </row>
    <row r="1844" spans="1:16" x14ac:dyDescent="0.35">
      <c r="A1844">
        <v>478661</v>
      </c>
      <c r="B1844" t="s">
        <v>5</v>
      </c>
      <c r="C1844" t="s">
        <v>138</v>
      </c>
      <c r="D1844" t="s">
        <v>615</v>
      </c>
      <c r="E1844" t="s">
        <v>660</v>
      </c>
      <c r="F1844" t="s">
        <v>187</v>
      </c>
      <c r="G1844" s="1">
        <v>45950</v>
      </c>
      <c r="H1844" s="1">
        <v>45953</v>
      </c>
      <c r="I1844" s="2">
        <v>624</v>
      </c>
      <c r="J1844" t="s">
        <v>776</v>
      </c>
      <c r="K1844" t="s">
        <v>783</v>
      </c>
      <c r="L1844" t="s">
        <v>823</v>
      </c>
      <c r="M1844" t="s">
        <v>830</v>
      </c>
      <c r="N1844" t="str">
        <f t="shared" si="84"/>
        <v>T-4</v>
      </c>
      <c r="O1844">
        <f t="shared" si="85"/>
        <v>2025</v>
      </c>
      <c r="P1844" t="str">
        <f t="shared" si="86"/>
        <v>10. octubre</v>
      </c>
    </row>
    <row r="1845" spans="1:16" x14ac:dyDescent="0.35">
      <c r="A1845">
        <v>409167</v>
      </c>
      <c r="B1845" t="s">
        <v>25</v>
      </c>
      <c r="C1845" t="s">
        <v>138</v>
      </c>
      <c r="D1845" t="s">
        <v>615</v>
      </c>
      <c r="E1845" t="s">
        <v>660</v>
      </c>
      <c r="F1845" t="s">
        <v>187</v>
      </c>
      <c r="G1845" s="1">
        <v>45950</v>
      </c>
      <c r="H1845" s="1">
        <v>45953</v>
      </c>
      <c r="I1845" s="2">
        <v>832</v>
      </c>
      <c r="J1845" t="s">
        <v>776</v>
      </c>
      <c r="K1845" t="s">
        <v>783</v>
      </c>
      <c r="L1845" t="s">
        <v>823</v>
      </c>
      <c r="M1845" t="s">
        <v>829</v>
      </c>
      <c r="N1845" t="str">
        <f t="shared" si="84"/>
        <v>T-4</v>
      </c>
      <c r="O1845">
        <f t="shared" si="85"/>
        <v>2025</v>
      </c>
      <c r="P1845" t="str">
        <f t="shared" si="86"/>
        <v>10. octubre</v>
      </c>
    </row>
    <row r="1846" spans="1:16" x14ac:dyDescent="0.35">
      <c r="A1846">
        <v>724041</v>
      </c>
      <c r="B1846" t="s">
        <v>5</v>
      </c>
      <c r="C1846" t="s">
        <v>138</v>
      </c>
      <c r="D1846" t="s">
        <v>616</v>
      </c>
      <c r="E1846" t="s">
        <v>662</v>
      </c>
      <c r="F1846" t="s">
        <v>187</v>
      </c>
      <c r="G1846" s="1">
        <v>45965</v>
      </c>
      <c r="H1846" s="1">
        <v>45965</v>
      </c>
      <c r="I1846" s="2">
        <v>2000</v>
      </c>
      <c r="J1846" t="s">
        <v>776</v>
      </c>
      <c r="K1846" t="s">
        <v>783</v>
      </c>
      <c r="L1846" t="s">
        <v>823</v>
      </c>
      <c r="M1846" t="s">
        <v>830</v>
      </c>
      <c r="N1846" t="str">
        <f t="shared" si="84"/>
        <v>T-4</v>
      </c>
      <c r="O1846">
        <f t="shared" si="85"/>
        <v>2025</v>
      </c>
      <c r="P1846" t="str">
        <f t="shared" si="86"/>
        <v>11. noviembre</v>
      </c>
    </row>
    <row r="1847" spans="1:16" x14ac:dyDescent="0.35">
      <c r="A1847">
        <v>409050</v>
      </c>
      <c r="B1847" t="s">
        <v>108</v>
      </c>
      <c r="C1847" t="s">
        <v>139</v>
      </c>
      <c r="D1847" t="s">
        <v>616</v>
      </c>
      <c r="E1847" t="s">
        <v>662</v>
      </c>
      <c r="F1847" t="s">
        <v>187</v>
      </c>
      <c r="G1847" s="1">
        <v>45958</v>
      </c>
      <c r="H1847" s="1">
        <v>45958</v>
      </c>
      <c r="I1847" s="2">
        <v>2000</v>
      </c>
      <c r="J1847" t="s">
        <v>776</v>
      </c>
      <c r="K1847" t="s">
        <v>783</v>
      </c>
      <c r="L1847" t="s">
        <v>823</v>
      </c>
      <c r="M1847" t="s">
        <v>830</v>
      </c>
      <c r="N1847" t="str">
        <f t="shared" si="84"/>
        <v>T-4</v>
      </c>
      <c r="O1847">
        <f t="shared" si="85"/>
        <v>2025</v>
      </c>
      <c r="P1847" t="str">
        <f t="shared" si="86"/>
        <v>10. octubre</v>
      </c>
    </row>
    <row r="1848" spans="1:16" x14ac:dyDescent="0.35">
      <c r="A1848">
        <v>564855</v>
      </c>
      <c r="B1848" t="s">
        <v>17</v>
      </c>
      <c r="C1848" t="s">
        <v>138</v>
      </c>
      <c r="D1848" t="s">
        <v>617</v>
      </c>
      <c r="E1848" t="s">
        <v>652</v>
      </c>
      <c r="F1848" t="s">
        <v>187</v>
      </c>
      <c r="G1848" s="1">
        <v>45943</v>
      </c>
      <c r="H1848" s="1">
        <v>45947</v>
      </c>
      <c r="I1848" s="2">
        <v>6225</v>
      </c>
      <c r="J1848" t="s">
        <v>774</v>
      </c>
      <c r="K1848" t="s">
        <v>783</v>
      </c>
      <c r="L1848" t="s">
        <v>823</v>
      </c>
      <c r="M1848" t="s">
        <v>828</v>
      </c>
      <c r="N1848" t="str">
        <f t="shared" si="84"/>
        <v>T-4</v>
      </c>
      <c r="O1848">
        <f t="shared" si="85"/>
        <v>2025</v>
      </c>
      <c r="P1848" t="str">
        <f t="shared" si="86"/>
        <v>10. octubre</v>
      </c>
    </row>
    <row r="1849" spans="1:16" x14ac:dyDescent="0.35">
      <c r="A1849">
        <v>750071</v>
      </c>
      <c r="B1849" t="s">
        <v>31</v>
      </c>
      <c r="C1849" t="s">
        <v>138</v>
      </c>
      <c r="D1849" t="s">
        <v>617</v>
      </c>
      <c r="E1849" t="s">
        <v>729</v>
      </c>
      <c r="F1849" t="s">
        <v>187</v>
      </c>
      <c r="G1849" s="1">
        <v>45943</v>
      </c>
      <c r="H1849" s="1">
        <v>45947</v>
      </c>
      <c r="I1849" s="2">
        <v>4150</v>
      </c>
      <c r="J1849" t="s">
        <v>774</v>
      </c>
      <c r="K1849" t="s">
        <v>783</v>
      </c>
      <c r="L1849" t="s">
        <v>824</v>
      </c>
      <c r="M1849" t="s">
        <v>828</v>
      </c>
      <c r="N1849" t="str">
        <f t="shared" si="84"/>
        <v>T-4</v>
      </c>
      <c r="O1849">
        <f t="shared" si="85"/>
        <v>2025</v>
      </c>
      <c r="P1849" t="str">
        <f t="shared" si="86"/>
        <v>10. octubre</v>
      </c>
    </row>
    <row r="1850" spans="1:16" x14ac:dyDescent="0.35">
      <c r="A1850">
        <v>718057</v>
      </c>
      <c r="B1850" t="s">
        <v>6</v>
      </c>
      <c r="C1850" t="s">
        <v>141</v>
      </c>
      <c r="D1850" t="s">
        <v>618</v>
      </c>
      <c r="E1850" t="s">
        <v>652</v>
      </c>
      <c r="F1850" t="s">
        <v>187</v>
      </c>
      <c r="G1850" s="1">
        <v>45950</v>
      </c>
      <c r="H1850" s="1">
        <v>45953</v>
      </c>
      <c r="I1850" s="2">
        <v>1905</v>
      </c>
      <c r="J1850" t="s">
        <v>774</v>
      </c>
      <c r="K1850" t="s">
        <v>783</v>
      </c>
      <c r="L1850" t="s">
        <v>823</v>
      </c>
      <c r="M1850" t="s">
        <v>830</v>
      </c>
      <c r="N1850" t="str">
        <f t="shared" si="84"/>
        <v>T-4</v>
      </c>
      <c r="O1850">
        <f t="shared" si="85"/>
        <v>2025</v>
      </c>
      <c r="P1850" t="str">
        <f t="shared" si="86"/>
        <v>10. octubre</v>
      </c>
    </row>
    <row r="1851" spans="1:16" x14ac:dyDescent="0.35">
      <c r="A1851">
        <v>715320</v>
      </c>
      <c r="B1851" t="s">
        <v>14</v>
      </c>
      <c r="C1851" t="s">
        <v>137</v>
      </c>
      <c r="D1851" t="s">
        <v>619</v>
      </c>
      <c r="E1851" t="s">
        <v>660</v>
      </c>
      <c r="F1851" t="s">
        <v>187</v>
      </c>
      <c r="G1851" s="1">
        <v>45957</v>
      </c>
      <c r="H1851" s="1">
        <v>45960</v>
      </c>
      <c r="I1851" s="2">
        <v>1170</v>
      </c>
      <c r="J1851" t="s">
        <v>776</v>
      </c>
      <c r="K1851" t="s">
        <v>783</v>
      </c>
      <c r="L1851" t="s">
        <v>823</v>
      </c>
      <c r="M1851" t="s">
        <v>829</v>
      </c>
      <c r="N1851" t="str">
        <f t="shared" si="84"/>
        <v>T-4</v>
      </c>
      <c r="O1851">
        <f t="shared" si="85"/>
        <v>2025</v>
      </c>
      <c r="P1851" t="str">
        <f t="shared" si="86"/>
        <v>10. octubre</v>
      </c>
    </row>
    <row r="1852" spans="1:16" x14ac:dyDescent="0.35">
      <c r="A1852">
        <v>566237</v>
      </c>
      <c r="B1852" t="s">
        <v>5</v>
      </c>
      <c r="C1852" t="s">
        <v>138</v>
      </c>
      <c r="D1852" t="s">
        <v>275</v>
      </c>
      <c r="E1852" t="s">
        <v>647</v>
      </c>
      <c r="F1852" t="s">
        <v>187</v>
      </c>
      <c r="G1852" s="1">
        <v>45943</v>
      </c>
      <c r="H1852" s="1">
        <v>45952</v>
      </c>
      <c r="I1852" s="2">
        <v>5520</v>
      </c>
      <c r="J1852" t="s">
        <v>776</v>
      </c>
      <c r="K1852" t="s">
        <v>783</v>
      </c>
      <c r="L1852" t="s">
        <v>823</v>
      </c>
      <c r="M1852" t="s">
        <v>830</v>
      </c>
      <c r="N1852" t="str">
        <f t="shared" si="84"/>
        <v>T-4</v>
      </c>
      <c r="O1852">
        <f t="shared" si="85"/>
        <v>2025</v>
      </c>
      <c r="P1852" t="str">
        <f t="shared" si="86"/>
        <v>10. octubre</v>
      </c>
    </row>
    <row r="1853" spans="1:16" x14ac:dyDescent="0.35">
      <c r="A1853">
        <v>720666</v>
      </c>
      <c r="B1853" t="s">
        <v>23</v>
      </c>
      <c r="C1853" t="s">
        <v>136</v>
      </c>
      <c r="D1853" t="s">
        <v>275</v>
      </c>
      <c r="E1853" t="s">
        <v>647</v>
      </c>
      <c r="F1853" t="s">
        <v>187</v>
      </c>
      <c r="G1853" s="1">
        <v>45943</v>
      </c>
      <c r="H1853" s="1">
        <v>45952</v>
      </c>
      <c r="I1853" s="2">
        <v>220</v>
      </c>
      <c r="J1853" t="s">
        <v>776</v>
      </c>
      <c r="K1853" t="s">
        <v>783</v>
      </c>
      <c r="L1853" t="s">
        <v>823</v>
      </c>
      <c r="M1853" t="s">
        <v>830</v>
      </c>
      <c r="N1853" t="str">
        <f t="shared" si="84"/>
        <v>T-4</v>
      </c>
      <c r="O1853">
        <f t="shared" si="85"/>
        <v>2025</v>
      </c>
      <c r="P1853" t="str">
        <f t="shared" si="86"/>
        <v>10. octubre</v>
      </c>
    </row>
    <row r="1854" spans="1:16" x14ac:dyDescent="0.35">
      <c r="A1854">
        <v>722610</v>
      </c>
      <c r="B1854" t="s">
        <v>28</v>
      </c>
      <c r="C1854" t="s">
        <v>137</v>
      </c>
      <c r="D1854" t="s">
        <v>275</v>
      </c>
      <c r="E1854" t="s">
        <v>647</v>
      </c>
      <c r="F1854" t="s">
        <v>187</v>
      </c>
      <c r="G1854" s="1">
        <v>45943</v>
      </c>
      <c r="H1854" s="1">
        <v>45952</v>
      </c>
      <c r="I1854" s="2">
        <v>700</v>
      </c>
      <c r="J1854" t="s">
        <v>776</v>
      </c>
      <c r="K1854" t="s">
        <v>783</v>
      </c>
      <c r="L1854" t="s">
        <v>823</v>
      </c>
      <c r="M1854" t="s">
        <v>828</v>
      </c>
      <c r="N1854" t="str">
        <f t="shared" si="84"/>
        <v>T-4</v>
      </c>
      <c r="O1854">
        <f t="shared" si="85"/>
        <v>2025</v>
      </c>
      <c r="P1854" t="str">
        <f t="shared" si="86"/>
        <v>10. octubre</v>
      </c>
    </row>
    <row r="1855" spans="1:16" x14ac:dyDescent="0.35">
      <c r="A1855">
        <v>461439</v>
      </c>
      <c r="B1855" t="s">
        <v>31</v>
      </c>
      <c r="C1855" t="s">
        <v>139</v>
      </c>
      <c r="D1855" t="s">
        <v>209</v>
      </c>
      <c r="E1855" t="s">
        <v>647</v>
      </c>
      <c r="F1855" t="s">
        <v>187</v>
      </c>
      <c r="G1855" s="1">
        <v>45950</v>
      </c>
      <c r="H1855" s="1">
        <v>45952</v>
      </c>
      <c r="I1855" s="2">
        <v>470</v>
      </c>
      <c r="J1855" t="s">
        <v>776</v>
      </c>
      <c r="K1855" t="s">
        <v>783</v>
      </c>
      <c r="L1855" t="s">
        <v>824</v>
      </c>
      <c r="M1855" t="s">
        <v>828</v>
      </c>
      <c r="N1855" t="str">
        <f t="shared" si="84"/>
        <v>T-4</v>
      </c>
      <c r="O1855">
        <f t="shared" si="85"/>
        <v>2025</v>
      </c>
      <c r="P1855" t="str">
        <f t="shared" si="86"/>
        <v>10. octubre</v>
      </c>
    </row>
    <row r="1856" spans="1:16" x14ac:dyDescent="0.35">
      <c r="A1856">
        <v>483755</v>
      </c>
      <c r="B1856" t="s">
        <v>32</v>
      </c>
      <c r="C1856" t="s">
        <v>138</v>
      </c>
      <c r="D1856" t="s">
        <v>209</v>
      </c>
      <c r="E1856" t="s">
        <v>647</v>
      </c>
      <c r="F1856" t="s">
        <v>187</v>
      </c>
      <c r="G1856" s="1">
        <v>45950</v>
      </c>
      <c r="H1856" s="1">
        <v>45952</v>
      </c>
      <c r="I1856" s="2">
        <v>4935</v>
      </c>
      <c r="J1856" t="s">
        <v>776</v>
      </c>
      <c r="K1856" t="s">
        <v>783</v>
      </c>
      <c r="L1856" t="s">
        <v>823</v>
      </c>
      <c r="M1856" t="s">
        <v>829</v>
      </c>
      <c r="N1856" t="str">
        <f t="shared" si="84"/>
        <v>T-4</v>
      </c>
      <c r="O1856">
        <f t="shared" si="85"/>
        <v>2025</v>
      </c>
      <c r="P1856" t="str">
        <f t="shared" si="86"/>
        <v>10. octubre</v>
      </c>
    </row>
    <row r="1857" spans="1:16" x14ac:dyDescent="0.35">
      <c r="A1857">
        <v>715163</v>
      </c>
      <c r="B1857" t="s">
        <v>54</v>
      </c>
      <c r="C1857" t="s">
        <v>136</v>
      </c>
      <c r="D1857" t="s">
        <v>620</v>
      </c>
      <c r="E1857" t="s">
        <v>647</v>
      </c>
      <c r="F1857" t="s">
        <v>187</v>
      </c>
      <c r="G1857" s="1">
        <v>45950</v>
      </c>
      <c r="H1857" s="1">
        <v>45953</v>
      </c>
      <c r="I1857" s="2">
        <v>651.42999999999995</v>
      </c>
      <c r="J1857" t="s">
        <v>776</v>
      </c>
      <c r="K1857" t="s">
        <v>783</v>
      </c>
      <c r="L1857" t="s">
        <v>823</v>
      </c>
      <c r="M1857" t="s">
        <v>830</v>
      </c>
      <c r="N1857" t="str">
        <f t="shared" si="84"/>
        <v>T-4</v>
      </c>
      <c r="O1857">
        <f t="shared" si="85"/>
        <v>2025</v>
      </c>
      <c r="P1857" t="str">
        <f t="shared" si="86"/>
        <v>10. octubre</v>
      </c>
    </row>
    <row r="1858" spans="1:16" x14ac:dyDescent="0.35">
      <c r="A1858">
        <v>750072</v>
      </c>
      <c r="B1858" t="s">
        <v>111</v>
      </c>
      <c r="C1858" t="s">
        <v>138</v>
      </c>
      <c r="D1858" t="s">
        <v>620</v>
      </c>
      <c r="E1858" t="s">
        <v>647</v>
      </c>
      <c r="F1858" t="s">
        <v>187</v>
      </c>
      <c r="G1858" s="1">
        <v>45950</v>
      </c>
      <c r="H1858" s="1">
        <v>45953</v>
      </c>
      <c r="I1858" s="2">
        <v>2070</v>
      </c>
      <c r="J1858" t="s">
        <v>776</v>
      </c>
      <c r="K1858" t="s">
        <v>783</v>
      </c>
      <c r="L1858" t="s">
        <v>823</v>
      </c>
      <c r="M1858" t="s">
        <v>830</v>
      </c>
      <c r="N1858" t="str">
        <f t="shared" si="84"/>
        <v>T-4</v>
      </c>
      <c r="O1858">
        <f t="shared" si="85"/>
        <v>2025</v>
      </c>
      <c r="P1858" t="str">
        <f t="shared" si="86"/>
        <v>10. octubre</v>
      </c>
    </row>
    <row r="1859" spans="1:16" x14ac:dyDescent="0.35">
      <c r="A1859">
        <v>560722</v>
      </c>
      <c r="B1859" t="s">
        <v>5</v>
      </c>
      <c r="C1859" t="s">
        <v>138</v>
      </c>
      <c r="D1859" t="s">
        <v>620</v>
      </c>
      <c r="E1859" t="s">
        <v>647</v>
      </c>
      <c r="F1859" t="s">
        <v>187</v>
      </c>
      <c r="G1859" s="1">
        <v>45950</v>
      </c>
      <c r="H1859" s="1">
        <v>45953</v>
      </c>
      <c r="I1859" s="2">
        <v>920</v>
      </c>
      <c r="J1859" t="s">
        <v>776</v>
      </c>
      <c r="K1859" t="s">
        <v>783</v>
      </c>
      <c r="L1859" t="s">
        <v>823</v>
      </c>
      <c r="M1859" t="s">
        <v>828</v>
      </c>
      <c r="N1859" t="str">
        <f t="shared" ref="N1859:N1922" si="87">"T-" &amp; ROUNDUP((MONTH(G1859)/3), 0)</f>
        <v>T-4</v>
      </c>
      <c r="O1859">
        <f t="shared" ref="O1859:O1922" si="88">YEAR(G1859)</f>
        <v>2025</v>
      </c>
      <c r="P1859" t="str">
        <f t="shared" ref="P1859:P1922" si="89">MONTH(G1859) &amp; ". " &amp; TEXT(G1859, "MMMM")</f>
        <v>10. octubre</v>
      </c>
    </row>
    <row r="1860" spans="1:16" x14ac:dyDescent="0.35">
      <c r="A1860">
        <v>610389</v>
      </c>
      <c r="B1860" t="s">
        <v>13</v>
      </c>
      <c r="C1860" t="s">
        <v>138</v>
      </c>
      <c r="D1860" t="s">
        <v>449</v>
      </c>
      <c r="E1860" t="s">
        <v>647</v>
      </c>
      <c r="F1860" t="s">
        <v>187</v>
      </c>
      <c r="G1860" s="1">
        <v>45950</v>
      </c>
      <c r="H1860" s="1">
        <v>45950</v>
      </c>
      <c r="I1860" s="2">
        <v>1186.76</v>
      </c>
      <c r="J1860" t="s">
        <v>776</v>
      </c>
      <c r="K1860" t="s">
        <v>783</v>
      </c>
      <c r="L1860" t="s">
        <v>823</v>
      </c>
      <c r="M1860" t="s">
        <v>830</v>
      </c>
      <c r="N1860" t="str">
        <f t="shared" si="87"/>
        <v>T-4</v>
      </c>
      <c r="O1860">
        <f t="shared" si="88"/>
        <v>2025</v>
      </c>
      <c r="P1860" t="str">
        <f t="shared" si="89"/>
        <v>10. octubre</v>
      </c>
    </row>
    <row r="1861" spans="1:16" x14ac:dyDescent="0.35">
      <c r="A1861">
        <v>717687</v>
      </c>
      <c r="B1861" t="s">
        <v>2</v>
      </c>
      <c r="C1861" t="s">
        <v>137</v>
      </c>
      <c r="D1861" t="s">
        <v>494</v>
      </c>
      <c r="E1861" t="s">
        <v>647</v>
      </c>
      <c r="F1861" t="s">
        <v>187</v>
      </c>
      <c r="G1861" s="1">
        <v>45952</v>
      </c>
      <c r="H1861" s="1">
        <v>45952</v>
      </c>
      <c r="I1861" s="2">
        <v>1307.3800000000001</v>
      </c>
      <c r="J1861" t="s">
        <v>776</v>
      </c>
      <c r="K1861" t="s">
        <v>783</v>
      </c>
      <c r="L1861" t="s">
        <v>823</v>
      </c>
      <c r="M1861" t="s">
        <v>829</v>
      </c>
      <c r="N1861" t="str">
        <f t="shared" si="87"/>
        <v>T-4</v>
      </c>
      <c r="O1861">
        <f t="shared" si="88"/>
        <v>2025</v>
      </c>
      <c r="P1861" t="str">
        <f t="shared" si="89"/>
        <v>10. octubre</v>
      </c>
    </row>
    <row r="1862" spans="1:16" x14ac:dyDescent="0.35">
      <c r="A1862">
        <v>478370</v>
      </c>
      <c r="B1862" t="s">
        <v>45</v>
      </c>
      <c r="C1862" t="s">
        <v>138</v>
      </c>
      <c r="D1862" t="s">
        <v>621</v>
      </c>
      <c r="E1862" t="s">
        <v>660</v>
      </c>
      <c r="F1862" t="s">
        <v>187</v>
      </c>
      <c r="G1862" s="1">
        <v>45954</v>
      </c>
      <c r="H1862" s="1">
        <v>45964</v>
      </c>
      <c r="I1862" s="2">
        <v>4863</v>
      </c>
      <c r="J1862" t="s">
        <v>776</v>
      </c>
      <c r="K1862" t="s">
        <v>783</v>
      </c>
      <c r="L1862" t="s">
        <v>824</v>
      </c>
      <c r="M1862" t="s">
        <v>830</v>
      </c>
      <c r="N1862" t="str">
        <f t="shared" si="87"/>
        <v>T-4</v>
      </c>
      <c r="O1862">
        <f t="shared" si="88"/>
        <v>2025</v>
      </c>
      <c r="P1862" t="str">
        <f t="shared" si="89"/>
        <v>10. octubre</v>
      </c>
    </row>
    <row r="1863" spans="1:16" x14ac:dyDescent="0.35">
      <c r="A1863">
        <v>461915</v>
      </c>
      <c r="B1863" t="s">
        <v>25</v>
      </c>
      <c r="C1863" t="s">
        <v>138</v>
      </c>
      <c r="D1863" t="s">
        <v>622</v>
      </c>
      <c r="E1863" t="s">
        <v>764</v>
      </c>
      <c r="F1863" t="s">
        <v>188</v>
      </c>
      <c r="G1863" s="1">
        <v>45973</v>
      </c>
      <c r="H1863" s="1">
        <v>45973</v>
      </c>
      <c r="I1863" s="2">
        <v>847</v>
      </c>
      <c r="J1863" t="s">
        <v>780</v>
      </c>
      <c r="K1863" t="s">
        <v>783</v>
      </c>
      <c r="L1863" t="s">
        <v>823</v>
      </c>
      <c r="M1863" t="s">
        <v>830</v>
      </c>
      <c r="N1863" t="str">
        <f t="shared" si="87"/>
        <v>T-4</v>
      </c>
      <c r="O1863">
        <f t="shared" si="88"/>
        <v>2025</v>
      </c>
      <c r="P1863" t="str">
        <f t="shared" si="89"/>
        <v>11. noviembre</v>
      </c>
    </row>
    <row r="1864" spans="1:16" x14ac:dyDescent="0.35">
      <c r="A1864">
        <v>609101</v>
      </c>
      <c r="B1864" t="s">
        <v>13</v>
      </c>
      <c r="C1864" t="s">
        <v>136</v>
      </c>
      <c r="D1864" t="s">
        <v>622</v>
      </c>
      <c r="E1864" t="s">
        <v>764</v>
      </c>
      <c r="F1864" t="s">
        <v>773</v>
      </c>
      <c r="G1864" s="1">
        <v>45979</v>
      </c>
      <c r="H1864" s="1">
        <v>45979</v>
      </c>
      <c r="I1864" s="2">
        <v>847</v>
      </c>
      <c r="J1864" t="s">
        <v>780</v>
      </c>
      <c r="K1864" t="s">
        <v>783</v>
      </c>
      <c r="L1864" t="s">
        <v>823</v>
      </c>
      <c r="M1864" t="s">
        <v>828</v>
      </c>
      <c r="N1864" t="str">
        <f t="shared" si="87"/>
        <v>T-4</v>
      </c>
      <c r="O1864">
        <f t="shared" si="88"/>
        <v>2025</v>
      </c>
      <c r="P1864" t="str">
        <f t="shared" si="89"/>
        <v>11. noviembre</v>
      </c>
    </row>
    <row r="1865" spans="1:16" x14ac:dyDescent="0.35">
      <c r="A1865">
        <v>719196</v>
      </c>
      <c r="B1865" t="s">
        <v>66</v>
      </c>
      <c r="C1865" t="s">
        <v>136</v>
      </c>
      <c r="D1865" t="s">
        <v>491</v>
      </c>
      <c r="E1865" t="s">
        <v>658</v>
      </c>
      <c r="F1865" t="s">
        <v>773</v>
      </c>
      <c r="G1865" s="1">
        <v>45964</v>
      </c>
      <c r="H1865" s="1">
        <v>45964</v>
      </c>
      <c r="I1865" s="2">
        <v>619</v>
      </c>
      <c r="J1865" t="s">
        <v>774</v>
      </c>
      <c r="K1865" t="s">
        <v>783</v>
      </c>
      <c r="L1865" t="s">
        <v>823</v>
      </c>
      <c r="M1865" t="s">
        <v>828</v>
      </c>
      <c r="N1865" t="str">
        <f t="shared" si="87"/>
        <v>T-4</v>
      </c>
      <c r="O1865">
        <f t="shared" si="88"/>
        <v>2025</v>
      </c>
      <c r="P1865" t="str">
        <f t="shared" si="89"/>
        <v>11. noviembre</v>
      </c>
    </row>
    <row r="1866" spans="1:16" x14ac:dyDescent="0.35">
      <c r="A1866">
        <v>411384</v>
      </c>
      <c r="B1866" t="s">
        <v>33</v>
      </c>
      <c r="C1866" t="s">
        <v>136</v>
      </c>
      <c r="D1866" t="s">
        <v>623</v>
      </c>
      <c r="E1866" t="s">
        <v>735</v>
      </c>
      <c r="F1866" t="s">
        <v>187</v>
      </c>
      <c r="G1866" s="1">
        <v>45945</v>
      </c>
      <c r="H1866" s="1">
        <v>45945</v>
      </c>
      <c r="I1866" s="2">
        <v>1450</v>
      </c>
      <c r="J1866" t="s">
        <v>778</v>
      </c>
      <c r="K1866" t="s">
        <v>783</v>
      </c>
      <c r="L1866" t="s">
        <v>823</v>
      </c>
      <c r="M1866" t="s">
        <v>830</v>
      </c>
      <c r="N1866" t="str">
        <f t="shared" si="87"/>
        <v>T-4</v>
      </c>
      <c r="O1866">
        <f t="shared" si="88"/>
        <v>2025</v>
      </c>
      <c r="P1866" t="str">
        <f t="shared" si="89"/>
        <v>10. octubre</v>
      </c>
    </row>
    <row r="1867" spans="1:16" x14ac:dyDescent="0.35">
      <c r="A1867">
        <v>607653</v>
      </c>
      <c r="B1867" t="s">
        <v>13</v>
      </c>
      <c r="C1867" t="s">
        <v>138</v>
      </c>
      <c r="D1867" t="s">
        <v>624</v>
      </c>
      <c r="E1867" t="s">
        <v>754</v>
      </c>
      <c r="F1867" t="s">
        <v>187</v>
      </c>
      <c r="G1867" s="1">
        <v>45957</v>
      </c>
      <c r="H1867" s="1">
        <v>45960</v>
      </c>
      <c r="I1867" s="2">
        <v>941.18</v>
      </c>
      <c r="J1867" t="s">
        <v>776</v>
      </c>
      <c r="K1867" t="s">
        <v>783</v>
      </c>
      <c r="L1867" t="s">
        <v>823</v>
      </c>
      <c r="M1867" t="s">
        <v>829</v>
      </c>
      <c r="N1867" t="str">
        <f t="shared" si="87"/>
        <v>T-4</v>
      </c>
      <c r="O1867">
        <f t="shared" si="88"/>
        <v>2025</v>
      </c>
      <c r="P1867" t="str">
        <f t="shared" si="89"/>
        <v>10. octubre</v>
      </c>
    </row>
    <row r="1868" spans="1:16" x14ac:dyDescent="0.35">
      <c r="A1868">
        <v>530002</v>
      </c>
      <c r="B1868" t="s">
        <v>13</v>
      </c>
      <c r="C1868" t="s">
        <v>138</v>
      </c>
      <c r="D1868" t="s">
        <v>624</v>
      </c>
      <c r="E1868" t="s">
        <v>754</v>
      </c>
      <c r="F1868" t="s">
        <v>187</v>
      </c>
      <c r="G1868" s="1">
        <v>45957</v>
      </c>
      <c r="H1868" s="1">
        <v>45960</v>
      </c>
      <c r="I1868" s="2">
        <v>1411.76</v>
      </c>
      <c r="J1868" t="s">
        <v>776</v>
      </c>
      <c r="K1868" t="s">
        <v>783</v>
      </c>
      <c r="L1868" t="s">
        <v>823</v>
      </c>
      <c r="M1868" t="s">
        <v>830</v>
      </c>
      <c r="N1868" t="str">
        <f t="shared" si="87"/>
        <v>T-4</v>
      </c>
      <c r="O1868">
        <f t="shared" si="88"/>
        <v>2025</v>
      </c>
      <c r="P1868" t="str">
        <f t="shared" si="89"/>
        <v>10. octubre</v>
      </c>
    </row>
    <row r="1869" spans="1:16" x14ac:dyDescent="0.35">
      <c r="A1869">
        <v>361847</v>
      </c>
      <c r="B1869" t="s">
        <v>4</v>
      </c>
      <c r="C1869" t="s">
        <v>139</v>
      </c>
      <c r="D1869" t="s">
        <v>624</v>
      </c>
      <c r="E1869" t="s">
        <v>754</v>
      </c>
      <c r="F1869" t="s">
        <v>187</v>
      </c>
      <c r="G1869" s="1">
        <v>45957</v>
      </c>
      <c r="H1869" s="1">
        <v>45960</v>
      </c>
      <c r="I1869" s="2">
        <v>5176.47</v>
      </c>
      <c r="J1869" t="s">
        <v>776</v>
      </c>
      <c r="K1869" t="s">
        <v>783</v>
      </c>
      <c r="L1869" t="s">
        <v>823</v>
      </c>
      <c r="M1869" t="s">
        <v>830</v>
      </c>
      <c r="N1869" t="str">
        <f t="shared" si="87"/>
        <v>T-4</v>
      </c>
      <c r="O1869">
        <f t="shared" si="88"/>
        <v>2025</v>
      </c>
      <c r="P1869" t="str">
        <f t="shared" si="89"/>
        <v>10. octubre</v>
      </c>
    </row>
    <row r="1870" spans="1:16" x14ac:dyDescent="0.35">
      <c r="A1870">
        <v>423502</v>
      </c>
      <c r="B1870" t="s">
        <v>20</v>
      </c>
      <c r="C1870" t="s">
        <v>136</v>
      </c>
      <c r="D1870" t="s">
        <v>624</v>
      </c>
      <c r="E1870" t="s">
        <v>754</v>
      </c>
      <c r="F1870" t="s">
        <v>187</v>
      </c>
      <c r="G1870" s="1">
        <v>45957</v>
      </c>
      <c r="H1870" s="1">
        <v>45960</v>
      </c>
      <c r="I1870" s="2">
        <v>470.59</v>
      </c>
      <c r="J1870" t="s">
        <v>776</v>
      </c>
      <c r="K1870" t="s">
        <v>783</v>
      </c>
      <c r="L1870" t="s">
        <v>824</v>
      </c>
      <c r="M1870" t="s">
        <v>828</v>
      </c>
      <c r="N1870" t="str">
        <f t="shared" si="87"/>
        <v>T-4</v>
      </c>
      <c r="O1870">
        <f t="shared" si="88"/>
        <v>2025</v>
      </c>
      <c r="P1870" t="str">
        <f t="shared" si="89"/>
        <v>10. octubre</v>
      </c>
    </row>
    <row r="1871" spans="1:16" x14ac:dyDescent="0.35">
      <c r="A1871">
        <v>706202</v>
      </c>
      <c r="B1871" t="s">
        <v>15</v>
      </c>
      <c r="C1871" t="s">
        <v>136</v>
      </c>
      <c r="D1871" t="s">
        <v>504</v>
      </c>
      <c r="E1871" t="s">
        <v>737</v>
      </c>
      <c r="F1871" t="s">
        <v>187</v>
      </c>
      <c r="G1871" s="1">
        <v>45957</v>
      </c>
      <c r="H1871" s="1">
        <v>45961</v>
      </c>
      <c r="I1871" s="2">
        <v>325</v>
      </c>
      <c r="J1871" t="s">
        <v>776</v>
      </c>
      <c r="K1871" t="s">
        <v>783</v>
      </c>
      <c r="L1871" t="s">
        <v>823</v>
      </c>
      <c r="M1871" t="s">
        <v>828</v>
      </c>
      <c r="N1871" t="str">
        <f t="shared" si="87"/>
        <v>T-4</v>
      </c>
      <c r="O1871">
        <f t="shared" si="88"/>
        <v>2025</v>
      </c>
      <c r="P1871" t="str">
        <f t="shared" si="89"/>
        <v>10. octubre</v>
      </c>
    </row>
    <row r="1872" spans="1:16" x14ac:dyDescent="0.35">
      <c r="A1872">
        <v>468920</v>
      </c>
      <c r="B1872" t="s">
        <v>23</v>
      </c>
      <c r="C1872" t="s">
        <v>141</v>
      </c>
      <c r="D1872" t="s">
        <v>586</v>
      </c>
      <c r="E1872" t="s">
        <v>737</v>
      </c>
      <c r="F1872" t="s">
        <v>187</v>
      </c>
      <c r="G1872" s="1">
        <v>45957</v>
      </c>
      <c r="H1872" s="1">
        <v>45961</v>
      </c>
      <c r="I1872" s="2">
        <v>390</v>
      </c>
      <c r="J1872" t="s">
        <v>776</v>
      </c>
      <c r="K1872" t="s">
        <v>783</v>
      </c>
      <c r="L1872" t="s">
        <v>823</v>
      </c>
      <c r="M1872" t="s">
        <v>829</v>
      </c>
      <c r="N1872" t="str">
        <f t="shared" si="87"/>
        <v>T-4</v>
      </c>
      <c r="O1872">
        <f t="shared" si="88"/>
        <v>2025</v>
      </c>
      <c r="P1872" t="str">
        <f t="shared" si="89"/>
        <v>10. octubre</v>
      </c>
    </row>
    <row r="1873" spans="1:16" x14ac:dyDescent="0.35">
      <c r="A1873">
        <v>564576</v>
      </c>
      <c r="B1873" t="s">
        <v>20</v>
      </c>
      <c r="C1873" t="s">
        <v>136</v>
      </c>
      <c r="D1873" t="s">
        <v>504</v>
      </c>
      <c r="E1873" t="s">
        <v>737</v>
      </c>
      <c r="F1873" t="s">
        <v>187</v>
      </c>
      <c r="G1873" s="1">
        <v>45957</v>
      </c>
      <c r="H1873" s="1">
        <v>45961</v>
      </c>
      <c r="I1873" s="2">
        <v>2275</v>
      </c>
      <c r="J1873" t="s">
        <v>776</v>
      </c>
      <c r="K1873" t="s">
        <v>783</v>
      </c>
      <c r="L1873" t="s">
        <v>823</v>
      </c>
      <c r="M1873" t="s">
        <v>830</v>
      </c>
      <c r="N1873" t="str">
        <f t="shared" si="87"/>
        <v>T-4</v>
      </c>
      <c r="O1873">
        <f t="shared" si="88"/>
        <v>2025</v>
      </c>
      <c r="P1873" t="str">
        <f t="shared" si="89"/>
        <v>10. octubre</v>
      </c>
    </row>
    <row r="1874" spans="1:16" x14ac:dyDescent="0.35">
      <c r="A1874">
        <v>591095</v>
      </c>
      <c r="B1874" t="s">
        <v>73</v>
      </c>
      <c r="C1874" t="s">
        <v>138</v>
      </c>
      <c r="D1874" t="s">
        <v>504</v>
      </c>
      <c r="E1874" t="s">
        <v>737</v>
      </c>
      <c r="F1874" t="s">
        <v>187</v>
      </c>
      <c r="G1874" s="1">
        <v>45957</v>
      </c>
      <c r="H1874" s="1">
        <v>45961</v>
      </c>
      <c r="I1874" s="2">
        <v>975</v>
      </c>
      <c r="J1874" t="s">
        <v>776</v>
      </c>
      <c r="K1874" t="s">
        <v>783</v>
      </c>
      <c r="L1874" t="s">
        <v>823</v>
      </c>
      <c r="M1874" t="s">
        <v>830</v>
      </c>
      <c r="N1874" t="str">
        <f t="shared" si="87"/>
        <v>T-4</v>
      </c>
      <c r="O1874">
        <f t="shared" si="88"/>
        <v>2025</v>
      </c>
      <c r="P1874" t="str">
        <f t="shared" si="89"/>
        <v>10. octubre</v>
      </c>
    </row>
    <row r="1875" spans="1:16" x14ac:dyDescent="0.35">
      <c r="A1875">
        <v>589171</v>
      </c>
      <c r="B1875" t="s">
        <v>27</v>
      </c>
      <c r="C1875" t="s">
        <v>138</v>
      </c>
      <c r="D1875" t="s">
        <v>586</v>
      </c>
      <c r="E1875" t="s">
        <v>737</v>
      </c>
      <c r="F1875" t="s">
        <v>187</v>
      </c>
      <c r="G1875" s="1">
        <v>45957</v>
      </c>
      <c r="H1875" s="1">
        <v>45961</v>
      </c>
      <c r="I1875" s="2">
        <v>2340</v>
      </c>
      <c r="J1875" t="s">
        <v>776</v>
      </c>
      <c r="K1875" t="s">
        <v>783</v>
      </c>
      <c r="L1875" t="s">
        <v>823</v>
      </c>
      <c r="M1875" t="s">
        <v>828</v>
      </c>
      <c r="N1875" t="str">
        <f t="shared" si="87"/>
        <v>T-4</v>
      </c>
      <c r="O1875">
        <f t="shared" si="88"/>
        <v>2025</v>
      </c>
      <c r="P1875" t="str">
        <f t="shared" si="89"/>
        <v>10. octubre</v>
      </c>
    </row>
    <row r="1876" spans="1:16" x14ac:dyDescent="0.35">
      <c r="A1876">
        <v>564416</v>
      </c>
      <c r="B1876" t="s">
        <v>5</v>
      </c>
      <c r="C1876" t="s">
        <v>138</v>
      </c>
      <c r="D1876" t="s">
        <v>586</v>
      </c>
      <c r="E1876" t="s">
        <v>737</v>
      </c>
      <c r="F1876" t="s">
        <v>187</v>
      </c>
      <c r="G1876" s="1">
        <v>45957</v>
      </c>
      <c r="H1876" s="1">
        <v>45961</v>
      </c>
      <c r="I1876" s="2">
        <v>2730</v>
      </c>
      <c r="J1876" t="s">
        <v>776</v>
      </c>
      <c r="K1876" t="s">
        <v>783</v>
      </c>
      <c r="L1876" t="s">
        <v>824</v>
      </c>
      <c r="M1876" t="s">
        <v>830</v>
      </c>
      <c r="N1876" t="str">
        <f t="shared" si="87"/>
        <v>T-4</v>
      </c>
      <c r="O1876">
        <f t="shared" si="88"/>
        <v>2025</v>
      </c>
      <c r="P1876" t="str">
        <f t="shared" si="89"/>
        <v>10. octubre</v>
      </c>
    </row>
    <row r="1877" spans="1:16" x14ac:dyDescent="0.35">
      <c r="A1877">
        <v>501121</v>
      </c>
      <c r="B1877" t="s">
        <v>13</v>
      </c>
      <c r="C1877" t="s">
        <v>138</v>
      </c>
      <c r="D1877" t="s">
        <v>436</v>
      </c>
      <c r="E1877" t="s">
        <v>737</v>
      </c>
      <c r="F1877" t="s">
        <v>187</v>
      </c>
      <c r="G1877" s="1">
        <v>45957</v>
      </c>
      <c r="H1877" s="1">
        <v>45961</v>
      </c>
      <c r="I1877" s="2">
        <v>4225</v>
      </c>
      <c r="J1877" t="s">
        <v>776</v>
      </c>
      <c r="K1877" t="s">
        <v>783</v>
      </c>
      <c r="L1877" t="s">
        <v>823</v>
      </c>
      <c r="M1877" t="s">
        <v>829</v>
      </c>
      <c r="N1877" t="str">
        <f t="shared" si="87"/>
        <v>T-4</v>
      </c>
      <c r="O1877">
        <f t="shared" si="88"/>
        <v>2025</v>
      </c>
      <c r="P1877" t="str">
        <f t="shared" si="89"/>
        <v>10. octubre</v>
      </c>
    </row>
    <row r="1878" spans="1:16" x14ac:dyDescent="0.35">
      <c r="A1878">
        <v>488558</v>
      </c>
      <c r="B1878" t="s">
        <v>30</v>
      </c>
      <c r="C1878" t="s">
        <v>138</v>
      </c>
      <c r="D1878" t="s">
        <v>436</v>
      </c>
      <c r="E1878" t="s">
        <v>737</v>
      </c>
      <c r="F1878" t="s">
        <v>187</v>
      </c>
      <c r="G1878" s="1">
        <v>45957</v>
      </c>
      <c r="H1878" s="1">
        <v>45961</v>
      </c>
      <c r="I1878" s="2">
        <v>2600</v>
      </c>
      <c r="J1878" t="s">
        <v>776</v>
      </c>
      <c r="K1878" t="s">
        <v>783</v>
      </c>
      <c r="L1878" t="s">
        <v>823</v>
      </c>
      <c r="M1878" t="s">
        <v>830</v>
      </c>
      <c r="N1878" t="str">
        <f t="shared" si="87"/>
        <v>T-4</v>
      </c>
      <c r="O1878">
        <f t="shared" si="88"/>
        <v>2025</v>
      </c>
      <c r="P1878" t="str">
        <f t="shared" si="89"/>
        <v>10. octubre</v>
      </c>
    </row>
    <row r="1879" spans="1:16" x14ac:dyDescent="0.35">
      <c r="A1879">
        <v>566417</v>
      </c>
      <c r="B1879" t="s">
        <v>2</v>
      </c>
      <c r="C1879" t="s">
        <v>138</v>
      </c>
      <c r="D1879" t="s">
        <v>504</v>
      </c>
      <c r="E1879" t="s">
        <v>737</v>
      </c>
      <c r="F1879" t="s">
        <v>187</v>
      </c>
      <c r="G1879" s="1">
        <v>45957</v>
      </c>
      <c r="H1879" s="1">
        <v>45961</v>
      </c>
      <c r="I1879" s="2">
        <v>4225</v>
      </c>
      <c r="J1879" t="s">
        <v>776</v>
      </c>
      <c r="K1879" t="s">
        <v>783</v>
      </c>
      <c r="L1879" t="s">
        <v>823</v>
      </c>
      <c r="M1879" t="s">
        <v>830</v>
      </c>
      <c r="N1879" t="str">
        <f t="shared" si="87"/>
        <v>T-4</v>
      </c>
      <c r="O1879">
        <f t="shared" si="88"/>
        <v>2025</v>
      </c>
      <c r="P1879" t="str">
        <f t="shared" si="89"/>
        <v>10. octubre</v>
      </c>
    </row>
    <row r="1880" spans="1:16" x14ac:dyDescent="0.35">
      <c r="A1880">
        <v>564801</v>
      </c>
      <c r="B1880" t="s">
        <v>4</v>
      </c>
      <c r="C1880" t="s">
        <v>138</v>
      </c>
      <c r="D1880" t="s">
        <v>586</v>
      </c>
      <c r="E1880" t="s">
        <v>737</v>
      </c>
      <c r="F1880" t="s">
        <v>187</v>
      </c>
      <c r="G1880" s="1">
        <v>45957</v>
      </c>
      <c r="H1880" s="1">
        <v>45961</v>
      </c>
      <c r="I1880" s="2">
        <v>780</v>
      </c>
      <c r="J1880" t="s">
        <v>776</v>
      </c>
      <c r="K1880" t="s">
        <v>783</v>
      </c>
      <c r="L1880" t="s">
        <v>823</v>
      </c>
      <c r="M1880" t="s">
        <v>828</v>
      </c>
      <c r="N1880" t="str">
        <f t="shared" si="87"/>
        <v>T-4</v>
      </c>
      <c r="O1880">
        <f t="shared" si="88"/>
        <v>2025</v>
      </c>
      <c r="P1880" t="str">
        <f t="shared" si="89"/>
        <v>10. octubre</v>
      </c>
    </row>
    <row r="1881" spans="1:16" x14ac:dyDescent="0.35">
      <c r="A1881">
        <v>564858</v>
      </c>
      <c r="B1881" t="s">
        <v>4</v>
      </c>
      <c r="C1881" t="s">
        <v>138</v>
      </c>
      <c r="D1881" t="s">
        <v>436</v>
      </c>
      <c r="E1881" t="s">
        <v>737</v>
      </c>
      <c r="F1881" t="s">
        <v>187</v>
      </c>
      <c r="G1881" s="1">
        <v>45957</v>
      </c>
      <c r="H1881" s="1">
        <v>45961</v>
      </c>
      <c r="I1881" s="2">
        <v>1300</v>
      </c>
      <c r="J1881" t="s">
        <v>776</v>
      </c>
      <c r="K1881" t="s">
        <v>783</v>
      </c>
      <c r="L1881" t="s">
        <v>823</v>
      </c>
      <c r="M1881" t="s">
        <v>828</v>
      </c>
      <c r="N1881" t="str">
        <f t="shared" si="87"/>
        <v>T-4</v>
      </c>
      <c r="O1881">
        <f t="shared" si="88"/>
        <v>2025</v>
      </c>
      <c r="P1881" t="str">
        <f t="shared" si="89"/>
        <v>10. octubre</v>
      </c>
    </row>
    <row r="1882" spans="1:16" x14ac:dyDescent="0.35">
      <c r="A1882">
        <v>707905</v>
      </c>
      <c r="B1882" t="s">
        <v>134</v>
      </c>
      <c r="C1882" t="s">
        <v>138</v>
      </c>
      <c r="D1882" t="s">
        <v>605</v>
      </c>
      <c r="E1882" t="s">
        <v>753</v>
      </c>
      <c r="F1882" t="s">
        <v>187</v>
      </c>
      <c r="G1882" s="1">
        <v>45957</v>
      </c>
      <c r="H1882" s="1">
        <v>45958</v>
      </c>
      <c r="I1882" s="2">
        <v>428</v>
      </c>
      <c r="J1882" t="s">
        <v>776</v>
      </c>
      <c r="K1882" t="s">
        <v>783</v>
      </c>
      <c r="L1882" t="s">
        <v>823</v>
      </c>
      <c r="M1882" t="s">
        <v>830</v>
      </c>
      <c r="N1882" t="str">
        <f t="shared" si="87"/>
        <v>T-4</v>
      </c>
      <c r="O1882">
        <f t="shared" si="88"/>
        <v>2025</v>
      </c>
      <c r="P1882" t="str">
        <f t="shared" si="89"/>
        <v>10. octubre</v>
      </c>
    </row>
    <row r="1883" spans="1:16" x14ac:dyDescent="0.35">
      <c r="A1883">
        <v>706602</v>
      </c>
      <c r="B1883" t="s">
        <v>71</v>
      </c>
      <c r="C1883" t="s">
        <v>138</v>
      </c>
      <c r="D1883" t="s">
        <v>605</v>
      </c>
      <c r="E1883" t="s">
        <v>753</v>
      </c>
      <c r="F1883" t="s">
        <v>187</v>
      </c>
      <c r="G1883" s="1">
        <v>45957</v>
      </c>
      <c r="H1883" s="1">
        <v>45958</v>
      </c>
      <c r="I1883" s="2">
        <v>963</v>
      </c>
      <c r="J1883" t="s">
        <v>776</v>
      </c>
      <c r="K1883" t="s">
        <v>783</v>
      </c>
      <c r="L1883" t="s">
        <v>824</v>
      </c>
      <c r="M1883" t="s">
        <v>829</v>
      </c>
      <c r="N1883" t="str">
        <f t="shared" si="87"/>
        <v>T-4</v>
      </c>
      <c r="O1883">
        <f t="shared" si="88"/>
        <v>2025</v>
      </c>
      <c r="P1883" t="str">
        <f t="shared" si="89"/>
        <v>10. octubre</v>
      </c>
    </row>
    <row r="1884" spans="1:16" x14ac:dyDescent="0.35">
      <c r="A1884">
        <v>428988</v>
      </c>
      <c r="B1884" t="s">
        <v>14</v>
      </c>
      <c r="C1884" t="s">
        <v>138</v>
      </c>
      <c r="D1884" t="s">
        <v>605</v>
      </c>
      <c r="E1884" t="s">
        <v>753</v>
      </c>
      <c r="F1884" t="s">
        <v>187</v>
      </c>
      <c r="G1884" s="1">
        <v>45959</v>
      </c>
      <c r="H1884" s="1">
        <v>45959</v>
      </c>
      <c r="I1884" s="2">
        <v>321</v>
      </c>
      <c r="J1884" t="s">
        <v>776</v>
      </c>
      <c r="K1884" t="s">
        <v>783</v>
      </c>
      <c r="L1884" t="s">
        <v>823</v>
      </c>
      <c r="M1884" t="s">
        <v>830</v>
      </c>
      <c r="N1884" t="str">
        <f t="shared" si="87"/>
        <v>T-4</v>
      </c>
      <c r="O1884">
        <f t="shared" si="88"/>
        <v>2025</v>
      </c>
      <c r="P1884" t="str">
        <f t="shared" si="89"/>
        <v>10. octubre</v>
      </c>
    </row>
    <row r="1885" spans="1:16" x14ac:dyDescent="0.35">
      <c r="A1885">
        <v>609670</v>
      </c>
      <c r="B1885" t="s">
        <v>13</v>
      </c>
      <c r="C1885" t="s">
        <v>138</v>
      </c>
      <c r="D1885" t="s">
        <v>605</v>
      </c>
      <c r="E1885" t="s">
        <v>753</v>
      </c>
      <c r="F1885" t="s">
        <v>187</v>
      </c>
      <c r="G1885" s="1">
        <v>45959</v>
      </c>
      <c r="H1885" s="1">
        <v>45959</v>
      </c>
      <c r="I1885" s="2">
        <v>321</v>
      </c>
      <c r="J1885" t="s">
        <v>776</v>
      </c>
      <c r="K1885" t="s">
        <v>783</v>
      </c>
      <c r="L1885" t="s">
        <v>823</v>
      </c>
      <c r="M1885" t="s">
        <v>830</v>
      </c>
      <c r="N1885" t="str">
        <f t="shared" si="87"/>
        <v>T-4</v>
      </c>
      <c r="O1885">
        <f t="shared" si="88"/>
        <v>2025</v>
      </c>
      <c r="P1885" t="str">
        <f t="shared" si="89"/>
        <v>10. octubre</v>
      </c>
    </row>
    <row r="1886" spans="1:16" x14ac:dyDescent="0.35">
      <c r="A1886">
        <v>410853</v>
      </c>
      <c r="B1886" t="s">
        <v>30</v>
      </c>
      <c r="C1886" t="s">
        <v>138</v>
      </c>
      <c r="D1886" t="s">
        <v>605</v>
      </c>
      <c r="E1886" t="s">
        <v>753</v>
      </c>
      <c r="F1886" t="s">
        <v>187</v>
      </c>
      <c r="G1886" s="1">
        <v>45959</v>
      </c>
      <c r="H1886" s="1">
        <v>45959</v>
      </c>
      <c r="I1886" s="2">
        <v>428</v>
      </c>
      <c r="J1886" t="s">
        <v>776</v>
      </c>
      <c r="K1886" t="s">
        <v>783</v>
      </c>
      <c r="L1886" t="s">
        <v>823</v>
      </c>
      <c r="M1886" t="s">
        <v>828</v>
      </c>
      <c r="N1886" t="str">
        <f t="shared" si="87"/>
        <v>T-4</v>
      </c>
      <c r="O1886">
        <f t="shared" si="88"/>
        <v>2025</v>
      </c>
      <c r="P1886" t="str">
        <f t="shared" si="89"/>
        <v>10. octubre</v>
      </c>
    </row>
    <row r="1887" spans="1:16" x14ac:dyDescent="0.35">
      <c r="A1887">
        <v>750073</v>
      </c>
      <c r="B1887" t="s">
        <v>31</v>
      </c>
      <c r="C1887" t="s">
        <v>138</v>
      </c>
      <c r="D1887" t="s">
        <v>345</v>
      </c>
      <c r="E1887" t="s">
        <v>715</v>
      </c>
      <c r="F1887" t="s">
        <v>187</v>
      </c>
      <c r="G1887" s="1">
        <v>45931</v>
      </c>
      <c r="H1887" s="1">
        <v>45957</v>
      </c>
      <c r="I1887" s="2">
        <v>862.5</v>
      </c>
      <c r="J1887" t="s">
        <v>779</v>
      </c>
      <c r="K1887" t="s">
        <v>783</v>
      </c>
      <c r="L1887" t="s">
        <v>823</v>
      </c>
      <c r="M1887" t="s">
        <v>828</v>
      </c>
      <c r="N1887" t="str">
        <f t="shared" si="87"/>
        <v>T-4</v>
      </c>
      <c r="O1887">
        <f t="shared" si="88"/>
        <v>2025</v>
      </c>
      <c r="P1887" t="str">
        <f t="shared" si="89"/>
        <v>10. octubre</v>
      </c>
    </row>
    <row r="1888" spans="1:16" x14ac:dyDescent="0.35">
      <c r="A1888">
        <v>718513</v>
      </c>
      <c r="B1888" t="s">
        <v>37</v>
      </c>
      <c r="C1888" t="s">
        <v>141</v>
      </c>
      <c r="D1888" t="s">
        <v>345</v>
      </c>
      <c r="E1888" t="s">
        <v>715</v>
      </c>
      <c r="F1888" t="s">
        <v>187</v>
      </c>
      <c r="G1888" s="1">
        <v>45931</v>
      </c>
      <c r="H1888" s="1">
        <v>45958</v>
      </c>
      <c r="I1888" s="2">
        <v>637.5</v>
      </c>
      <c r="J1888" t="s">
        <v>779</v>
      </c>
      <c r="K1888" t="s">
        <v>783</v>
      </c>
      <c r="L1888" t="s">
        <v>823</v>
      </c>
      <c r="M1888" t="s">
        <v>829</v>
      </c>
      <c r="N1888" t="str">
        <f t="shared" si="87"/>
        <v>T-4</v>
      </c>
      <c r="O1888">
        <f t="shared" si="88"/>
        <v>2025</v>
      </c>
      <c r="P1888" t="str">
        <f t="shared" si="89"/>
        <v>10. octubre</v>
      </c>
    </row>
    <row r="1889" spans="1:16" x14ac:dyDescent="0.35">
      <c r="A1889">
        <v>362483</v>
      </c>
      <c r="B1889" t="s">
        <v>24</v>
      </c>
      <c r="C1889" t="s">
        <v>138</v>
      </c>
      <c r="D1889" t="s">
        <v>625</v>
      </c>
      <c r="E1889" t="s">
        <v>765</v>
      </c>
      <c r="F1889" t="s">
        <v>773</v>
      </c>
      <c r="G1889" s="1">
        <v>45964</v>
      </c>
      <c r="H1889" s="1">
        <v>46055</v>
      </c>
      <c r="I1889" s="2">
        <v>931.5</v>
      </c>
      <c r="J1889" t="s">
        <v>778</v>
      </c>
      <c r="K1889" t="s">
        <v>783</v>
      </c>
      <c r="L1889" t="s">
        <v>823</v>
      </c>
      <c r="M1889" t="s">
        <v>830</v>
      </c>
      <c r="N1889" t="str">
        <f t="shared" si="87"/>
        <v>T-4</v>
      </c>
      <c r="O1889">
        <f t="shared" si="88"/>
        <v>2025</v>
      </c>
      <c r="P1889" t="str">
        <f t="shared" si="89"/>
        <v>11. noviembre</v>
      </c>
    </row>
    <row r="1890" spans="1:16" x14ac:dyDescent="0.35">
      <c r="A1890">
        <v>717452</v>
      </c>
      <c r="B1890" t="s">
        <v>22</v>
      </c>
      <c r="C1890" t="s">
        <v>137</v>
      </c>
      <c r="D1890" t="s">
        <v>626</v>
      </c>
      <c r="E1890" t="s">
        <v>675</v>
      </c>
      <c r="F1890" t="s">
        <v>773</v>
      </c>
      <c r="G1890" s="1">
        <v>45968</v>
      </c>
      <c r="H1890" s="1">
        <v>45973</v>
      </c>
      <c r="I1890" s="2">
        <v>2778.05</v>
      </c>
      <c r="J1890" t="s">
        <v>779</v>
      </c>
      <c r="K1890" t="s">
        <v>783</v>
      </c>
      <c r="L1890" t="s">
        <v>823</v>
      </c>
      <c r="M1890" t="s">
        <v>830</v>
      </c>
      <c r="N1890" t="str">
        <f t="shared" si="87"/>
        <v>T-4</v>
      </c>
      <c r="O1890">
        <f t="shared" si="88"/>
        <v>2025</v>
      </c>
      <c r="P1890" t="str">
        <f t="shared" si="89"/>
        <v>11. noviembre</v>
      </c>
    </row>
    <row r="1891" spans="1:16" x14ac:dyDescent="0.35">
      <c r="A1891">
        <v>560420</v>
      </c>
      <c r="B1891" t="s">
        <v>22</v>
      </c>
      <c r="C1891" t="s">
        <v>139</v>
      </c>
      <c r="D1891" t="s">
        <v>171</v>
      </c>
      <c r="E1891" t="s">
        <v>669</v>
      </c>
      <c r="F1891" t="s">
        <v>187</v>
      </c>
      <c r="G1891" s="1">
        <v>45959</v>
      </c>
      <c r="H1891" s="1">
        <v>45960</v>
      </c>
      <c r="I1891" s="2">
        <v>217.86</v>
      </c>
      <c r="J1891" t="s">
        <v>776</v>
      </c>
      <c r="K1891" t="s">
        <v>783</v>
      </c>
      <c r="L1891" t="s">
        <v>824</v>
      </c>
      <c r="M1891" t="s">
        <v>828</v>
      </c>
      <c r="N1891" t="str">
        <f t="shared" si="87"/>
        <v>T-4</v>
      </c>
      <c r="O1891">
        <f t="shared" si="88"/>
        <v>2025</v>
      </c>
      <c r="P1891" t="str">
        <f t="shared" si="89"/>
        <v>10. octubre</v>
      </c>
    </row>
    <row r="1892" spans="1:16" x14ac:dyDescent="0.35">
      <c r="A1892">
        <v>490511</v>
      </c>
      <c r="B1892" t="s">
        <v>33</v>
      </c>
      <c r="C1892" t="s">
        <v>136</v>
      </c>
      <c r="D1892" t="s">
        <v>171</v>
      </c>
      <c r="E1892" t="s">
        <v>669</v>
      </c>
      <c r="F1892" t="s">
        <v>187</v>
      </c>
      <c r="G1892" s="1">
        <v>45957</v>
      </c>
      <c r="H1892" s="1">
        <v>45958</v>
      </c>
      <c r="I1892" s="2">
        <v>228.75</v>
      </c>
      <c r="J1892" t="s">
        <v>776</v>
      </c>
      <c r="K1892" t="s">
        <v>783</v>
      </c>
      <c r="L1892" t="s">
        <v>823</v>
      </c>
      <c r="M1892" t="s">
        <v>830</v>
      </c>
      <c r="N1892" t="str">
        <f t="shared" si="87"/>
        <v>T-4</v>
      </c>
      <c r="O1892">
        <f t="shared" si="88"/>
        <v>2025</v>
      </c>
      <c r="P1892" t="str">
        <f t="shared" si="89"/>
        <v>10. octubre</v>
      </c>
    </row>
    <row r="1893" spans="1:16" x14ac:dyDescent="0.35">
      <c r="A1893">
        <v>601423</v>
      </c>
      <c r="B1893" t="s">
        <v>13</v>
      </c>
      <c r="C1893" t="s">
        <v>138</v>
      </c>
      <c r="D1893" t="s">
        <v>171</v>
      </c>
      <c r="E1893" t="s">
        <v>669</v>
      </c>
      <c r="F1893" t="s">
        <v>187</v>
      </c>
      <c r="G1893" s="1">
        <v>45959</v>
      </c>
      <c r="H1893" s="1">
        <v>45960</v>
      </c>
      <c r="I1893" s="2">
        <v>321.05</v>
      </c>
      <c r="J1893" t="s">
        <v>776</v>
      </c>
      <c r="K1893" t="s">
        <v>783</v>
      </c>
      <c r="L1893" t="s">
        <v>823</v>
      </c>
      <c r="M1893" t="s">
        <v>829</v>
      </c>
      <c r="N1893" t="str">
        <f t="shared" si="87"/>
        <v>T-4</v>
      </c>
      <c r="O1893">
        <f t="shared" si="88"/>
        <v>2025</v>
      </c>
      <c r="P1893" t="str">
        <f t="shared" si="89"/>
        <v>10. octubre</v>
      </c>
    </row>
    <row r="1894" spans="1:16" x14ac:dyDescent="0.35">
      <c r="A1894">
        <v>720105</v>
      </c>
      <c r="B1894" t="s">
        <v>46</v>
      </c>
      <c r="C1894" t="s">
        <v>137</v>
      </c>
      <c r="D1894" t="s">
        <v>171</v>
      </c>
      <c r="E1894" t="s">
        <v>669</v>
      </c>
      <c r="F1894" t="s">
        <v>187</v>
      </c>
      <c r="G1894" s="1">
        <v>45959</v>
      </c>
      <c r="H1894" s="1">
        <v>45960</v>
      </c>
      <c r="I1894" s="2">
        <v>580.95000000000005</v>
      </c>
      <c r="J1894" t="s">
        <v>776</v>
      </c>
      <c r="K1894" t="s">
        <v>783</v>
      </c>
      <c r="L1894" t="s">
        <v>823</v>
      </c>
      <c r="M1894" t="s">
        <v>830</v>
      </c>
      <c r="N1894" t="str">
        <f t="shared" si="87"/>
        <v>T-4</v>
      </c>
      <c r="O1894">
        <f t="shared" si="88"/>
        <v>2025</v>
      </c>
      <c r="P1894" t="str">
        <f t="shared" si="89"/>
        <v>10. octubre</v>
      </c>
    </row>
    <row r="1895" spans="1:16" x14ac:dyDescent="0.35">
      <c r="A1895">
        <v>499425</v>
      </c>
      <c r="B1895" t="s">
        <v>24</v>
      </c>
      <c r="C1895" t="s">
        <v>138</v>
      </c>
      <c r="D1895" t="s">
        <v>171</v>
      </c>
      <c r="E1895" t="s">
        <v>669</v>
      </c>
      <c r="F1895" t="s">
        <v>187</v>
      </c>
      <c r="G1895" s="1">
        <v>45959</v>
      </c>
      <c r="H1895" s="1">
        <v>45960</v>
      </c>
      <c r="I1895" s="2">
        <v>580.95000000000005</v>
      </c>
      <c r="J1895" t="s">
        <v>776</v>
      </c>
      <c r="K1895" t="s">
        <v>783</v>
      </c>
      <c r="L1895" t="s">
        <v>823</v>
      </c>
      <c r="M1895" t="s">
        <v>830</v>
      </c>
      <c r="N1895" t="str">
        <f t="shared" si="87"/>
        <v>T-4</v>
      </c>
      <c r="O1895">
        <f t="shared" si="88"/>
        <v>2025</v>
      </c>
      <c r="P1895" t="str">
        <f t="shared" si="89"/>
        <v>10. octubre</v>
      </c>
    </row>
    <row r="1896" spans="1:16" x14ac:dyDescent="0.35">
      <c r="A1896">
        <v>402077</v>
      </c>
      <c r="B1896" t="s">
        <v>5</v>
      </c>
      <c r="C1896" t="s">
        <v>138</v>
      </c>
      <c r="D1896" t="s">
        <v>171</v>
      </c>
      <c r="E1896" t="s">
        <v>669</v>
      </c>
      <c r="F1896" t="s">
        <v>187</v>
      </c>
      <c r="G1896" s="1">
        <v>45957</v>
      </c>
      <c r="H1896" s="1">
        <v>45958</v>
      </c>
      <c r="I1896" s="2">
        <v>228.75</v>
      </c>
      <c r="J1896" t="s">
        <v>776</v>
      </c>
      <c r="K1896" t="s">
        <v>783</v>
      </c>
      <c r="L1896" t="s">
        <v>823</v>
      </c>
      <c r="M1896" t="s">
        <v>828</v>
      </c>
      <c r="N1896" t="str">
        <f t="shared" si="87"/>
        <v>T-4</v>
      </c>
      <c r="O1896">
        <f t="shared" si="88"/>
        <v>2025</v>
      </c>
      <c r="P1896" t="str">
        <f t="shared" si="89"/>
        <v>10. octubre</v>
      </c>
    </row>
    <row r="1897" spans="1:16" x14ac:dyDescent="0.35">
      <c r="A1897">
        <v>567512</v>
      </c>
      <c r="B1897" t="s">
        <v>4</v>
      </c>
      <c r="C1897" t="s">
        <v>138</v>
      </c>
      <c r="D1897" t="s">
        <v>171</v>
      </c>
      <c r="E1897" t="s">
        <v>669</v>
      </c>
      <c r="F1897" t="s">
        <v>187</v>
      </c>
      <c r="G1897" s="1">
        <v>45957</v>
      </c>
      <c r="H1897" s="1">
        <v>45958</v>
      </c>
      <c r="I1897" s="2">
        <v>915</v>
      </c>
      <c r="J1897" t="s">
        <v>776</v>
      </c>
      <c r="K1897" t="s">
        <v>783</v>
      </c>
      <c r="L1897" t="s">
        <v>824</v>
      </c>
      <c r="M1897" t="s">
        <v>828</v>
      </c>
      <c r="N1897" t="str">
        <f t="shared" si="87"/>
        <v>T-4</v>
      </c>
      <c r="O1897">
        <f t="shared" si="88"/>
        <v>2025</v>
      </c>
      <c r="P1897" t="str">
        <f t="shared" si="89"/>
        <v>10. octubre</v>
      </c>
    </row>
    <row r="1898" spans="1:16" x14ac:dyDescent="0.35">
      <c r="A1898">
        <v>717944</v>
      </c>
      <c r="B1898" t="s">
        <v>14</v>
      </c>
      <c r="C1898" t="s">
        <v>138</v>
      </c>
      <c r="D1898" t="s">
        <v>171</v>
      </c>
      <c r="E1898" t="s">
        <v>669</v>
      </c>
      <c r="F1898" t="s">
        <v>187</v>
      </c>
      <c r="G1898" s="1">
        <v>45959</v>
      </c>
      <c r="H1898" s="1">
        <v>45960</v>
      </c>
      <c r="I1898" s="2">
        <v>240.79</v>
      </c>
      <c r="J1898" t="s">
        <v>776</v>
      </c>
      <c r="K1898" t="s">
        <v>783</v>
      </c>
      <c r="L1898" t="s">
        <v>823</v>
      </c>
      <c r="M1898" t="s">
        <v>830</v>
      </c>
      <c r="N1898" t="str">
        <f t="shared" si="87"/>
        <v>T-4</v>
      </c>
      <c r="O1898">
        <f t="shared" si="88"/>
        <v>2025</v>
      </c>
      <c r="P1898" t="str">
        <f t="shared" si="89"/>
        <v>10. octubre</v>
      </c>
    </row>
    <row r="1899" spans="1:16" x14ac:dyDescent="0.35">
      <c r="A1899">
        <v>469965</v>
      </c>
      <c r="B1899" t="s">
        <v>24</v>
      </c>
      <c r="C1899" t="s">
        <v>139</v>
      </c>
      <c r="D1899" t="s">
        <v>171</v>
      </c>
      <c r="E1899" t="s">
        <v>669</v>
      </c>
      <c r="F1899" t="s">
        <v>187</v>
      </c>
      <c r="G1899" s="1">
        <v>45959</v>
      </c>
      <c r="H1899" s="1">
        <v>45960</v>
      </c>
      <c r="I1899" s="2">
        <v>722.37</v>
      </c>
      <c r="J1899" t="s">
        <v>776</v>
      </c>
      <c r="K1899" t="s">
        <v>783</v>
      </c>
      <c r="L1899" t="s">
        <v>823</v>
      </c>
      <c r="M1899" t="s">
        <v>829</v>
      </c>
      <c r="N1899" t="str">
        <f t="shared" si="87"/>
        <v>T-4</v>
      </c>
      <c r="O1899">
        <f t="shared" si="88"/>
        <v>2025</v>
      </c>
      <c r="P1899" t="str">
        <f t="shared" si="89"/>
        <v>10. octubre</v>
      </c>
    </row>
    <row r="1900" spans="1:16" x14ac:dyDescent="0.35">
      <c r="A1900">
        <v>713509</v>
      </c>
      <c r="B1900" t="s">
        <v>4</v>
      </c>
      <c r="C1900" t="s">
        <v>138</v>
      </c>
      <c r="D1900" t="s">
        <v>195</v>
      </c>
      <c r="E1900" t="s">
        <v>654</v>
      </c>
      <c r="F1900" t="s">
        <v>187</v>
      </c>
      <c r="G1900" s="1">
        <v>45944</v>
      </c>
      <c r="H1900" s="1">
        <v>45944</v>
      </c>
      <c r="I1900" s="2">
        <v>209</v>
      </c>
      <c r="J1900" t="s">
        <v>777</v>
      </c>
      <c r="K1900" t="s">
        <v>783</v>
      </c>
      <c r="L1900" t="s">
        <v>823</v>
      </c>
      <c r="M1900" t="s">
        <v>830</v>
      </c>
      <c r="N1900" t="str">
        <f t="shared" si="87"/>
        <v>T-4</v>
      </c>
      <c r="O1900">
        <f t="shared" si="88"/>
        <v>2025</v>
      </c>
      <c r="P1900" t="str">
        <f t="shared" si="89"/>
        <v>10. octubre</v>
      </c>
    </row>
    <row r="1901" spans="1:16" x14ac:dyDescent="0.35">
      <c r="A1901">
        <v>406721</v>
      </c>
      <c r="B1901" t="s">
        <v>24</v>
      </c>
      <c r="C1901" t="s">
        <v>139</v>
      </c>
      <c r="D1901" t="s">
        <v>362</v>
      </c>
      <c r="E1901" t="s">
        <v>719</v>
      </c>
      <c r="F1901" t="s">
        <v>187</v>
      </c>
      <c r="G1901" s="1">
        <v>45918</v>
      </c>
      <c r="H1901" s="1">
        <v>45950</v>
      </c>
      <c r="I1901" s="2">
        <v>300</v>
      </c>
      <c r="J1901" t="s">
        <v>778</v>
      </c>
      <c r="K1901" t="s">
        <v>783</v>
      </c>
      <c r="L1901" t="s">
        <v>823</v>
      </c>
      <c r="M1901" t="s">
        <v>830</v>
      </c>
      <c r="N1901" t="str">
        <f t="shared" si="87"/>
        <v>T-3</v>
      </c>
      <c r="O1901">
        <f t="shared" si="88"/>
        <v>2025</v>
      </c>
      <c r="P1901" t="str">
        <f t="shared" si="89"/>
        <v>9. septiembre</v>
      </c>
    </row>
    <row r="1902" spans="1:16" x14ac:dyDescent="0.35">
      <c r="A1902">
        <v>701937</v>
      </c>
      <c r="B1902" t="s">
        <v>25</v>
      </c>
      <c r="C1902" t="s">
        <v>138</v>
      </c>
      <c r="D1902" t="s">
        <v>372</v>
      </c>
      <c r="E1902" t="s">
        <v>658</v>
      </c>
      <c r="F1902" t="s">
        <v>187</v>
      </c>
      <c r="G1902" s="1">
        <v>45961</v>
      </c>
      <c r="H1902" s="1">
        <v>45961</v>
      </c>
      <c r="I1902" s="2">
        <v>484</v>
      </c>
      <c r="J1902" t="s">
        <v>774</v>
      </c>
      <c r="K1902" t="s">
        <v>783</v>
      </c>
      <c r="L1902" t="s">
        <v>823</v>
      </c>
      <c r="M1902" t="s">
        <v>828</v>
      </c>
      <c r="N1902" t="str">
        <f t="shared" si="87"/>
        <v>T-4</v>
      </c>
      <c r="O1902">
        <f t="shared" si="88"/>
        <v>2025</v>
      </c>
      <c r="P1902" t="str">
        <f t="shared" si="89"/>
        <v>10. octubre</v>
      </c>
    </row>
    <row r="1903" spans="1:16" x14ac:dyDescent="0.35">
      <c r="A1903">
        <v>607865</v>
      </c>
      <c r="B1903" t="s">
        <v>13</v>
      </c>
      <c r="C1903" t="s">
        <v>136</v>
      </c>
      <c r="D1903" t="s">
        <v>372</v>
      </c>
      <c r="E1903" t="s">
        <v>658</v>
      </c>
      <c r="F1903" t="s">
        <v>187</v>
      </c>
      <c r="G1903" s="1">
        <v>45961</v>
      </c>
      <c r="H1903" s="1">
        <v>45961</v>
      </c>
      <c r="I1903" s="2">
        <v>484</v>
      </c>
      <c r="J1903" t="s">
        <v>776</v>
      </c>
      <c r="K1903" t="s">
        <v>783</v>
      </c>
      <c r="L1903" t="s">
        <v>823</v>
      </c>
      <c r="M1903" t="s">
        <v>828</v>
      </c>
      <c r="N1903" t="str">
        <f t="shared" si="87"/>
        <v>T-4</v>
      </c>
      <c r="O1903">
        <f t="shared" si="88"/>
        <v>2025</v>
      </c>
      <c r="P1903" t="str">
        <f t="shared" si="89"/>
        <v>10. octubre</v>
      </c>
    </row>
    <row r="1904" spans="1:16" x14ac:dyDescent="0.35">
      <c r="A1904">
        <v>711839</v>
      </c>
      <c r="B1904" t="s">
        <v>30</v>
      </c>
      <c r="C1904" t="s">
        <v>138</v>
      </c>
      <c r="D1904" t="s">
        <v>372</v>
      </c>
      <c r="E1904" t="s">
        <v>658</v>
      </c>
      <c r="F1904" t="s">
        <v>187</v>
      </c>
      <c r="G1904" s="1">
        <v>45961</v>
      </c>
      <c r="H1904" s="1">
        <v>45961</v>
      </c>
      <c r="I1904" s="2">
        <v>4840</v>
      </c>
      <c r="J1904" t="s">
        <v>776</v>
      </c>
      <c r="K1904" t="s">
        <v>783</v>
      </c>
      <c r="L1904" t="s">
        <v>824</v>
      </c>
      <c r="M1904" t="s">
        <v>829</v>
      </c>
      <c r="N1904" t="str">
        <f t="shared" si="87"/>
        <v>T-4</v>
      </c>
      <c r="O1904">
        <f t="shared" si="88"/>
        <v>2025</v>
      </c>
      <c r="P1904" t="str">
        <f t="shared" si="89"/>
        <v>10. octubre</v>
      </c>
    </row>
    <row r="1905" spans="1:16" x14ac:dyDescent="0.35">
      <c r="A1905">
        <v>406065</v>
      </c>
      <c r="B1905" t="s">
        <v>30</v>
      </c>
      <c r="C1905" t="s">
        <v>138</v>
      </c>
      <c r="D1905" t="s">
        <v>627</v>
      </c>
      <c r="E1905" t="s">
        <v>647</v>
      </c>
      <c r="F1905" t="s">
        <v>187</v>
      </c>
      <c r="G1905" s="1">
        <v>45966</v>
      </c>
      <c r="H1905" s="1">
        <v>45966</v>
      </c>
      <c r="I1905" s="2">
        <v>3275</v>
      </c>
      <c r="J1905" t="s">
        <v>776</v>
      </c>
      <c r="K1905" t="s">
        <v>783</v>
      </c>
      <c r="L1905" t="s">
        <v>823</v>
      </c>
      <c r="M1905" t="s">
        <v>830</v>
      </c>
      <c r="N1905" t="str">
        <f t="shared" si="87"/>
        <v>T-4</v>
      </c>
      <c r="O1905">
        <f t="shared" si="88"/>
        <v>2025</v>
      </c>
      <c r="P1905" t="str">
        <f t="shared" si="89"/>
        <v>11. noviembre</v>
      </c>
    </row>
    <row r="1906" spans="1:16" x14ac:dyDescent="0.35">
      <c r="A1906">
        <v>752058</v>
      </c>
      <c r="B1906" t="s">
        <v>31</v>
      </c>
      <c r="C1906" t="s">
        <v>137</v>
      </c>
      <c r="D1906" t="s">
        <v>628</v>
      </c>
      <c r="E1906" t="s">
        <v>647</v>
      </c>
      <c r="F1906" t="s">
        <v>187</v>
      </c>
      <c r="G1906" s="1">
        <v>45957</v>
      </c>
      <c r="H1906" s="1">
        <v>45960</v>
      </c>
      <c r="I1906" s="2">
        <v>2430</v>
      </c>
      <c r="J1906" t="s">
        <v>774</v>
      </c>
      <c r="K1906" t="s">
        <v>783</v>
      </c>
      <c r="L1906" t="s">
        <v>823</v>
      </c>
      <c r="M1906" t="s">
        <v>830</v>
      </c>
      <c r="N1906" t="str">
        <f t="shared" si="87"/>
        <v>T-4</v>
      </c>
      <c r="O1906">
        <f t="shared" si="88"/>
        <v>2025</v>
      </c>
      <c r="P1906" t="str">
        <f t="shared" si="89"/>
        <v>10. octubre</v>
      </c>
    </row>
    <row r="1907" spans="1:16" x14ac:dyDescent="0.35">
      <c r="A1907">
        <v>706267</v>
      </c>
      <c r="B1907" t="s">
        <v>6</v>
      </c>
      <c r="C1907" t="s">
        <v>138</v>
      </c>
      <c r="D1907" t="s">
        <v>628</v>
      </c>
      <c r="E1907" t="s">
        <v>647</v>
      </c>
      <c r="F1907" t="s">
        <v>187</v>
      </c>
      <c r="G1907" s="1">
        <v>45957</v>
      </c>
      <c r="H1907" s="1">
        <v>45960</v>
      </c>
      <c r="I1907" s="2">
        <v>810</v>
      </c>
      <c r="J1907" t="s">
        <v>776</v>
      </c>
      <c r="K1907" t="s">
        <v>783</v>
      </c>
      <c r="L1907" t="s">
        <v>823</v>
      </c>
      <c r="M1907" t="s">
        <v>828</v>
      </c>
      <c r="N1907" t="str">
        <f t="shared" si="87"/>
        <v>T-4</v>
      </c>
      <c r="O1907">
        <f t="shared" si="88"/>
        <v>2025</v>
      </c>
      <c r="P1907" t="str">
        <f t="shared" si="89"/>
        <v>10. octubre</v>
      </c>
    </row>
    <row r="1908" spans="1:16" x14ac:dyDescent="0.35">
      <c r="A1908">
        <v>432219</v>
      </c>
      <c r="B1908" t="s">
        <v>30</v>
      </c>
      <c r="C1908" t="s">
        <v>138</v>
      </c>
      <c r="D1908" t="s">
        <v>538</v>
      </c>
      <c r="E1908" t="s">
        <v>752</v>
      </c>
      <c r="F1908" t="s">
        <v>187</v>
      </c>
      <c r="G1908" s="1">
        <v>45965</v>
      </c>
      <c r="H1908" s="1">
        <v>45965</v>
      </c>
      <c r="I1908" s="2">
        <v>600</v>
      </c>
      <c r="J1908" t="s">
        <v>779</v>
      </c>
      <c r="K1908" t="s">
        <v>783</v>
      </c>
      <c r="L1908" t="s">
        <v>823</v>
      </c>
      <c r="M1908" t="s">
        <v>830</v>
      </c>
      <c r="N1908" t="str">
        <f t="shared" si="87"/>
        <v>T-4</v>
      </c>
      <c r="O1908">
        <f t="shared" si="88"/>
        <v>2025</v>
      </c>
      <c r="P1908" t="str">
        <f t="shared" si="89"/>
        <v>11. noviembre</v>
      </c>
    </row>
    <row r="1909" spans="1:16" x14ac:dyDescent="0.35">
      <c r="A1909">
        <v>704017</v>
      </c>
      <c r="B1909" t="s">
        <v>4</v>
      </c>
      <c r="C1909" t="s">
        <v>137</v>
      </c>
      <c r="D1909" t="s">
        <v>538</v>
      </c>
      <c r="E1909" t="s">
        <v>752</v>
      </c>
      <c r="F1909" t="s">
        <v>187</v>
      </c>
      <c r="G1909" s="1">
        <v>45966</v>
      </c>
      <c r="H1909" s="1">
        <v>45966</v>
      </c>
      <c r="I1909" s="2">
        <v>540</v>
      </c>
      <c r="J1909" t="s">
        <v>779</v>
      </c>
      <c r="K1909" t="s">
        <v>783</v>
      </c>
      <c r="L1909" t="s">
        <v>823</v>
      </c>
      <c r="M1909" t="s">
        <v>829</v>
      </c>
      <c r="N1909" t="str">
        <f t="shared" si="87"/>
        <v>T-4</v>
      </c>
      <c r="O1909">
        <f t="shared" si="88"/>
        <v>2025</v>
      </c>
      <c r="P1909" t="str">
        <f t="shared" si="89"/>
        <v>11. noviembre</v>
      </c>
    </row>
    <row r="1910" spans="1:16" x14ac:dyDescent="0.35">
      <c r="A1910">
        <v>722560</v>
      </c>
      <c r="B1910" t="s">
        <v>34</v>
      </c>
      <c r="C1910" t="s">
        <v>138</v>
      </c>
      <c r="D1910" t="s">
        <v>621</v>
      </c>
      <c r="E1910" t="s">
        <v>660</v>
      </c>
      <c r="F1910" t="s">
        <v>187</v>
      </c>
      <c r="G1910" s="1">
        <v>45954</v>
      </c>
      <c r="H1910" s="1">
        <v>45964</v>
      </c>
      <c r="I1910" s="2">
        <v>208</v>
      </c>
      <c r="J1910" t="s">
        <v>776</v>
      </c>
      <c r="K1910" t="s">
        <v>783</v>
      </c>
      <c r="L1910" t="s">
        <v>823</v>
      </c>
      <c r="M1910" t="s">
        <v>830</v>
      </c>
      <c r="N1910" t="str">
        <f t="shared" si="87"/>
        <v>T-4</v>
      </c>
      <c r="O1910">
        <f t="shared" si="88"/>
        <v>2025</v>
      </c>
      <c r="P1910" t="str">
        <f t="shared" si="89"/>
        <v>10. octubre</v>
      </c>
    </row>
    <row r="1911" spans="1:16" x14ac:dyDescent="0.35">
      <c r="A1911">
        <v>255488</v>
      </c>
      <c r="B1911" t="s">
        <v>13</v>
      </c>
      <c r="C1911" t="s">
        <v>138</v>
      </c>
      <c r="D1911" t="s">
        <v>629</v>
      </c>
      <c r="E1911" t="s">
        <v>766</v>
      </c>
      <c r="F1911" t="s">
        <v>773</v>
      </c>
      <c r="G1911" s="1">
        <v>45971</v>
      </c>
      <c r="H1911" s="1">
        <v>45982</v>
      </c>
      <c r="I1911" s="2">
        <v>3600</v>
      </c>
      <c r="J1911" t="s">
        <v>776</v>
      </c>
      <c r="K1911" t="s">
        <v>783</v>
      </c>
      <c r="L1911" t="s">
        <v>823</v>
      </c>
      <c r="M1911" t="s">
        <v>830</v>
      </c>
      <c r="N1911" t="str">
        <f t="shared" si="87"/>
        <v>T-4</v>
      </c>
      <c r="O1911">
        <f t="shared" si="88"/>
        <v>2025</v>
      </c>
      <c r="P1911" t="str">
        <f t="shared" si="89"/>
        <v>11. noviembre</v>
      </c>
    </row>
    <row r="1912" spans="1:16" x14ac:dyDescent="0.35">
      <c r="A1912">
        <v>255058</v>
      </c>
      <c r="B1912" t="s">
        <v>13</v>
      </c>
      <c r="C1912" t="s">
        <v>138</v>
      </c>
      <c r="D1912" t="s">
        <v>630</v>
      </c>
      <c r="E1912" t="s">
        <v>658</v>
      </c>
      <c r="F1912" t="s">
        <v>773</v>
      </c>
      <c r="G1912" s="1">
        <v>45972</v>
      </c>
      <c r="H1912" s="1">
        <v>46013</v>
      </c>
      <c r="I1912" s="2">
        <v>1318</v>
      </c>
      <c r="J1912" t="s">
        <v>774</v>
      </c>
      <c r="K1912" t="s">
        <v>783</v>
      </c>
      <c r="L1912" t="s">
        <v>824</v>
      </c>
      <c r="M1912" t="s">
        <v>828</v>
      </c>
      <c r="N1912" t="str">
        <f t="shared" si="87"/>
        <v>T-4</v>
      </c>
      <c r="O1912">
        <f t="shared" si="88"/>
        <v>2025</v>
      </c>
      <c r="P1912" t="str">
        <f t="shared" si="89"/>
        <v>11. noviembre</v>
      </c>
    </row>
    <row r="1913" spans="1:16" x14ac:dyDescent="0.35">
      <c r="A1913">
        <v>721089</v>
      </c>
      <c r="B1913" t="s">
        <v>62</v>
      </c>
      <c r="C1913" t="s">
        <v>139</v>
      </c>
      <c r="D1913" t="s">
        <v>393</v>
      </c>
      <c r="E1913" t="s">
        <v>660</v>
      </c>
      <c r="F1913" t="s">
        <v>187</v>
      </c>
      <c r="G1913" s="1">
        <v>45957</v>
      </c>
      <c r="H1913" s="1">
        <v>45964</v>
      </c>
      <c r="I1913" s="2">
        <v>390</v>
      </c>
      <c r="J1913" t="s">
        <v>776</v>
      </c>
      <c r="K1913" t="s">
        <v>783</v>
      </c>
      <c r="L1913" t="s">
        <v>823</v>
      </c>
      <c r="M1913" t="s">
        <v>828</v>
      </c>
      <c r="N1913" t="str">
        <f t="shared" si="87"/>
        <v>T-4</v>
      </c>
      <c r="O1913">
        <f t="shared" si="88"/>
        <v>2025</v>
      </c>
      <c r="P1913" t="str">
        <f t="shared" si="89"/>
        <v>10. octubre</v>
      </c>
    </row>
    <row r="1914" spans="1:16" x14ac:dyDescent="0.35">
      <c r="A1914">
        <v>704390</v>
      </c>
      <c r="B1914" t="s">
        <v>66</v>
      </c>
      <c r="C1914" t="s">
        <v>138</v>
      </c>
      <c r="D1914" t="s">
        <v>631</v>
      </c>
      <c r="E1914" t="s">
        <v>660</v>
      </c>
      <c r="F1914" t="s">
        <v>187</v>
      </c>
      <c r="G1914" s="1">
        <v>45957</v>
      </c>
      <c r="H1914" s="1">
        <v>45961</v>
      </c>
      <c r="I1914" s="2">
        <v>1040</v>
      </c>
      <c r="J1914" t="s">
        <v>776</v>
      </c>
      <c r="K1914" t="s">
        <v>783</v>
      </c>
      <c r="L1914" t="s">
        <v>823</v>
      </c>
      <c r="M1914" t="s">
        <v>830</v>
      </c>
      <c r="N1914" t="str">
        <f t="shared" si="87"/>
        <v>T-4</v>
      </c>
      <c r="O1914">
        <f t="shared" si="88"/>
        <v>2025</v>
      </c>
      <c r="P1914" t="str">
        <f t="shared" si="89"/>
        <v>10. octubre</v>
      </c>
    </row>
    <row r="1915" spans="1:16" x14ac:dyDescent="0.35">
      <c r="A1915">
        <v>480476</v>
      </c>
      <c r="B1915" t="s">
        <v>33</v>
      </c>
      <c r="C1915" t="s">
        <v>136</v>
      </c>
      <c r="D1915" t="s">
        <v>393</v>
      </c>
      <c r="E1915" t="s">
        <v>660</v>
      </c>
      <c r="F1915" t="s">
        <v>187</v>
      </c>
      <c r="G1915" s="1">
        <v>45957</v>
      </c>
      <c r="H1915" s="1">
        <v>45964</v>
      </c>
      <c r="I1915" s="2">
        <v>3900</v>
      </c>
      <c r="J1915" t="s">
        <v>776</v>
      </c>
      <c r="K1915" t="s">
        <v>783</v>
      </c>
      <c r="L1915" t="s">
        <v>823</v>
      </c>
      <c r="M1915" t="s">
        <v>829</v>
      </c>
      <c r="N1915" t="str">
        <f t="shared" si="87"/>
        <v>T-4</v>
      </c>
      <c r="O1915">
        <f t="shared" si="88"/>
        <v>2025</v>
      </c>
      <c r="P1915" t="str">
        <f t="shared" si="89"/>
        <v>10. octubre</v>
      </c>
    </row>
    <row r="1916" spans="1:16" x14ac:dyDescent="0.35">
      <c r="A1916">
        <v>487147</v>
      </c>
      <c r="B1916" t="s">
        <v>39</v>
      </c>
      <c r="C1916" t="s">
        <v>138</v>
      </c>
      <c r="D1916" t="s">
        <v>631</v>
      </c>
      <c r="E1916" t="s">
        <v>660</v>
      </c>
      <c r="F1916" t="s">
        <v>187</v>
      </c>
      <c r="G1916" s="1">
        <v>45957</v>
      </c>
      <c r="H1916" s="1">
        <v>45961</v>
      </c>
      <c r="I1916" s="2">
        <v>260</v>
      </c>
      <c r="J1916" t="s">
        <v>776</v>
      </c>
      <c r="K1916" t="s">
        <v>783</v>
      </c>
      <c r="L1916" t="s">
        <v>823</v>
      </c>
      <c r="M1916" t="s">
        <v>830</v>
      </c>
      <c r="N1916" t="str">
        <f t="shared" si="87"/>
        <v>T-4</v>
      </c>
      <c r="O1916">
        <f t="shared" si="88"/>
        <v>2025</v>
      </c>
      <c r="P1916" t="str">
        <f t="shared" si="89"/>
        <v>10. octubre</v>
      </c>
    </row>
    <row r="1917" spans="1:16" x14ac:dyDescent="0.35">
      <c r="A1917">
        <v>711687</v>
      </c>
      <c r="B1917" t="s">
        <v>39</v>
      </c>
      <c r="C1917" t="s">
        <v>138</v>
      </c>
      <c r="D1917" t="s">
        <v>393</v>
      </c>
      <c r="E1917" t="s">
        <v>660</v>
      </c>
      <c r="F1917" t="s">
        <v>187</v>
      </c>
      <c r="G1917" s="1">
        <v>45957</v>
      </c>
      <c r="H1917" s="1">
        <v>45964</v>
      </c>
      <c r="I1917" s="2">
        <v>4217.78</v>
      </c>
      <c r="J1917" t="s">
        <v>776</v>
      </c>
      <c r="K1917" t="s">
        <v>783</v>
      </c>
      <c r="L1917" t="s">
        <v>823</v>
      </c>
      <c r="M1917" t="s">
        <v>830</v>
      </c>
      <c r="N1917" t="str">
        <f t="shared" si="87"/>
        <v>T-4</v>
      </c>
      <c r="O1917">
        <f t="shared" si="88"/>
        <v>2025</v>
      </c>
      <c r="P1917" t="str">
        <f t="shared" si="89"/>
        <v>10. octubre</v>
      </c>
    </row>
    <row r="1918" spans="1:16" x14ac:dyDescent="0.35">
      <c r="A1918">
        <v>712805</v>
      </c>
      <c r="B1918" t="s">
        <v>39</v>
      </c>
      <c r="C1918" t="s">
        <v>138</v>
      </c>
      <c r="D1918" t="s">
        <v>631</v>
      </c>
      <c r="E1918" t="s">
        <v>660</v>
      </c>
      <c r="F1918" t="s">
        <v>187</v>
      </c>
      <c r="G1918" s="1">
        <v>45957</v>
      </c>
      <c r="H1918" s="1">
        <v>45961</v>
      </c>
      <c r="I1918" s="2">
        <v>1560</v>
      </c>
      <c r="J1918" t="s">
        <v>776</v>
      </c>
      <c r="K1918" t="s">
        <v>783</v>
      </c>
      <c r="L1918" t="s">
        <v>824</v>
      </c>
      <c r="M1918" t="s">
        <v>828</v>
      </c>
      <c r="N1918" t="str">
        <f t="shared" si="87"/>
        <v>T-4</v>
      </c>
      <c r="O1918">
        <f t="shared" si="88"/>
        <v>2025</v>
      </c>
      <c r="P1918" t="str">
        <f t="shared" si="89"/>
        <v>10. octubre</v>
      </c>
    </row>
    <row r="1919" spans="1:16" x14ac:dyDescent="0.35">
      <c r="A1919">
        <v>360102</v>
      </c>
      <c r="B1919" t="s">
        <v>69</v>
      </c>
      <c r="C1919" t="s">
        <v>138</v>
      </c>
      <c r="D1919" t="s">
        <v>393</v>
      </c>
      <c r="E1919" t="s">
        <v>660</v>
      </c>
      <c r="F1919" t="s">
        <v>187</v>
      </c>
      <c r="G1919" s="1">
        <v>45957</v>
      </c>
      <c r="H1919" s="1">
        <v>45964</v>
      </c>
      <c r="I1919" s="2">
        <v>2340</v>
      </c>
      <c r="J1919" t="s">
        <v>776</v>
      </c>
      <c r="K1919" t="s">
        <v>783</v>
      </c>
      <c r="L1919" t="s">
        <v>823</v>
      </c>
      <c r="M1919" t="s">
        <v>828</v>
      </c>
      <c r="N1919" t="str">
        <f t="shared" si="87"/>
        <v>T-4</v>
      </c>
      <c r="O1919">
        <f t="shared" si="88"/>
        <v>2025</v>
      </c>
      <c r="P1919" t="str">
        <f t="shared" si="89"/>
        <v>10. octubre</v>
      </c>
    </row>
    <row r="1920" spans="1:16" x14ac:dyDescent="0.35">
      <c r="A1920">
        <v>710150</v>
      </c>
      <c r="B1920" t="s">
        <v>62</v>
      </c>
      <c r="C1920" t="s">
        <v>138</v>
      </c>
      <c r="D1920" t="s">
        <v>631</v>
      </c>
      <c r="E1920" t="s">
        <v>660</v>
      </c>
      <c r="F1920" t="s">
        <v>187</v>
      </c>
      <c r="G1920" s="1">
        <v>45957</v>
      </c>
      <c r="H1920" s="1">
        <v>45961</v>
      </c>
      <c r="I1920" s="2">
        <v>1560</v>
      </c>
      <c r="J1920" t="s">
        <v>776</v>
      </c>
      <c r="K1920" t="s">
        <v>783</v>
      </c>
      <c r="L1920" t="s">
        <v>823</v>
      </c>
      <c r="M1920" t="s">
        <v>829</v>
      </c>
      <c r="N1920" t="str">
        <f t="shared" si="87"/>
        <v>T-4</v>
      </c>
      <c r="O1920">
        <f t="shared" si="88"/>
        <v>2025</v>
      </c>
      <c r="P1920" t="str">
        <f t="shared" si="89"/>
        <v>10. octubre</v>
      </c>
    </row>
    <row r="1921" spans="1:16" x14ac:dyDescent="0.35">
      <c r="A1921">
        <v>412938</v>
      </c>
      <c r="B1921" t="s">
        <v>30</v>
      </c>
      <c r="C1921" t="s">
        <v>138</v>
      </c>
      <c r="D1921" t="s">
        <v>505</v>
      </c>
      <c r="E1921" t="s">
        <v>660</v>
      </c>
      <c r="F1921" t="s">
        <v>187</v>
      </c>
      <c r="G1921" s="1">
        <v>45964</v>
      </c>
      <c r="H1921" s="1">
        <v>45964</v>
      </c>
      <c r="I1921" s="2">
        <v>1092</v>
      </c>
      <c r="J1921" t="s">
        <v>776</v>
      </c>
      <c r="K1921" t="s">
        <v>783</v>
      </c>
      <c r="L1921" t="s">
        <v>823</v>
      </c>
      <c r="M1921" t="s">
        <v>830</v>
      </c>
      <c r="N1921" t="str">
        <f t="shared" si="87"/>
        <v>T-4</v>
      </c>
      <c r="O1921">
        <f t="shared" si="88"/>
        <v>2025</v>
      </c>
      <c r="P1921" t="str">
        <f t="shared" si="89"/>
        <v>11. noviembre</v>
      </c>
    </row>
    <row r="1922" spans="1:16" x14ac:dyDescent="0.35">
      <c r="A1922">
        <v>721601</v>
      </c>
      <c r="B1922" t="s">
        <v>135</v>
      </c>
      <c r="C1922" t="s">
        <v>138</v>
      </c>
      <c r="D1922" t="s">
        <v>171</v>
      </c>
      <c r="E1922" t="s">
        <v>669</v>
      </c>
      <c r="F1922" t="s">
        <v>187</v>
      </c>
      <c r="G1922" s="1">
        <v>45965</v>
      </c>
      <c r="H1922" s="1">
        <v>45966</v>
      </c>
      <c r="I1922" s="2">
        <v>217.86</v>
      </c>
      <c r="J1922" t="s">
        <v>776</v>
      </c>
      <c r="K1922" t="s">
        <v>783</v>
      </c>
      <c r="L1922" t="s">
        <v>823</v>
      </c>
      <c r="M1922" t="s">
        <v>830</v>
      </c>
      <c r="N1922" t="str">
        <f t="shared" si="87"/>
        <v>T-4</v>
      </c>
      <c r="O1922">
        <f t="shared" si="88"/>
        <v>2025</v>
      </c>
      <c r="P1922" t="str">
        <f t="shared" si="89"/>
        <v>11. noviembre</v>
      </c>
    </row>
    <row r="1923" spans="1:16" x14ac:dyDescent="0.35">
      <c r="A1923">
        <v>360103</v>
      </c>
      <c r="B1923" t="s">
        <v>30</v>
      </c>
      <c r="C1923" t="s">
        <v>138</v>
      </c>
      <c r="D1923" t="s">
        <v>171</v>
      </c>
      <c r="E1923" t="s">
        <v>669</v>
      </c>
      <c r="F1923" t="s">
        <v>187</v>
      </c>
      <c r="G1923" s="1">
        <v>45965</v>
      </c>
      <c r="H1923" s="1">
        <v>45966</v>
      </c>
      <c r="I1923" s="2">
        <v>290.48</v>
      </c>
      <c r="J1923" t="s">
        <v>776</v>
      </c>
      <c r="K1923" t="s">
        <v>783</v>
      </c>
      <c r="L1923" t="s">
        <v>823</v>
      </c>
      <c r="M1923" t="s">
        <v>828</v>
      </c>
      <c r="N1923" t="str">
        <f t="shared" ref="N1923:N1986" si="90">"T-" &amp; ROUNDUP((MONTH(G1923)/3), 0)</f>
        <v>T-4</v>
      </c>
      <c r="O1923">
        <f t="shared" ref="O1923:O1986" si="91">YEAR(G1923)</f>
        <v>2025</v>
      </c>
      <c r="P1923" t="str">
        <f t="shared" ref="P1923:P1986" si="92">MONTH(G1923) &amp; ". " &amp; TEXT(G1923, "MMMM")</f>
        <v>11. noviembre</v>
      </c>
    </row>
    <row r="1924" spans="1:16" x14ac:dyDescent="0.35">
      <c r="A1924">
        <v>716968</v>
      </c>
      <c r="B1924" t="s">
        <v>28</v>
      </c>
      <c r="C1924" t="s">
        <v>138</v>
      </c>
      <c r="D1924" t="s">
        <v>171</v>
      </c>
      <c r="E1924" t="s">
        <v>669</v>
      </c>
      <c r="F1924" t="s">
        <v>187</v>
      </c>
      <c r="G1924" s="1">
        <v>45965</v>
      </c>
      <c r="H1924" s="1">
        <v>45966</v>
      </c>
      <c r="I1924" s="2">
        <v>726.19</v>
      </c>
      <c r="J1924" t="s">
        <v>776</v>
      </c>
      <c r="K1924" t="s">
        <v>783</v>
      </c>
      <c r="L1924" t="s">
        <v>823</v>
      </c>
      <c r="M1924" t="s">
        <v>830</v>
      </c>
      <c r="N1924" t="str">
        <f t="shared" si="90"/>
        <v>T-4</v>
      </c>
      <c r="O1924">
        <f t="shared" si="91"/>
        <v>2025</v>
      </c>
      <c r="P1924" t="str">
        <f t="shared" si="92"/>
        <v>11. noviembre</v>
      </c>
    </row>
    <row r="1925" spans="1:16" x14ac:dyDescent="0.35">
      <c r="A1925">
        <v>391645</v>
      </c>
      <c r="B1925" t="s">
        <v>13</v>
      </c>
      <c r="C1925" t="s">
        <v>138</v>
      </c>
      <c r="D1925" t="s">
        <v>171</v>
      </c>
      <c r="E1925" t="s">
        <v>669</v>
      </c>
      <c r="F1925" t="s">
        <v>187</v>
      </c>
      <c r="G1925" s="1">
        <v>45965</v>
      </c>
      <c r="H1925" s="1">
        <v>45966</v>
      </c>
      <c r="I1925" s="2">
        <v>217.86</v>
      </c>
      <c r="J1925" t="s">
        <v>776</v>
      </c>
      <c r="K1925" t="s">
        <v>783</v>
      </c>
      <c r="L1925" t="s">
        <v>824</v>
      </c>
      <c r="M1925" t="s">
        <v>829</v>
      </c>
      <c r="N1925" t="str">
        <f t="shared" si="90"/>
        <v>T-4</v>
      </c>
      <c r="O1925">
        <f t="shared" si="91"/>
        <v>2025</v>
      </c>
      <c r="P1925" t="str">
        <f t="shared" si="92"/>
        <v>11. noviembre</v>
      </c>
    </row>
    <row r="1926" spans="1:16" x14ac:dyDescent="0.35">
      <c r="A1926">
        <v>712637</v>
      </c>
      <c r="B1926" t="s">
        <v>22</v>
      </c>
      <c r="C1926" t="s">
        <v>138</v>
      </c>
      <c r="D1926" t="s">
        <v>605</v>
      </c>
      <c r="E1926" t="s">
        <v>753</v>
      </c>
      <c r="F1926" t="s">
        <v>187</v>
      </c>
      <c r="G1926" s="1">
        <v>45966</v>
      </c>
      <c r="H1926" s="1">
        <v>45967</v>
      </c>
      <c r="I1926" s="2">
        <v>716</v>
      </c>
      <c r="J1926" t="s">
        <v>776</v>
      </c>
      <c r="K1926" t="s">
        <v>783</v>
      </c>
      <c r="L1926" t="s">
        <v>823</v>
      </c>
      <c r="M1926" t="s">
        <v>830</v>
      </c>
      <c r="N1926" t="str">
        <f t="shared" si="90"/>
        <v>T-4</v>
      </c>
      <c r="O1926">
        <f t="shared" si="91"/>
        <v>2025</v>
      </c>
      <c r="P1926" t="str">
        <f t="shared" si="92"/>
        <v>11. noviembre</v>
      </c>
    </row>
    <row r="1927" spans="1:16" x14ac:dyDescent="0.35">
      <c r="A1927">
        <v>561494</v>
      </c>
      <c r="B1927" t="s">
        <v>30</v>
      </c>
      <c r="C1927" t="s">
        <v>138</v>
      </c>
      <c r="D1927" t="s">
        <v>605</v>
      </c>
      <c r="E1927" t="s">
        <v>753</v>
      </c>
      <c r="F1927" t="s">
        <v>187</v>
      </c>
      <c r="G1927" s="1">
        <v>45966</v>
      </c>
      <c r="H1927" s="1">
        <v>45967</v>
      </c>
      <c r="I1927" s="2">
        <v>568</v>
      </c>
      <c r="J1927" t="s">
        <v>776</v>
      </c>
      <c r="K1927" t="s">
        <v>783</v>
      </c>
      <c r="L1927" t="s">
        <v>823</v>
      </c>
      <c r="M1927" t="s">
        <v>830</v>
      </c>
      <c r="N1927" t="str">
        <f t="shared" si="90"/>
        <v>T-4</v>
      </c>
      <c r="O1927">
        <f t="shared" si="91"/>
        <v>2025</v>
      </c>
      <c r="P1927" t="str">
        <f t="shared" si="92"/>
        <v>11. noviembre</v>
      </c>
    </row>
    <row r="1928" spans="1:16" x14ac:dyDescent="0.35">
      <c r="A1928">
        <v>750075</v>
      </c>
      <c r="B1928" t="s">
        <v>31</v>
      </c>
      <c r="C1928" t="s">
        <v>138</v>
      </c>
      <c r="D1928" t="s">
        <v>632</v>
      </c>
      <c r="E1928" t="s">
        <v>767</v>
      </c>
      <c r="F1928" t="s">
        <v>773</v>
      </c>
      <c r="G1928" s="1">
        <v>45978</v>
      </c>
      <c r="H1928" s="1">
        <v>45985</v>
      </c>
      <c r="I1928" s="2">
        <v>3360</v>
      </c>
      <c r="J1928" t="s">
        <v>779</v>
      </c>
      <c r="K1928" t="s">
        <v>783</v>
      </c>
      <c r="L1928" t="s">
        <v>823</v>
      </c>
      <c r="M1928" t="s">
        <v>828</v>
      </c>
      <c r="N1928" t="str">
        <f t="shared" si="90"/>
        <v>T-4</v>
      </c>
      <c r="O1928">
        <f t="shared" si="91"/>
        <v>2025</v>
      </c>
      <c r="P1928" t="str">
        <f t="shared" si="92"/>
        <v>11. noviembre</v>
      </c>
    </row>
    <row r="1929" spans="1:16" x14ac:dyDescent="0.35">
      <c r="A1929">
        <v>481561</v>
      </c>
      <c r="B1929" t="s">
        <v>27</v>
      </c>
      <c r="C1929" t="s">
        <v>139</v>
      </c>
      <c r="D1929" t="s">
        <v>633</v>
      </c>
      <c r="E1929" t="s">
        <v>675</v>
      </c>
      <c r="F1929" t="s">
        <v>773</v>
      </c>
      <c r="G1929" s="1">
        <v>45974</v>
      </c>
      <c r="H1929" s="1">
        <v>45988</v>
      </c>
      <c r="I1929" s="2">
        <v>1560</v>
      </c>
      <c r="J1929" t="s">
        <v>778</v>
      </c>
      <c r="K1929" t="s">
        <v>783</v>
      </c>
      <c r="L1929" t="s">
        <v>823</v>
      </c>
      <c r="M1929" t="s">
        <v>828</v>
      </c>
      <c r="N1929" t="str">
        <f t="shared" si="90"/>
        <v>T-4</v>
      </c>
      <c r="O1929">
        <f t="shared" si="91"/>
        <v>2025</v>
      </c>
      <c r="P1929" t="str">
        <f t="shared" si="92"/>
        <v>11. noviembre</v>
      </c>
    </row>
    <row r="1930" spans="1:16" x14ac:dyDescent="0.35">
      <c r="A1930">
        <v>488213</v>
      </c>
      <c r="B1930" t="s">
        <v>4</v>
      </c>
      <c r="C1930" t="s">
        <v>138</v>
      </c>
      <c r="D1930" t="s">
        <v>311</v>
      </c>
      <c r="E1930" t="s">
        <v>675</v>
      </c>
      <c r="F1930" t="s">
        <v>187</v>
      </c>
      <c r="G1930" s="1">
        <v>45938</v>
      </c>
      <c r="H1930" s="1">
        <v>45945</v>
      </c>
      <c r="I1930" s="2">
        <v>842.4</v>
      </c>
      <c r="J1930" t="s">
        <v>779</v>
      </c>
      <c r="K1930" t="s">
        <v>783</v>
      </c>
      <c r="L1930" t="s">
        <v>823</v>
      </c>
      <c r="M1930" t="s">
        <v>830</v>
      </c>
      <c r="N1930" t="str">
        <f t="shared" si="90"/>
        <v>T-4</v>
      </c>
      <c r="O1930">
        <f t="shared" si="91"/>
        <v>2025</v>
      </c>
      <c r="P1930" t="str">
        <f t="shared" si="92"/>
        <v>10. octubre</v>
      </c>
    </row>
    <row r="1931" spans="1:16" x14ac:dyDescent="0.35">
      <c r="A1931">
        <v>610628</v>
      </c>
      <c r="B1931" t="s">
        <v>13</v>
      </c>
      <c r="C1931" t="s">
        <v>136</v>
      </c>
      <c r="D1931" t="s">
        <v>311</v>
      </c>
      <c r="E1931" t="s">
        <v>675</v>
      </c>
      <c r="F1931" t="s">
        <v>187</v>
      </c>
      <c r="G1931" s="1">
        <v>45944</v>
      </c>
      <c r="H1931" s="1">
        <v>45951</v>
      </c>
      <c r="I1931" s="2">
        <v>1723.1</v>
      </c>
      <c r="J1931" t="s">
        <v>779</v>
      </c>
      <c r="K1931" t="s">
        <v>783</v>
      </c>
      <c r="L1931" t="s">
        <v>823</v>
      </c>
      <c r="M1931" t="s">
        <v>829</v>
      </c>
      <c r="N1931" t="str">
        <f t="shared" si="90"/>
        <v>T-4</v>
      </c>
      <c r="O1931">
        <f t="shared" si="91"/>
        <v>2025</v>
      </c>
      <c r="P1931" t="str">
        <f t="shared" si="92"/>
        <v>10. octubre</v>
      </c>
    </row>
    <row r="1932" spans="1:16" x14ac:dyDescent="0.35">
      <c r="A1932">
        <v>417706</v>
      </c>
      <c r="B1932" t="s">
        <v>5</v>
      </c>
      <c r="C1932" t="s">
        <v>138</v>
      </c>
      <c r="D1932" t="s">
        <v>311</v>
      </c>
      <c r="E1932" t="s">
        <v>675</v>
      </c>
      <c r="F1932" t="s">
        <v>187</v>
      </c>
      <c r="G1932" s="1">
        <v>45953</v>
      </c>
      <c r="H1932" s="1">
        <v>45960</v>
      </c>
      <c r="I1932" s="2">
        <v>1684.8</v>
      </c>
      <c r="J1932" t="s">
        <v>779</v>
      </c>
      <c r="K1932" t="s">
        <v>783</v>
      </c>
      <c r="L1932" t="s">
        <v>823</v>
      </c>
      <c r="M1932" t="s">
        <v>830</v>
      </c>
      <c r="N1932" t="str">
        <f t="shared" si="90"/>
        <v>T-4</v>
      </c>
      <c r="O1932">
        <f t="shared" si="91"/>
        <v>2025</v>
      </c>
      <c r="P1932" t="str">
        <f t="shared" si="92"/>
        <v>10. octubre</v>
      </c>
    </row>
    <row r="1933" spans="1:16" x14ac:dyDescent="0.35">
      <c r="A1933">
        <v>427145</v>
      </c>
      <c r="B1933" t="s">
        <v>93</v>
      </c>
      <c r="C1933" t="s">
        <v>136</v>
      </c>
      <c r="D1933" t="s">
        <v>311</v>
      </c>
      <c r="E1933" t="s">
        <v>675</v>
      </c>
      <c r="F1933" t="s">
        <v>187</v>
      </c>
      <c r="G1933" s="1">
        <v>45938</v>
      </c>
      <c r="H1933" s="1">
        <v>45945</v>
      </c>
      <c r="I1933" s="2">
        <v>1263.5999999999999</v>
      </c>
      <c r="J1933" t="s">
        <v>779</v>
      </c>
      <c r="K1933" t="s">
        <v>783</v>
      </c>
      <c r="L1933" t="s">
        <v>824</v>
      </c>
      <c r="M1933" t="s">
        <v>830</v>
      </c>
      <c r="N1933" t="str">
        <f t="shared" si="90"/>
        <v>T-4</v>
      </c>
      <c r="O1933">
        <f t="shared" si="91"/>
        <v>2025</v>
      </c>
      <c r="P1933" t="str">
        <f t="shared" si="92"/>
        <v>10. octubre</v>
      </c>
    </row>
    <row r="1934" spans="1:16" x14ac:dyDescent="0.35">
      <c r="A1934">
        <v>702177</v>
      </c>
      <c r="B1934" t="s">
        <v>30</v>
      </c>
      <c r="C1934" t="s">
        <v>138</v>
      </c>
      <c r="D1934" t="s">
        <v>311</v>
      </c>
      <c r="E1934" t="s">
        <v>675</v>
      </c>
      <c r="F1934" t="s">
        <v>187</v>
      </c>
      <c r="G1934" s="1">
        <v>45953</v>
      </c>
      <c r="H1934" s="1">
        <v>45960</v>
      </c>
      <c r="I1934" s="2">
        <v>314.83</v>
      </c>
      <c r="J1934" t="s">
        <v>779</v>
      </c>
      <c r="K1934" t="s">
        <v>783</v>
      </c>
      <c r="L1934" t="s">
        <v>823</v>
      </c>
      <c r="M1934" t="s">
        <v>828</v>
      </c>
      <c r="N1934" t="str">
        <f t="shared" si="90"/>
        <v>T-4</v>
      </c>
      <c r="O1934">
        <f t="shared" si="91"/>
        <v>2025</v>
      </c>
      <c r="P1934" t="str">
        <f t="shared" si="92"/>
        <v>10. octubre</v>
      </c>
    </row>
    <row r="1935" spans="1:16" x14ac:dyDescent="0.35">
      <c r="A1935">
        <v>750076</v>
      </c>
      <c r="B1935" t="s">
        <v>31</v>
      </c>
      <c r="C1935" t="s">
        <v>138</v>
      </c>
      <c r="D1935" t="s">
        <v>232</v>
      </c>
      <c r="E1935" t="s">
        <v>675</v>
      </c>
      <c r="F1935" t="s">
        <v>187</v>
      </c>
      <c r="G1935" s="1">
        <v>45950</v>
      </c>
      <c r="H1935" s="1">
        <v>45957</v>
      </c>
      <c r="I1935" s="2">
        <v>222.86</v>
      </c>
      <c r="J1935" t="s">
        <v>779</v>
      </c>
      <c r="K1935" t="s">
        <v>783</v>
      </c>
      <c r="L1935" t="s">
        <v>823</v>
      </c>
      <c r="M1935" t="s">
        <v>828</v>
      </c>
      <c r="N1935" t="str">
        <f t="shared" si="90"/>
        <v>T-4</v>
      </c>
      <c r="O1935">
        <f t="shared" si="91"/>
        <v>2025</v>
      </c>
      <c r="P1935" t="str">
        <f t="shared" si="92"/>
        <v>10. octubre</v>
      </c>
    </row>
    <row r="1936" spans="1:16" x14ac:dyDescent="0.35">
      <c r="A1936">
        <v>483047</v>
      </c>
      <c r="B1936" t="s">
        <v>45</v>
      </c>
      <c r="C1936" t="s">
        <v>138</v>
      </c>
      <c r="D1936" t="s">
        <v>232</v>
      </c>
      <c r="E1936" t="s">
        <v>675</v>
      </c>
      <c r="F1936" t="s">
        <v>187</v>
      </c>
      <c r="G1936" s="1">
        <v>45950</v>
      </c>
      <c r="H1936" s="1">
        <v>45957</v>
      </c>
      <c r="I1936" s="2">
        <v>668.57</v>
      </c>
      <c r="J1936" t="s">
        <v>779</v>
      </c>
      <c r="K1936" t="s">
        <v>783</v>
      </c>
      <c r="L1936" t="s">
        <v>823</v>
      </c>
      <c r="M1936" t="s">
        <v>829</v>
      </c>
      <c r="N1936" t="str">
        <f t="shared" si="90"/>
        <v>T-4</v>
      </c>
      <c r="O1936">
        <f t="shared" si="91"/>
        <v>2025</v>
      </c>
      <c r="P1936" t="str">
        <f t="shared" si="92"/>
        <v>10. octubre</v>
      </c>
    </row>
    <row r="1937" spans="1:16" x14ac:dyDescent="0.35">
      <c r="A1937">
        <v>414717</v>
      </c>
      <c r="B1937" t="s">
        <v>5</v>
      </c>
      <c r="C1937" t="s">
        <v>139</v>
      </c>
      <c r="D1937" t="s">
        <v>232</v>
      </c>
      <c r="E1937" t="s">
        <v>675</v>
      </c>
      <c r="F1937" t="s">
        <v>187</v>
      </c>
      <c r="G1937" s="1">
        <v>45950</v>
      </c>
      <c r="H1937" s="1">
        <v>45957</v>
      </c>
      <c r="I1937" s="2">
        <v>265.70999999999998</v>
      </c>
      <c r="J1937" t="s">
        <v>779</v>
      </c>
      <c r="K1937" t="s">
        <v>783</v>
      </c>
      <c r="L1937" t="s">
        <v>823</v>
      </c>
      <c r="M1937" t="s">
        <v>830</v>
      </c>
      <c r="N1937" t="str">
        <f t="shared" si="90"/>
        <v>T-4</v>
      </c>
      <c r="O1937">
        <f t="shared" si="91"/>
        <v>2025</v>
      </c>
      <c r="P1937" t="str">
        <f t="shared" si="92"/>
        <v>10. octubre</v>
      </c>
    </row>
    <row r="1938" spans="1:16" x14ac:dyDescent="0.35">
      <c r="A1938">
        <v>408919</v>
      </c>
      <c r="B1938" t="s">
        <v>23</v>
      </c>
      <c r="C1938" t="s">
        <v>141</v>
      </c>
      <c r="D1938" t="s">
        <v>507</v>
      </c>
      <c r="E1938" t="s">
        <v>737</v>
      </c>
      <c r="F1938" t="s">
        <v>187</v>
      </c>
      <c r="G1938" s="1">
        <v>45964</v>
      </c>
      <c r="H1938" s="1">
        <v>45967</v>
      </c>
      <c r="I1938" s="2">
        <v>1580</v>
      </c>
      <c r="J1938" t="s">
        <v>776</v>
      </c>
      <c r="K1938" t="s">
        <v>783</v>
      </c>
      <c r="L1938" t="s">
        <v>823</v>
      </c>
      <c r="M1938" t="s">
        <v>830</v>
      </c>
      <c r="N1938" t="str">
        <f t="shared" si="90"/>
        <v>T-4</v>
      </c>
      <c r="O1938">
        <f t="shared" si="91"/>
        <v>2025</v>
      </c>
      <c r="P1938" t="str">
        <f t="shared" si="92"/>
        <v>11. noviembre</v>
      </c>
    </row>
    <row r="1939" spans="1:16" x14ac:dyDescent="0.35">
      <c r="A1939">
        <v>423004</v>
      </c>
      <c r="B1939" t="s">
        <v>4</v>
      </c>
      <c r="C1939" t="s">
        <v>138</v>
      </c>
      <c r="D1939" t="s">
        <v>507</v>
      </c>
      <c r="E1939" t="s">
        <v>737</v>
      </c>
      <c r="F1939" t="s">
        <v>187</v>
      </c>
      <c r="G1939" s="1">
        <v>45964</v>
      </c>
      <c r="H1939" s="1">
        <v>45967</v>
      </c>
      <c r="I1939" s="2">
        <v>2060</v>
      </c>
      <c r="J1939" t="s">
        <v>776</v>
      </c>
      <c r="K1939" t="s">
        <v>783</v>
      </c>
      <c r="L1939" t="s">
        <v>824</v>
      </c>
      <c r="M1939" t="s">
        <v>828</v>
      </c>
      <c r="N1939" t="str">
        <f t="shared" si="90"/>
        <v>T-4</v>
      </c>
      <c r="O1939">
        <f t="shared" si="91"/>
        <v>2025</v>
      </c>
      <c r="P1939" t="str">
        <f t="shared" si="92"/>
        <v>11. noviembre</v>
      </c>
    </row>
    <row r="1940" spans="1:16" x14ac:dyDescent="0.35">
      <c r="A1940">
        <v>592085</v>
      </c>
      <c r="B1940" t="s">
        <v>86</v>
      </c>
      <c r="C1940" t="s">
        <v>137</v>
      </c>
      <c r="D1940" t="s">
        <v>507</v>
      </c>
      <c r="E1940" t="s">
        <v>737</v>
      </c>
      <c r="F1940" t="s">
        <v>187</v>
      </c>
      <c r="G1940" s="1">
        <v>45964</v>
      </c>
      <c r="H1940" s="1">
        <v>45967</v>
      </c>
      <c r="I1940" s="2">
        <v>2080</v>
      </c>
      <c r="J1940" t="s">
        <v>776</v>
      </c>
      <c r="K1940" t="s">
        <v>783</v>
      </c>
      <c r="L1940" t="s">
        <v>823</v>
      </c>
      <c r="M1940" t="s">
        <v>830</v>
      </c>
      <c r="N1940" t="str">
        <f t="shared" si="90"/>
        <v>T-4</v>
      </c>
      <c r="O1940">
        <f t="shared" si="91"/>
        <v>2025</v>
      </c>
      <c r="P1940" t="str">
        <f t="shared" si="92"/>
        <v>11. noviembre</v>
      </c>
    </row>
    <row r="1941" spans="1:16" x14ac:dyDescent="0.35">
      <c r="A1941">
        <v>720652</v>
      </c>
      <c r="B1941" t="s">
        <v>30</v>
      </c>
      <c r="C1941" t="s">
        <v>137</v>
      </c>
      <c r="D1941" t="s">
        <v>507</v>
      </c>
      <c r="E1941" t="s">
        <v>737</v>
      </c>
      <c r="F1941" t="s">
        <v>187</v>
      </c>
      <c r="G1941" s="1">
        <v>45964</v>
      </c>
      <c r="H1941" s="1">
        <v>45967</v>
      </c>
      <c r="I1941" s="2">
        <v>1300</v>
      </c>
      <c r="J1941" t="s">
        <v>776</v>
      </c>
      <c r="K1941" t="s">
        <v>783</v>
      </c>
      <c r="L1941" t="s">
        <v>823</v>
      </c>
      <c r="M1941" t="s">
        <v>829</v>
      </c>
      <c r="N1941" t="str">
        <f t="shared" si="90"/>
        <v>T-4</v>
      </c>
      <c r="O1941">
        <f t="shared" si="91"/>
        <v>2025</v>
      </c>
      <c r="P1941" t="str">
        <f t="shared" si="92"/>
        <v>11. noviembre</v>
      </c>
    </row>
    <row r="1942" spans="1:16" x14ac:dyDescent="0.35">
      <c r="A1942">
        <v>707422</v>
      </c>
      <c r="B1942" t="s">
        <v>25</v>
      </c>
      <c r="C1942" t="s">
        <v>138</v>
      </c>
      <c r="D1942" t="s">
        <v>446</v>
      </c>
      <c r="E1942" t="s">
        <v>740</v>
      </c>
      <c r="F1942" t="s">
        <v>187</v>
      </c>
      <c r="G1942" s="1">
        <v>45950</v>
      </c>
      <c r="H1942" s="1">
        <v>45953</v>
      </c>
      <c r="I1942" s="2">
        <v>416</v>
      </c>
      <c r="J1942" t="s">
        <v>779</v>
      </c>
      <c r="K1942" t="s">
        <v>783</v>
      </c>
      <c r="L1942" t="s">
        <v>823</v>
      </c>
      <c r="M1942" t="s">
        <v>830</v>
      </c>
      <c r="N1942" t="str">
        <f t="shared" si="90"/>
        <v>T-4</v>
      </c>
      <c r="O1942">
        <f t="shared" si="91"/>
        <v>2025</v>
      </c>
      <c r="P1942" t="str">
        <f t="shared" si="92"/>
        <v>10. octubre</v>
      </c>
    </row>
    <row r="1943" spans="1:16" x14ac:dyDescent="0.35">
      <c r="A1943">
        <v>414889</v>
      </c>
      <c r="B1943" t="s">
        <v>30</v>
      </c>
      <c r="C1943" t="s">
        <v>138</v>
      </c>
      <c r="D1943" t="s">
        <v>446</v>
      </c>
      <c r="E1943" t="s">
        <v>740</v>
      </c>
      <c r="F1943" t="s">
        <v>187</v>
      </c>
      <c r="G1943" s="1">
        <v>45950</v>
      </c>
      <c r="H1943" s="1">
        <v>45953</v>
      </c>
      <c r="I1943" s="2">
        <v>1872</v>
      </c>
      <c r="J1943" t="s">
        <v>779</v>
      </c>
      <c r="K1943" t="s">
        <v>783</v>
      </c>
      <c r="L1943" t="s">
        <v>823</v>
      </c>
      <c r="M1943" t="s">
        <v>830</v>
      </c>
      <c r="N1943" t="str">
        <f t="shared" si="90"/>
        <v>T-4</v>
      </c>
      <c r="O1943">
        <f t="shared" si="91"/>
        <v>2025</v>
      </c>
      <c r="P1943" t="str">
        <f t="shared" si="92"/>
        <v>10. octubre</v>
      </c>
    </row>
    <row r="1944" spans="1:16" x14ac:dyDescent="0.35">
      <c r="A1944">
        <v>433198</v>
      </c>
      <c r="B1944" t="s">
        <v>30</v>
      </c>
      <c r="C1944" t="s">
        <v>138</v>
      </c>
      <c r="D1944" t="s">
        <v>446</v>
      </c>
      <c r="E1944" t="s">
        <v>740</v>
      </c>
      <c r="F1944" t="s">
        <v>187</v>
      </c>
      <c r="G1944" s="1">
        <v>45950</v>
      </c>
      <c r="H1944" s="1">
        <v>45953</v>
      </c>
      <c r="I1944" s="2">
        <v>2288</v>
      </c>
      <c r="J1944" t="s">
        <v>779</v>
      </c>
      <c r="K1944" t="s">
        <v>783</v>
      </c>
      <c r="L1944" t="s">
        <v>823</v>
      </c>
      <c r="M1944" t="s">
        <v>828</v>
      </c>
      <c r="N1944" t="str">
        <f t="shared" si="90"/>
        <v>T-4</v>
      </c>
      <c r="O1944">
        <f t="shared" si="91"/>
        <v>2025</v>
      </c>
      <c r="P1944" t="str">
        <f t="shared" si="92"/>
        <v>10. octubre</v>
      </c>
    </row>
    <row r="1945" spans="1:16" x14ac:dyDescent="0.35">
      <c r="A1945">
        <v>721258</v>
      </c>
      <c r="B1945" t="s">
        <v>5</v>
      </c>
      <c r="C1945" t="s">
        <v>138</v>
      </c>
      <c r="D1945" t="s">
        <v>585</v>
      </c>
      <c r="E1945" t="s">
        <v>754</v>
      </c>
      <c r="F1945" t="s">
        <v>187</v>
      </c>
      <c r="G1945" s="1">
        <v>45964</v>
      </c>
      <c r="H1945" s="1">
        <v>45967</v>
      </c>
      <c r="I1945" s="2">
        <v>888.89</v>
      </c>
      <c r="J1945" t="s">
        <v>776</v>
      </c>
      <c r="K1945" t="s">
        <v>783</v>
      </c>
      <c r="L1945" t="s">
        <v>823</v>
      </c>
      <c r="M1945" t="s">
        <v>828</v>
      </c>
      <c r="N1945" t="str">
        <f t="shared" si="90"/>
        <v>T-4</v>
      </c>
      <c r="O1945">
        <f t="shared" si="91"/>
        <v>2025</v>
      </c>
      <c r="P1945" t="str">
        <f t="shared" si="92"/>
        <v>11. noviembre</v>
      </c>
    </row>
    <row r="1946" spans="1:16" x14ac:dyDescent="0.35">
      <c r="A1946">
        <v>458236</v>
      </c>
      <c r="B1946" t="s">
        <v>33</v>
      </c>
      <c r="C1946" t="s">
        <v>136</v>
      </c>
      <c r="D1946" t="s">
        <v>585</v>
      </c>
      <c r="E1946" t="s">
        <v>754</v>
      </c>
      <c r="F1946" t="s">
        <v>187</v>
      </c>
      <c r="G1946" s="1">
        <v>45964</v>
      </c>
      <c r="H1946" s="1">
        <v>45967</v>
      </c>
      <c r="I1946" s="2">
        <v>444.44</v>
      </c>
      <c r="J1946" t="s">
        <v>776</v>
      </c>
      <c r="K1946" t="s">
        <v>783</v>
      </c>
      <c r="L1946" t="s">
        <v>824</v>
      </c>
      <c r="M1946" t="s">
        <v>830</v>
      </c>
      <c r="N1946" t="str">
        <f t="shared" si="90"/>
        <v>T-4</v>
      </c>
      <c r="O1946">
        <f t="shared" si="91"/>
        <v>2025</v>
      </c>
      <c r="P1946" t="str">
        <f t="shared" si="92"/>
        <v>11. noviembre</v>
      </c>
    </row>
    <row r="1947" spans="1:16" x14ac:dyDescent="0.35">
      <c r="A1947">
        <v>560239</v>
      </c>
      <c r="B1947" t="s">
        <v>5</v>
      </c>
      <c r="C1947" t="s">
        <v>138</v>
      </c>
      <c r="D1947" t="s">
        <v>585</v>
      </c>
      <c r="E1947" t="s">
        <v>754</v>
      </c>
      <c r="F1947" t="s">
        <v>187</v>
      </c>
      <c r="G1947" s="1">
        <v>45964</v>
      </c>
      <c r="H1947" s="1">
        <v>45967</v>
      </c>
      <c r="I1947" s="2">
        <v>2666.67</v>
      </c>
      <c r="J1947" t="s">
        <v>776</v>
      </c>
      <c r="K1947" t="s">
        <v>783</v>
      </c>
      <c r="L1947" t="s">
        <v>823</v>
      </c>
      <c r="M1947" t="s">
        <v>829</v>
      </c>
      <c r="N1947" t="str">
        <f t="shared" si="90"/>
        <v>T-4</v>
      </c>
      <c r="O1947">
        <f t="shared" si="91"/>
        <v>2025</v>
      </c>
      <c r="P1947" t="str">
        <f t="shared" si="92"/>
        <v>11. noviembre</v>
      </c>
    </row>
    <row r="1948" spans="1:16" x14ac:dyDescent="0.35">
      <c r="A1948">
        <v>707209</v>
      </c>
      <c r="B1948" t="s">
        <v>2</v>
      </c>
      <c r="C1948" t="s">
        <v>138</v>
      </c>
      <c r="D1948" t="s">
        <v>585</v>
      </c>
      <c r="E1948" t="s">
        <v>754</v>
      </c>
      <c r="F1948" t="s">
        <v>187</v>
      </c>
      <c r="G1948" s="1">
        <v>45964</v>
      </c>
      <c r="H1948" s="1">
        <v>45967</v>
      </c>
      <c r="I1948" s="2">
        <v>4000</v>
      </c>
      <c r="J1948" t="s">
        <v>776</v>
      </c>
      <c r="K1948" t="s">
        <v>783</v>
      </c>
      <c r="L1948" t="s">
        <v>823</v>
      </c>
      <c r="M1948" t="s">
        <v>830</v>
      </c>
      <c r="N1948" t="str">
        <f t="shared" si="90"/>
        <v>T-4</v>
      </c>
      <c r="O1948">
        <f t="shared" si="91"/>
        <v>2025</v>
      </c>
      <c r="P1948" t="str">
        <f t="shared" si="92"/>
        <v>11. noviembre</v>
      </c>
    </row>
    <row r="1949" spans="1:16" x14ac:dyDescent="0.35">
      <c r="A1949">
        <v>705776</v>
      </c>
      <c r="B1949" t="s">
        <v>25</v>
      </c>
      <c r="C1949" t="s">
        <v>138</v>
      </c>
      <c r="D1949" t="s">
        <v>159</v>
      </c>
      <c r="E1949" t="s">
        <v>768</v>
      </c>
      <c r="F1949" t="s">
        <v>187</v>
      </c>
      <c r="G1949" s="1">
        <v>45944</v>
      </c>
      <c r="H1949" s="1">
        <v>45944</v>
      </c>
      <c r="I1949" s="2">
        <v>1180</v>
      </c>
      <c r="J1949" t="s">
        <v>777</v>
      </c>
      <c r="K1949" t="s">
        <v>783</v>
      </c>
      <c r="L1949" t="s">
        <v>823</v>
      </c>
      <c r="M1949" t="s">
        <v>830</v>
      </c>
      <c r="N1949" t="str">
        <f t="shared" si="90"/>
        <v>T-4</v>
      </c>
      <c r="O1949">
        <f t="shared" si="91"/>
        <v>2025</v>
      </c>
      <c r="P1949" t="str">
        <f t="shared" si="92"/>
        <v>10. octubre</v>
      </c>
    </row>
    <row r="1950" spans="1:16" x14ac:dyDescent="0.35">
      <c r="A1950">
        <v>463582</v>
      </c>
      <c r="B1950" t="s">
        <v>25</v>
      </c>
      <c r="C1950" t="s">
        <v>139</v>
      </c>
      <c r="D1950" t="s">
        <v>159</v>
      </c>
      <c r="E1950" t="s">
        <v>768</v>
      </c>
      <c r="F1950" t="s">
        <v>187</v>
      </c>
      <c r="G1950" s="1">
        <v>45945</v>
      </c>
      <c r="H1950" s="1">
        <v>45945</v>
      </c>
      <c r="I1950" s="2">
        <v>1180</v>
      </c>
      <c r="J1950" t="s">
        <v>777</v>
      </c>
      <c r="K1950" t="s">
        <v>783</v>
      </c>
      <c r="L1950" t="s">
        <v>823</v>
      </c>
      <c r="M1950" t="s">
        <v>828</v>
      </c>
      <c r="N1950" t="str">
        <f t="shared" si="90"/>
        <v>T-4</v>
      </c>
      <c r="O1950">
        <f t="shared" si="91"/>
        <v>2025</v>
      </c>
      <c r="P1950" t="str">
        <f t="shared" si="92"/>
        <v>10. octubre</v>
      </c>
    </row>
    <row r="1951" spans="1:16" x14ac:dyDescent="0.35">
      <c r="A1951">
        <v>719319</v>
      </c>
      <c r="B1951" t="s">
        <v>30</v>
      </c>
      <c r="C1951" t="s">
        <v>137</v>
      </c>
      <c r="D1951" t="s">
        <v>159</v>
      </c>
      <c r="E1951" t="s">
        <v>768</v>
      </c>
      <c r="F1951" t="s">
        <v>187</v>
      </c>
      <c r="G1951" s="1">
        <v>45946</v>
      </c>
      <c r="H1951" s="1">
        <v>45946</v>
      </c>
      <c r="I1951" s="2">
        <v>1180</v>
      </c>
      <c r="J1951" t="s">
        <v>777</v>
      </c>
      <c r="K1951" t="s">
        <v>783</v>
      </c>
      <c r="L1951" t="s">
        <v>823</v>
      </c>
      <c r="M1951" t="s">
        <v>828</v>
      </c>
      <c r="N1951" t="str">
        <f t="shared" si="90"/>
        <v>T-4</v>
      </c>
      <c r="O1951">
        <f t="shared" si="91"/>
        <v>2025</v>
      </c>
      <c r="P1951" t="str">
        <f t="shared" si="92"/>
        <v>10. octubre</v>
      </c>
    </row>
    <row r="1952" spans="1:16" x14ac:dyDescent="0.35">
      <c r="A1952">
        <v>709772</v>
      </c>
      <c r="B1952" t="s">
        <v>30</v>
      </c>
      <c r="C1952" t="s">
        <v>138</v>
      </c>
      <c r="D1952" t="s">
        <v>159</v>
      </c>
      <c r="E1952" t="s">
        <v>768</v>
      </c>
      <c r="F1952" t="s">
        <v>187</v>
      </c>
      <c r="G1952" s="1">
        <v>45947</v>
      </c>
      <c r="H1952" s="1">
        <v>45947</v>
      </c>
      <c r="I1952" s="2">
        <v>1180</v>
      </c>
      <c r="J1952" t="s">
        <v>777</v>
      </c>
      <c r="K1952" t="s">
        <v>783</v>
      </c>
      <c r="L1952" t="s">
        <v>823</v>
      </c>
      <c r="M1952" t="s">
        <v>829</v>
      </c>
      <c r="N1952" t="str">
        <f t="shared" si="90"/>
        <v>T-4</v>
      </c>
      <c r="O1952">
        <f t="shared" si="91"/>
        <v>2025</v>
      </c>
      <c r="P1952" t="str">
        <f t="shared" si="92"/>
        <v>10. octubre</v>
      </c>
    </row>
    <row r="1953" spans="1:16" x14ac:dyDescent="0.35">
      <c r="A1953">
        <v>507266</v>
      </c>
      <c r="B1953" t="s">
        <v>5</v>
      </c>
      <c r="C1953" t="s">
        <v>138</v>
      </c>
      <c r="D1953" t="s">
        <v>159</v>
      </c>
      <c r="E1953" t="s">
        <v>768</v>
      </c>
      <c r="F1953" t="s">
        <v>187</v>
      </c>
      <c r="G1953" s="1">
        <v>45958</v>
      </c>
      <c r="H1953" s="1">
        <v>45958</v>
      </c>
      <c r="I1953" s="2">
        <v>1180</v>
      </c>
      <c r="J1953" t="s">
        <v>777</v>
      </c>
      <c r="K1953" t="s">
        <v>783</v>
      </c>
      <c r="L1953" t="s">
        <v>823</v>
      </c>
      <c r="M1953" t="s">
        <v>830</v>
      </c>
      <c r="N1953" t="str">
        <f t="shared" si="90"/>
        <v>T-4</v>
      </c>
      <c r="O1953">
        <f t="shared" si="91"/>
        <v>2025</v>
      </c>
      <c r="P1953" t="str">
        <f t="shared" si="92"/>
        <v>10. octubre</v>
      </c>
    </row>
    <row r="1954" spans="1:16" x14ac:dyDescent="0.35">
      <c r="A1954">
        <v>722173</v>
      </c>
      <c r="B1954" t="s">
        <v>63</v>
      </c>
      <c r="C1954" t="s">
        <v>136</v>
      </c>
      <c r="D1954" t="s">
        <v>159</v>
      </c>
      <c r="E1954" t="s">
        <v>768</v>
      </c>
      <c r="F1954" t="s">
        <v>773</v>
      </c>
      <c r="G1954" s="1">
        <v>45959</v>
      </c>
      <c r="H1954" s="1">
        <v>45959</v>
      </c>
      <c r="I1954" s="2">
        <v>1180</v>
      </c>
      <c r="J1954" t="s">
        <v>777</v>
      </c>
      <c r="K1954" t="s">
        <v>783</v>
      </c>
      <c r="L1954" t="s">
        <v>824</v>
      </c>
      <c r="M1954" t="s">
        <v>830</v>
      </c>
      <c r="N1954" t="str">
        <f t="shared" si="90"/>
        <v>T-4</v>
      </c>
      <c r="O1954">
        <f t="shared" si="91"/>
        <v>2025</v>
      </c>
      <c r="P1954" t="str">
        <f t="shared" si="92"/>
        <v>10. octubre</v>
      </c>
    </row>
    <row r="1955" spans="1:16" x14ac:dyDescent="0.35">
      <c r="A1955">
        <v>567967</v>
      </c>
      <c r="B1955" t="s">
        <v>2</v>
      </c>
      <c r="C1955" t="s">
        <v>139</v>
      </c>
      <c r="D1955" t="s">
        <v>159</v>
      </c>
      <c r="E1955" t="s">
        <v>768</v>
      </c>
      <c r="F1955" t="s">
        <v>773</v>
      </c>
      <c r="G1955" s="1">
        <v>45960</v>
      </c>
      <c r="H1955" s="1">
        <v>45960</v>
      </c>
      <c r="I1955" s="2">
        <v>1180</v>
      </c>
      <c r="J1955" t="s">
        <v>777</v>
      </c>
      <c r="K1955" t="s">
        <v>783</v>
      </c>
      <c r="L1955" t="s">
        <v>823</v>
      </c>
      <c r="M1955" t="s">
        <v>828</v>
      </c>
      <c r="N1955" t="str">
        <f t="shared" si="90"/>
        <v>T-4</v>
      </c>
      <c r="O1955">
        <f t="shared" si="91"/>
        <v>2025</v>
      </c>
      <c r="P1955" t="str">
        <f t="shared" si="92"/>
        <v>10. octubre</v>
      </c>
    </row>
    <row r="1956" spans="1:16" x14ac:dyDescent="0.35">
      <c r="A1956">
        <v>499700</v>
      </c>
      <c r="B1956" t="s">
        <v>30</v>
      </c>
      <c r="C1956" t="s">
        <v>138</v>
      </c>
      <c r="D1956" t="s">
        <v>159</v>
      </c>
      <c r="E1956" t="s">
        <v>768</v>
      </c>
      <c r="F1956" t="s">
        <v>773</v>
      </c>
      <c r="G1956" s="1">
        <v>45961</v>
      </c>
      <c r="H1956" s="1">
        <v>45961</v>
      </c>
      <c r="I1956" s="2">
        <v>1180</v>
      </c>
      <c r="J1956" t="s">
        <v>777</v>
      </c>
      <c r="K1956" t="s">
        <v>783</v>
      </c>
      <c r="L1956" t="s">
        <v>823</v>
      </c>
      <c r="M1956" t="s">
        <v>830</v>
      </c>
      <c r="N1956" t="str">
        <f t="shared" si="90"/>
        <v>T-4</v>
      </c>
      <c r="O1956">
        <f t="shared" si="91"/>
        <v>2025</v>
      </c>
      <c r="P1956" t="str">
        <f t="shared" si="92"/>
        <v>10. octubre</v>
      </c>
    </row>
    <row r="1957" spans="1:16" x14ac:dyDescent="0.35">
      <c r="A1957">
        <v>362048</v>
      </c>
      <c r="B1957" t="s">
        <v>17</v>
      </c>
      <c r="C1957" t="s">
        <v>139</v>
      </c>
      <c r="D1957" t="s">
        <v>634</v>
      </c>
      <c r="E1957" t="s">
        <v>712</v>
      </c>
      <c r="F1957" t="s">
        <v>773</v>
      </c>
      <c r="G1957" s="1">
        <v>46000</v>
      </c>
      <c r="H1957" s="1">
        <v>46002</v>
      </c>
      <c r="I1957" s="2">
        <v>3195</v>
      </c>
      <c r="J1957" t="s">
        <v>774</v>
      </c>
      <c r="K1957" t="s">
        <v>783</v>
      </c>
      <c r="L1957" t="s">
        <v>823</v>
      </c>
      <c r="M1957" t="s">
        <v>829</v>
      </c>
      <c r="N1957" t="str">
        <f t="shared" si="90"/>
        <v>T-4</v>
      </c>
      <c r="O1957">
        <f t="shared" si="91"/>
        <v>2025</v>
      </c>
      <c r="P1957" t="str">
        <f t="shared" si="92"/>
        <v>12. diciembre</v>
      </c>
    </row>
    <row r="1958" spans="1:16" x14ac:dyDescent="0.35">
      <c r="A1958">
        <v>715527</v>
      </c>
      <c r="B1958" t="s">
        <v>4</v>
      </c>
      <c r="C1958" t="s">
        <v>138</v>
      </c>
      <c r="D1958" t="s">
        <v>635</v>
      </c>
      <c r="E1958" t="s">
        <v>769</v>
      </c>
      <c r="F1958" t="s">
        <v>773</v>
      </c>
      <c r="G1958" s="1">
        <v>45965</v>
      </c>
      <c r="H1958" s="1">
        <v>45966</v>
      </c>
      <c r="I1958" s="2">
        <v>750</v>
      </c>
      <c r="J1958" t="s">
        <v>776</v>
      </c>
      <c r="K1958" t="s">
        <v>783</v>
      </c>
      <c r="L1958" t="s">
        <v>823</v>
      </c>
      <c r="M1958" t="s">
        <v>830</v>
      </c>
      <c r="N1958" t="str">
        <f t="shared" si="90"/>
        <v>T-4</v>
      </c>
      <c r="O1958">
        <f t="shared" si="91"/>
        <v>2025</v>
      </c>
      <c r="P1958" t="str">
        <f t="shared" si="92"/>
        <v>11. noviembre</v>
      </c>
    </row>
    <row r="1959" spans="1:16" x14ac:dyDescent="0.35">
      <c r="A1959">
        <v>722861</v>
      </c>
      <c r="B1959" t="s">
        <v>27</v>
      </c>
      <c r="C1959" t="s">
        <v>137</v>
      </c>
      <c r="D1959" t="s">
        <v>534</v>
      </c>
      <c r="E1959" t="s">
        <v>694</v>
      </c>
      <c r="F1959" t="s">
        <v>187</v>
      </c>
      <c r="G1959" s="1">
        <v>45908</v>
      </c>
      <c r="H1959" s="1">
        <v>45908</v>
      </c>
      <c r="I1959" s="2">
        <v>280</v>
      </c>
      <c r="J1959" t="s">
        <v>777</v>
      </c>
      <c r="K1959" t="s">
        <v>783</v>
      </c>
      <c r="L1959" t="s">
        <v>823</v>
      </c>
      <c r="M1959" t="s">
        <v>830</v>
      </c>
      <c r="N1959" t="str">
        <f t="shared" si="90"/>
        <v>T-3</v>
      </c>
      <c r="O1959">
        <f t="shared" si="91"/>
        <v>2025</v>
      </c>
      <c r="P1959" t="str">
        <f t="shared" si="92"/>
        <v>9. septiembre</v>
      </c>
    </row>
    <row r="1960" spans="1:16" x14ac:dyDescent="0.35">
      <c r="A1960">
        <v>468449</v>
      </c>
      <c r="B1960" t="s">
        <v>53</v>
      </c>
      <c r="C1960" t="s">
        <v>138</v>
      </c>
      <c r="D1960" t="s">
        <v>534</v>
      </c>
      <c r="E1960" t="s">
        <v>694</v>
      </c>
      <c r="F1960" t="s">
        <v>187</v>
      </c>
      <c r="G1960" s="1">
        <v>45922</v>
      </c>
      <c r="H1960" s="1">
        <v>45922</v>
      </c>
      <c r="I1960" s="2">
        <v>210</v>
      </c>
      <c r="J1960" t="s">
        <v>777</v>
      </c>
      <c r="K1960" t="s">
        <v>783</v>
      </c>
      <c r="L1960" t="s">
        <v>824</v>
      </c>
      <c r="M1960" t="s">
        <v>828</v>
      </c>
      <c r="N1960" t="str">
        <f t="shared" si="90"/>
        <v>T-3</v>
      </c>
      <c r="O1960">
        <f t="shared" si="91"/>
        <v>2025</v>
      </c>
      <c r="P1960" t="str">
        <f t="shared" si="92"/>
        <v>9. septiembre</v>
      </c>
    </row>
    <row r="1961" spans="1:16" x14ac:dyDescent="0.35">
      <c r="A1961">
        <v>717062</v>
      </c>
      <c r="B1961" t="s">
        <v>19</v>
      </c>
      <c r="C1961" t="s">
        <v>139</v>
      </c>
      <c r="D1961" t="s">
        <v>636</v>
      </c>
      <c r="E1961" t="s">
        <v>770</v>
      </c>
      <c r="F1961" t="s">
        <v>773</v>
      </c>
      <c r="G1961" s="1">
        <v>45988</v>
      </c>
      <c r="H1961" s="1">
        <v>45989</v>
      </c>
      <c r="I1961" s="2">
        <v>3733</v>
      </c>
      <c r="J1961" t="s">
        <v>776</v>
      </c>
      <c r="K1961" t="s">
        <v>783</v>
      </c>
      <c r="L1961" t="s">
        <v>823</v>
      </c>
      <c r="M1961" t="s">
        <v>828</v>
      </c>
      <c r="N1961" t="str">
        <f t="shared" si="90"/>
        <v>T-4</v>
      </c>
      <c r="O1961">
        <f t="shared" si="91"/>
        <v>2025</v>
      </c>
      <c r="P1961" t="str">
        <f t="shared" si="92"/>
        <v>11. noviembre</v>
      </c>
    </row>
    <row r="1962" spans="1:16" x14ac:dyDescent="0.35">
      <c r="A1962">
        <v>432367</v>
      </c>
      <c r="B1962" t="s">
        <v>1</v>
      </c>
      <c r="C1962" t="s">
        <v>139</v>
      </c>
      <c r="D1962" t="s">
        <v>465</v>
      </c>
      <c r="E1962" t="s">
        <v>678</v>
      </c>
      <c r="F1962" t="s">
        <v>187</v>
      </c>
      <c r="G1962" s="1">
        <v>45957</v>
      </c>
      <c r="H1962" s="1">
        <v>45960</v>
      </c>
      <c r="I1962" s="2">
        <v>260</v>
      </c>
      <c r="J1962" t="s">
        <v>776</v>
      </c>
      <c r="K1962" t="s">
        <v>783</v>
      </c>
      <c r="L1962" t="s">
        <v>823</v>
      </c>
      <c r="M1962" t="s">
        <v>830</v>
      </c>
      <c r="N1962" t="str">
        <f t="shared" si="90"/>
        <v>T-4</v>
      </c>
      <c r="O1962">
        <f t="shared" si="91"/>
        <v>2025</v>
      </c>
      <c r="P1962" t="str">
        <f t="shared" si="92"/>
        <v>10. octubre</v>
      </c>
    </row>
    <row r="1963" spans="1:16" x14ac:dyDescent="0.35">
      <c r="A1963">
        <v>710036</v>
      </c>
      <c r="B1963" t="s">
        <v>45</v>
      </c>
      <c r="C1963" t="s">
        <v>138</v>
      </c>
      <c r="D1963" t="s">
        <v>465</v>
      </c>
      <c r="E1963" t="s">
        <v>678</v>
      </c>
      <c r="F1963" t="s">
        <v>187</v>
      </c>
      <c r="G1963" s="1">
        <v>45957</v>
      </c>
      <c r="H1963" s="1">
        <v>45960</v>
      </c>
      <c r="I1963" s="2">
        <v>2860</v>
      </c>
      <c r="J1963" t="s">
        <v>776</v>
      </c>
      <c r="K1963" t="s">
        <v>783</v>
      </c>
      <c r="L1963" t="s">
        <v>823</v>
      </c>
      <c r="M1963" t="s">
        <v>829</v>
      </c>
      <c r="N1963" t="str">
        <f t="shared" si="90"/>
        <v>T-4</v>
      </c>
      <c r="O1963">
        <f t="shared" si="91"/>
        <v>2025</v>
      </c>
      <c r="P1963" t="str">
        <f t="shared" si="92"/>
        <v>10. octubre</v>
      </c>
    </row>
    <row r="1964" spans="1:16" x14ac:dyDescent="0.35">
      <c r="A1964">
        <v>722510</v>
      </c>
      <c r="B1964" t="s">
        <v>25</v>
      </c>
      <c r="C1964" t="s">
        <v>138</v>
      </c>
      <c r="D1964" t="s">
        <v>465</v>
      </c>
      <c r="E1964" t="s">
        <v>678</v>
      </c>
      <c r="F1964" t="s">
        <v>187</v>
      </c>
      <c r="G1964" s="1">
        <v>45957</v>
      </c>
      <c r="H1964" s="1">
        <v>45960</v>
      </c>
      <c r="I1964" s="2">
        <v>260</v>
      </c>
      <c r="J1964" t="s">
        <v>776</v>
      </c>
      <c r="K1964" t="s">
        <v>783</v>
      </c>
      <c r="L1964" t="s">
        <v>823</v>
      </c>
      <c r="M1964" t="s">
        <v>830</v>
      </c>
      <c r="N1964" t="str">
        <f t="shared" si="90"/>
        <v>T-4</v>
      </c>
      <c r="O1964">
        <f t="shared" si="91"/>
        <v>2025</v>
      </c>
      <c r="P1964" t="str">
        <f t="shared" si="92"/>
        <v>10. octubre</v>
      </c>
    </row>
    <row r="1965" spans="1:16" x14ac:dyDescent="0.35">
      <c r="A1965">
        <v>701412</v>
      </c>
      <c r="B1965" t="s">
        <v>20</v>
      </c>
      <c r="C1965" t="s">
        <v>136</v>
      </c>
      <c r="D1965" t="s">
        <v>465</v>
      </c>
      <c r="E1965" t="s">
        <v>678</v>
      </c>
      <c r="F1965" t="s">
        <v>187</v>
      </c>
      <c r="G1965" s="1">
        <v>45957</v>
      </c>
      <c r="H1965" s="1">
        <v>45960</v>
      </c>
      <c r="I1965" s="2">
        <v>3120</v>
      </c>
      <c r="J1965" t="s">
        <v>776</v>
      </c>
      <c r="K1965" t="s">
        <v>783</v>
      </c>
      <c r="L1965" t="s">
        <v>823</v>
      </c>
      <c r="M1965" t="s">
        <v>830</v>
      </c>
      <c r="N1965" t="str">
        <f t="shared" si="90"/>
        <v>T-4</v>
      </c>
      <c r="O1965">
        <f t="shared" si="91"/>
        <v>2025</v>
      </c>
      <c r="P1965" t="str">
        <f t="shared" si="92"/>
        <v>10. octubre</v>
      </c>
    </row>
    <row r="1966" spans="1:16" x14ac:dyDescent="0.35">
      <c r="A1966">
        <v>706445</v>
      </c>
      <c r="B1966" t="s">
        <v>71</v>
      </c>
      <c r="C1966" t="s">
        <v>138</v>
      </c>
      <c r="D1966" t="s">
        <v>637</v>
      </c>
      <c r="E1966" t="s">
        <v>647</v>
      </c>
      <c r="F1966" t="s">
        <v>187</v>
      </c>
      <c r="G1966" s="1">
        <v>45958</v>
      </c>
      <c r="H1966" s="1">
        <v>45961</v>
      </c>
      <c r="I1966" s="2">
        <v>204.44</v>
      </c>
      <c r="J1966" t="s">
        <v>776</v>
      </c>
      <c r="K1966" t="s">
        <v>783</v>
      </c>
      <c r="L1966" t="s">
        <v>823</v>
      </c>
      <c r="M1966" t="s">
        <v>828</v>
      </c>
      <c r="N1966" t="str">
        <f t="shared" si="90"/>
        <v>T-4</v>
      </c>
      <c r="O1966">
        <f t="shared" si="91"/>
        <v>2025</v>
      </c>
      <c r="P1966" t="str">
        <f t="shared" si="92"/>
        <v>10. octubre</v>
      </c>
    </row>
    <row r="1967" spans="1:16" x14ac:dyDescent="0.35">
      <c r="A1967">
        <v>713082</v>
      </c>
      <c r="B1967" t="s">
        <v>46</v>
      </c>
      <c r="C1967" t="s">
        <v>138</v>
      </c>
      <c r="D1967" t="s">
        <v>637</v>
      </c>
      <c r="E1967" t="s">
        <v>647</v>
      </c>
      <c r="F1967" t="s">
        <v>187</v>
      </c>
      <c r="G1967" s="1">
        <v>45958</v>
      </c>
      <c r="H1967" s="1">
        <v>45961</v>
      </c>
      <c r="I1967" s="2">
        <v>204.44</v>
      </c>
      <c r="J1967" t="s">
        <v>776</v>
      </c>
      <c r="K1967" t="s">
        <v>783</v>
      </c>
      <c r="L1967" t="s">
        <v>824</v>
      </c>
      <c r="M1967" t="s">
        <v>828</v>
      </c>
      <c r="N1967" t="str">
        <f t="shared" si="90"/>
        <v>T-4</v>
      </c>
      <c r="O1967">
        <f t="shared" si="91"/>
        <v>2025</v>
      </c>
      <c r="P1967" t="str">
        <f t="shared" si="92"/>
        <v>10. octubre</v>
      </c>
    </row>
    <row r="1968" spans="1:16" x14ac:dyDescent="0.35">
      <c r="A1968">
        <v>702191</v>
      </c>
      <c r="B1968" t="s">
        <v>33</v>
      </c>
      <c r="C1968" t="s">
        <v>136</v>
      </c>
      <c r="D1968" t="s">
        <v>637</v>
      </c>
      <c r="E1968" t="s">
        <v>647</v>
      </c>
      <c r="F1968" t="s">
        <v>187</v>
      </c>
      <c r="G1968" s="1">
        <v>45958</v>
      </c>
      <c r="H1968" s="1">
        <v>45961</v>
      </c>
      <c r="I1968" s="2">
        <v>1431.11</v>
      </c>
      <c r="J1968" t="s">
        <v>776</v>
      </c>
      <c r="K1968" t="s">
        <v>783</v>
      </c>
      <c r="L1968" t="s">
        <v>823</v>
      </c>
      <c r="M1968" t="s">
        <v>829</v>
      </c>
      <c r="N1968" t="str">
        <f t="shared" si="90"/>
        <v>T-4</v>
      </c>
      <c r="O1968">
        <f t="shared" si="91"/>
        <v>2025</v>
      </c>
      <c r="P1968" t="str">
        <f t="shared" si="92"/>
        <v>10. octubre</v>
      </c>
    </row>
    <row r="1969" spans="1:16" x14ac:dyDescent="0.35">
      <c r="A1969">
        <v>707975</v>
      </c>
      <c r="B1969" t="s">
        <v>30</v>
      </c>
      <c r="C1969" t="s">
        <v>138</v>
      </c>
      <c r="D1969" t="s">
        <v>637</v>
      </c>
      <c r="E1969" t="s">
        <v>647</v>
      </c>
      <c r="F1969" t="s">
        <v>187</v>
      </c>
      <c r="G1969" s="1">
        <v>45958</v>
      </c>
      <c r="H1969" s="1">
        <v>45961</v>
      </c>
      <c r="I1969" s="2">
        <v>1431.11</v>
      </c>
      <c r="J1969" t="s">
        <v>776</v>
      </c>
      <c r="K1969" t="s">
        <v>783</v>
      </c>
      <c r="L1969" t="s">
        <v>823</v>
      </c>
      <c r="M1969" t="s">
        <v>830</v>
      </c>
      <c r="N1969" t="str">
        <f t="shared" si="90"/>
        <v>T-4</v>
      </c>
      <c r="O1969">
        <f t="shared" si="91"/>
        <v>2025</v>
      </c>
      <c r="P1969" t="str">
        <f t="shared" si="92"/>
        <v>10. octubre</v>
      </c>
    </row>
    <row r="1970" spans="1:16" x14ac:dyDescent="0.35">
      <c r="A1970">
        <v>610734</v>
      </c>
      <c r="B1970" t="s">
        <v>13</v>
      </c>
      <c r="C1970" t="s">
        <v>138</v>
      </c>
      <c r="D1970" t="s">
        <v>209</v>
      </c>
      <c r="E1970" t="s">
        <v>647</v>
      </c>
      <c r="F1970" t="s">
        <v>187</v>
      </c>
      <c r="G1970" s="1">
        <v>45957</v>
      </c>
      <c r="H1970" s="1">
        <v>45959</v>
      </c>
      <c r="I1970" s="2">
        <v>5110.6000000000004</v>
      </c>
      <c r="J1970" t="s">
        <v>776</v>
      </c>
      <c r="K1970" t="s">
        <v>783</v>
      </c>
      <c r="L1970" t="s">
        <v>823</v>
      </c>
      <c r="M1970" t="s">
        <v>830</v>
      </c>
      <c r="N1970" t="str">
        <f t="shared" si="90"/>
        <v>T-4</v>
      </c>
      <c r="O1970">
        <f t="shared" si="91"/>
        <v>2025</v>
      </c>
      <c r="P1970" t="str">
        <f t="shared" si="92"/>
        <v>10. octubre</v>
      </c>
    </row>
    <row r="1971" spans="1:16" x14ac:dyDescent="0.35">
      <c r="A1971">
        <v>396142</v>
      </c>
      <c r="B1971" t="s">
        <v>13</v>
      </c>
      <c r="C1971" t="s">
        <v>136</v>
      </c>
      <c r="D1971" t="s">
        <v>209</v>
      </c>
      <c r="E1971" t="s">
        <v>647</v>
      </c>
      <c r="F1971" t="s">
        <v>187</v>
      </c>
      <c r="G1971" s="1">
        <v>45957</v>
      </c>
      <c r="H1971" s="1">
        <v>45959</v>
      </c>
      <c r="I1971" s="2">
        <v>222.2</v>
      </c>
      <c r="J1971" t="s">
        <v>776</v>
      </c>
      <c r="K1971" t="s">
        <v>783</v>
      </c>
      <c r="L1971" t="s">
        <v>823</v>
      </c>
      <c r="M1971" t="s">
        <v>828</v>
      </c>
      <c r="N1971" t="str">
        <f t="shared" si="90"/>
        <v>T-4</v>
      </c>
      <c r="O1971">
        <f t="shared" si="91"/>
        <v>2025</v>
      </c>
      <c r="P1971" t="str">
        <f t="shared" si="92"/>
        <v>10. octubre</v>
      </c>
    </row>
    <row r="1972" spans="1:16" x14ac:dyDescent="0.35">
      <c r="A1972">
        <v>610880</v>
      </c>
      <c r="B1972" t="s">
        <v>13</v>
      </c>
      <c r="C1972" t="s">
        <v>138</v>
      </c>
      <c r="D1972" t="s">
        <v>209</v>
      </c>
      <c r="E1972" t="s">
        <v>647</v>
      </c>
      <c r="F1972" t="s">
        <v>187</v>
      </c>
      <c r="G1972" s="1">
        <v>45957</v>
      </c>
      <c r="H1972" s="1">
        <v>45959</v>
      </c>
      <c r="I1972" s="2">
        <v>222.2</v>
      </c>
      <c r="J1972" t="s">
        <v>776</v>
      </c>
      <c r="K1972" t="s">
        <v>783</v>
      </c>
      <c r="L1972" t="s">
        <v>823</v>
      </c>
      <c r="M1972" t="s">
        <v>830</v>
      </c>
      <c r="N1972" t="str">
        <f t="shared" si="90"/>
        <v>T-4</v>
      </c>
      <c r="O1972">
        <f t="shared" si="91"/>
        <v>2025</v>
      </c>
      <c r="P1972" t="str">
        <f t="shared" si="92"/>
        <v>10. octubre</v>
      </c>
    </row>
    <row r="1973" spans="1:16" x14ac:dyDescent="0.35">
      <c r="A1973">
        <v>499477</v>
      </c>
      <c r="B1973" t="s">
        <v>47</v>
      </c>
      <c r="C1973" t="s">
        <v>138</v>
      </c>
      <c r="D1973" t="s">
        <v>533</v>
      </c>
      <c r="E1973" t="s">
        <v>647</v>
      </c>
      <c r="F1973" t="s">
        <v>187</v>
      </c>
      <c r="G1973" s="1">
        <v>45957</v>
      </c>
      <c r="H1973" s="1">
        <v>45959</v>
      </c>
      <c r="I1973" s="2">
        <v>1840</v>
      </c>
      <c r="J1973" t="s">
        <v>776</v>
      </c>
      <c r="K1973" t="s">
        <v>783</v>
      </c>
      <c r="L1973" t="s">
        <v>823</v>
      </c>
      <c r="M1973" t="s">
        <v>829</v>
      </c>
      <c r="N1973" t="str">
        <f t="shared" si="90"/>
        <v>T-4</v>
      </c>
      <c r="O1973">
        <f t="shared" si="91"/>
        <v>2025</v>
      </c>
      <c r="P1973" t="str">
        <f t="shared" si="92"/>
        <v>10. octubre</v>
      </c>
    </row>
    <row r="1974" spans="1:16" x14ac:dyDescent="0.35">
      <c r="A1974">
        <v>477269</v>
      </c>
      <c r="B1974" t="s">
        <v>124</v>
      </c>
      <c r="C1974" t="s">
        <v>138</v>
      </c>
      <c r="D1974" t="s">
        <v>533</v>
      </c>
      <c r="E1974" t="s">
        <v>647</v>
      </c>
      <c r="F1974" t="s">
        <v>187</v>
      </c>
      <c r="G1974" s="1">
        <v>45957</v>
      </c>
      <c r="H1974" s="1">
        <v>45959</v>
      </c>
      <c r="I1974" s="2">
        <v>1672.73</v>
      </c>
      <c r="J1974" t="s">
        <v>776</v>
      </c>
      <c r="K1974" t="s">
        <v>783</v>
      </c>
      <c r="L1974" t="s">
        <v>823</v>
      </c>
      <c r="M1974" t="s">
        <v>830</v>
      </c>
      <c r="N1974" t="str">
        <f t="shared" si="90"/>
        <v>T-4</v>
      </c>
      <c r="O1974">
        <f t="shared" si="91"/>
        <v>2025</v>
      </c>
      <c r="P1974" t="str">
        <f t="shared" si="92"/>
        <v>10. octubre</v>
      </c>
    </row>
    <row r="1975" spans="1:16" x14ac:dyDescent="0.35">
      <c r="A1975">
        <v>721555</v>
      </c>
      <c r="B1975" t="s">
        <v>14</v>
      </c>
      <c r="C1975" t="s">
        <v>137</v>
      </c>
      <c r="D1975" t="s">
        <v>337</v>
      </c>
      <c r="E1975" t="s">
        <v>647</v>
      </c>
      <c r="F1975" t="s">
        <v>187</v>
      </c>
      <c r="G1975" s="1">
        <v>45950</v>
      </c>
      <c r="H1975" s="1">
        <v>45958</v>
      </c>
      <c r="I1975" s="2">
        <v>788.57</v>
      </c>
      <c r="J1975" t="s">
        <v>776</v>
      </c>
      <c r="K1975" t="s">
        <v>783</v>
      </c>
      <c r="L1975" t="s">
        <v>824</v>
      </c>
      <c r="M1975" t="s">
        <v>830</v>
      </c>
      <c r="N1975" t="str">
        <f t="shared" si="90"/>
        <v>T-4</v>
      </c>
      <c r="O1975">
        <f t="shared" si="91"/>
        <v>2025</v>
      </c>
      <c r="P1975" t="str">
        <f t="shared" si="92"/>
        <v>10. octubre</v>
      </c>
    </row>
    <row r="1976" spans="1:16" x14ac:dyDescent="0.35">
      <c r="A1976">
        <v>709205</v>
      </c>
      <c r="B1976" t="s">
        <v>42</v>
      </c>
      <c r="C1976" t="s">
        <v>138</v>
      </c>
      <c r="D1976" t="s">
        <v>337</v>
      </c>
      <c r="E1976" t="s">
        <v>647</v>
      </c>
      <c r="F1976" t="s">
        <v>187</v>
      </c>
      <c r="G1976" s="1">
        <v>45950</v>
      </c>
      <c r="H1976" s="1">
        <v>45958</v>
      </c>
      <c r="I1976" s="2">
        <v>1971.43</v>
      </c>
      <c r="J1976" t="s">
        <v>776</v>
      </c>
      <c r="K1976" t="s">
        <v>783</v>
      </c>
      <c r="L1976" t="s">
        <v>823</v>
      </c>
      <c r="M1976" t="s">
        <v>828</v>
      </c>
      <c r="N1976" t="str">
        <f t="shared" si="90"/>
        <v>T-4</v>
      </c>
      <c r="O1976">
        <f t="shared" si="91"/>
        <v>2025</v>
      </c>
      <c r="P1976" t="str">
        <f t="shared" si="92"/>
        <v>10. octubre</v>
      </c>
    </row>
    <row r="1977" spans="1:16" x14ac:dyDescent="0.35">
      <c r="A1977">
        <v>255006</v>
      </c>
      <c r="B1977" t="s">
        <v>13</v>
      </c>
      <c r="C1977" t="s">
        <v>136</v>
      </c>
      <c r="D1977" t="s">
        <v>638</v>
      </c>
      <c r="E1977" t="s">
        <v>647</v>
      </c>
      <c r="F1977" t="s">
        <v>187</v>
      </c>
      <c r="G1977" s="1">
        <v>45957</v>
      </c>
      <c r="H1977" s="1">
        <v>45960</v>
      </c>
      <c r="I1977" s="2">
        <v>1650</v>
      </c>
      <c r="J1977" t="s">
        <v>776</v>
      </c>
      <c r="K1977" t="s">
        <v>783</v>
      </c>
      <c r="L1977" t="s">
        <v>823</v>
      </c>
      <c r="M1977" t="s">
        <v>828</v>
      </c>
      <c r="N1977" t="str">
        <f t="shared" si="90"/>
        <v>T-4</v>
      </c>
      <c r="O1977">
        <f t="shared" si="91"/>
        <v>2025</v>
      </c>
      <c r="P1977" t="str">
        <f t="shared" si="92"/>
        <v>10. octubre</v>
      </c>
    </row>
    <row r="1978" spans="1:16" x14ac:dyDescent="0.35">
      <c r="A1978">
        <v>611104</v>
      </c>
      <c r="B1978" t="s">
        <v>13</v>
      </c>
      <c r="C1978" t="s">
        <v>136</v>
      </c>
      <c r="D1978" t="s">
        <v>638</v>
      </c>
      <c r="E1978" t="s">
        <v>647</v>
      </c>
      <c r="F1978" t="s">
        <v>187</v>
      </c>
      <c r="G1978" s="1">
        <v>45957</v>
      </c>
      <c r="H1978" s="1">
        <v>45960</v>
      </c>
      <c r="I1978" s="2">
        <v>3300</v>
      </c>
      <c r="J1978" t="s">
        <v>776</v>
      </c>
      <c r="K1978" t="s">
        <v>783</v>
      </c>
      <c r="L1978" t="s">
        <v>823</v>
      </c>
      <c r="M1978" t="s">
        <v>830</v>
      </c>
      <c r="N1978" t="str">
        <f t="shared" si="90"/>
        <v>T-4</v>
      </c>
      <c r="O1978">
        <f t="shared" si="91"/>
        <v>2025</v>
      </c>
      <c r="P1978" t="str">
        <f t="shared" si="92"/>
        <v>10. octubre</v>
      </c>
    </row>
    <row r="1979" spans="1:16" x14ac:dyDescent="0.35">
      <c r="A1979">
        <v>429393</v>
      </c>
      <c r="B1979" t="s">
        <v>78</v>
      </c>
      <c r="C1979" t="s">
        <v>138</v>
      </c>
      <c r="D1979" t="s">
        <v>627</v>
      </c>
      <c r="E1979" t="s">
        <v>647</v>
      </c>
      <c r="F1979" t="s">
        <v>187</v>
      </c>
      <c r="G1979" s="1">
        <v>45967</v>
      </c>
      <c r="H1979" s="1">
        <v>45967</v>
      </c>
      <c r="I1979" s="2">
        <v>250</v>
      </c>
      <c r="J1979" t="s">
        <v>776</v>
      </c>
      <c r="K1979" t="s">
        <v>783</v>
      </c>
      <c r="L1979" t="s">
        <v>823</v>
      </c>
      <c r="M1979" t="s">
        <v>829</v>
      </c>
      <c r="N1979" t="str">
        <f t="shared" si="90"/>
        <v>T-4</v>
      </c>
      <c r="O1979">
        <f t="shared" si="91"/>
        <v>2025</v>
      </c>
      <c r="P1979" t="str">
        <f t="shared" si="92"/>
        <v>11. noviembre</v>
      </c>
    </row>
    <row r="1980" spans="1:16" x14ac:dyDescent="0.35">
      <c r="A1980">
        <v>130192</v>
      </c>
      <c r="B1980" t="s">
        <v>62</v>
      </c>
      <c r="C1980" t="s">
        <v>138</v>
      </c>
      <c r="D1980" t="s">
        <v>639</v>
      </c>
      <c r="E1980" t="s">
        <v>708</v>
      </c>
      <c r="F1980" t="s">
        <v>773</v>
      </c>
      <c r="G1980" s="1">
        <v>45974</v>
      </c>
      <c r="H1980" s="1">
        <v>46006</v>
      </c>
      <c r="I1980" s="2">
        <v>688</v>
      </c>
      <c r="J1980" t="s">
        <v>777</v>
      </c>
      <c r="K1980" t="s">
        <v>783</v>
      </c>
      <c r="L1980" t="s">
        <v>823</v>
      </c>
      <c r="M1980" t="s">
        <v>830</v>
      </c>
      <c r="N1980" t="str">
        <f t="shared" si="90"/>
        <v>T-4</v>
      </c>
      <c r="O1980">
        <f t="shared" si="91"/>
        <v>2025</v>
      </c>
      <c r="P1980" t="str">
        <f t="shared" si="92"/>
        <v>11. noviembre</v>
      </c>
    </row>
    <row r="1981" spans="1:16" x14ac:dyDescent="0.35">
      <c r="A1981">
        <v>712311</v>
      </c>
      <c r="B1981" t="s">
        <v>5</v>
      </c>
      <c r="C1981" t="s">
        <v>138</v>
      </c>
      <c r="D1981" t="s">
        <v>640</v>
      </c>
      <c r="E1981" t="s">
        <v>771</v>
      </c>
      <c r="F1981" t="s">
        <v>773</v>
      </c>
      <c r="G1981" s="1">
        <v>45978</v>
      </c>
      <c r="H1981" s="1">
        <v>45981</v>
      </c>
      <c r="I1981" s="2">
        <v>3184</v>
      </c>
      <c r="J1981" t="s">
        <v>776</v>
      </c>
      <c r="K1981" t="s">
        <v>783</v>
      </c>
      <c r="L1981" t="s">
        <v>824</v>
      </c>
      <c r="M1981" t="s">
        <v>830</v>
      </c>
      <c r="N1981" t="str">
        <f t="shared" si="90"/>
        <v>T-4</v>
      </c>
      <c r="O1981">
        <f t="shared" si="91"/>
        <v>2025</v>
      </c>
      <c r="P1981" t="str">
        <f t="shared" si="92"/>
        <v>11. noviembre</v>
      </c>
    </row>
    <row r="1982" spans="1:16" x14ac:dyDescent="0.35">
      <c r="A1982">
        <v>706476</v>
      </c>
      <c r="B1982" t="s">
        <v>33</v>
      </c>
      <c r="C1982" t="s">
        <v>138</v>
      </c>
      <c r="D1982" t="s">
        <v>476</v>
      </c>
      <c r="E1982" t="s">
        <v>714</v>
      </c>
      <c r="F1982" t="s">
        <v>187</v>
      </c>
      <c r="G1982" s="1">
        <v>45958</v>
      </c>
      <c r="H1982" s="1">
        <v>45961</v>
      </c>
      <c r="I1982" s="2">
        <v>364</v>
      </c>
      <c r="J1982" t="s">
        <v>779</v>
      </c>
      <c r="K1982" t="s">
        <v>783</v>
      </c>
      <c r="L1982" t="s">
        <v>823</v>
      </c>
      <c r="M1982" t="s">
        <v>828</v>
      </c>
      <c r="N1982" t="str">
        <f t="shared" si="90"/>
        <v>T-4</v>
      </c>
      <c r="O1982">
        <f t="shared" si="91"/>
        <v>2025</v>
      </c>
      <c r="P1982" t="str">
        <f t="shared" si="92"/>
        <v>10. octubre</v>
      </c>
    </row>
    <row r="1983" spans="1:16" x14ac:dyDescent="0.35">
      <c r="A1983">
        <v>710741</v>
      </c>
      <c r="B1983" t="s">
        <v>2</v>
      </c>
      <c r="C1983" t="s">
        <v>138</v>
      </c>
      <c r="D1983" t="s">
        <v>476</v>
      </c>
      <c r="E1983" t="s">
        <v>714</v>
      </c>
      <c r="F1983" t="s">
        <v>187</v>
      </c>
      <c r="G1983" s="1">
        <v>45958</v>
      </c>
      <c r="H1983" s="1">
        <v>45961</v>
      </c>
      <c r="I1983" s="2">
        <v>546</v>
      </c>
      <c r="J1983" t="s">
        <v>779</v>
      </c>
      <c r="K1983" t="s">
        <v>783</v>
      </c>
      <c r="L1983" t="s">
        <v>823</v>
      </c>
      <c r="M1983" t="s">
        <v>828</v>
      </c>
      <c r="N1983" t="str">
        <f t="shared" si="90"/>
        <v>T-4</v>
      </c>
      <c r="O1983">
        <f t="shared" si="91"/>
        <v>2025</v>
      </c>
      <c r="P1983" t="str">
        <f t="shared" si="92"/>
        <v>10. octubre</v>
      </c>
    </row>
    <row r="1984" spans="1:16" x14ac:dyDescent="0.35">
      <c r="A1984">
        <v>704274</v>
      </c>
      <c r="B1984" t="s">
        <v>5</v>
      </c>
      <c r="C1984" t="s">
        <v>138</v>
      </c>
      <c r="D1984" t="s">
        <v>476</v>
      </c>
      <c r="E1984" t="s">
        <v>714</v>
      </c>
      <c r="F1984" t="s">
        <v>187</v>
      </c>
      <c r="G1984" s="1">
        <v>45958</v>
      </c>
      <c r="H1984" s="1">
        <v>45961</v>
      </c>
      <c r="I1984" s="2">
        <v>1456</v>
      </c>
      <c r="J1984" t="s">
        <v>779</v>
      </c>
      <c r="K1984" t="s">
        <v>783</v>
      </c>
      <c r="L1984" t="s">
        <v>823</v>
      </c>
      <c r="M1984" t="s">
        <v>829</v>
      </c>
      <c r="N1984" t="str">
        <f t="shared" si="90"/>
        <v>T-4</v>
      </c>
      <c r="O1984">
        <f t="shared" si="91"/>
        <v>2025</v>
      </c>
      <c r="P1984" t="str">
        <f t="shared" si="92"/>
        <v>10. octubre</v>
      </c>
    </row>
    <row r="1985" spans="1:16" x14ac:dyDescent="0.35">
      <c r="A1985">
        <v>701570</v>
      </c>
      <c r="B1985" t="s">
        <v>4</v>
      </c>
      <c r="C1985" t="s">
        <v>137</v>
      </c>
      <c r="D1985" t="s">
        <v>476</v>
      </c>
      <c r="E1985" t="s">
        <v>714</v>
      </c>
      <c r="F1985" t="s">
        <v>187</v>
      </c>
      <c r="G1985" s="1">
        <v>45958</v>
      </c>
      <c r="H1985" s="1">
        <v>45961</v>
      </c>
      <c r="I1985" s="2">
        <v>1638</v>
      </c>
      <c r="J1985" t="s">
        <v>779</v>
      </c>
      <c r="K1985" t="s">
        <v>783</v>
      </c>
      <c r="L1985" t="s">
        <v>823</v>
      </c>
      <c r="M1985" t="s">
        <v>830</v>
      </c>
      <c r="N1985" t="str">
        <f t="shared" si="90"/>
        <v>T-4</v>
      </c>
      <c r="O1985">
        <f t="shared" si="91"/>
        <v>2025</v>
      </c>
      <c r="P1985" t="str">
        <f t="shared" si="92"/>
        <v>10. octubre</v>
      </c>
    </row>
    <row r="1986" spans="1:16" x14ac:dyDescent="0.35">
      <c r="A1986">
        <v>717921</v>
      </c>
      <c r="B1986" t="s">
        <v>30</v>
      </c>
      <c r="C1986" t="s">
        <v>138</v>
      </c>
      <c r="D1986" t="s">
        <v>436</v>
      </c>
      <c r="E1986" t="s">
        <v>737</v>
      </c>
      <c r="F1986" t="s">
        <v>187</v>
      </c>
      <c r="G1986" s="1">
        <v>45964</v>
      </c>
      <c r="H1986" s="1">
        <v>45968</v>
      </c>
      <c r="I1986" s="2">
        <v>3250</v>
      </c>
      <c r="J1986" t="s">
        <v>776</v>
      </c>
      <c r="K1986" t="s">
        <v>783</v>
      </c>
      <c r="L1986" t="s">
        <v>823</v>
      </c>
      <c r="M1986" t="s">
        <v>830</v>
      </c>
      <c r="N1986" t="str">
        <f t="shared" si="90"/>
        <v>T-4</v>
      </c>
      <c r="O1986">
        <f t="shared" si="91"/>
        <v>2025</v>
      </c>
      <c r="P1986" t="str">
        <f t="shared" si="92"/>
        <v>11. noviembre</v>
      </c>
    </row>
    <row r="1987" spans="1:16" x14ac:dyDescent="0.35">
      <c r="A1987">
        <v>718228</v>
      </c>
      <c r="B1987" t="s">
        <v>4</v>
      </c>
      <c r="C1987" t="s">
        <v>136</v>
      </c>
      <c r="D1987" t="s">
        <v>436</v>
      </c>
      <c r="E1987" t="s">
        <v>737</v>
      </c>
      <c r="F1987" t="s">
        <v>187</v>
      </c>
      <c r="G1987" s="1">
        <v>45964</v>
      </c>
      <c r="H1987" s="1">
        <v>45968</v>
      </c>
      <c r="I1987" s="2">
        <v>1625</v>
      </c>
      <c r="J1987" t="s">
        <v>776</v>
      </c>
      <c r="K1987" t="s">
        <v>783</v>
      </c>
      <c r="L1987" t="s">
        <v>823</v>
      </c>
      <c r="M1987" t="s">
        <v>828</v>
      </c>
      <c r="N1987" t="str">
        <f t="shared" ref="N1987:N2043" si="93">"T-" &amp; ROUNDUP((MONTH(G1987)/3), 0)</f>
        <v>T-4</v>
      </c>
      <c r="O1987">
        <f t="shared" ref="O1987:O2043" si="94">YEAR(G1987)</f>
        <v>2025</v>
      </c>
      <c r="P1987" t="str">
        <f t="shared" ref="P1987:P2043" si="95">MONTH(G1987) &amp; ". " &amp; TEXT(G1987, "MMMM")</f>
        <v>11. noviembre</v>
      </c>
    </row>
    <row r="1988" spans="1:16" x14ac:dyDescent="0.35">
      <c r="A1988">
        <v>609894</v>
      </c>
      <c r="B1988" t="s">
        <v>13</v>
      </c>
      <c r="C1988" t="s">
        <v>138</v>
      </c>
      <c r="D1988" t="s">
        <v>543</v>
      </c>
      <c r="E1988" t="s">
        <v>737</v>
      </c>
      <c r="F1988" t="s">
        <v>187</v>
      </c>
      <c r="G1988" s="1">
        <v>45964</v>
      </c>
      <c r="H1988" s="1">
        <v>45968</v>
      </c>
      <c r="I1988" s="2">
        <v>3510</v>
      </c>
      <c r="J1988" t="s">
        <v>776</v>
      </c>
      <c r="K1988" t="s">
        <v>783</v>
      </c>
      <c r="L1988" t="s">
        <v>824</v>
      </c>
      <c r="M1988" t="s">
        <v>830</v>
      </c>
      <c r="N1988" t="str">
        <f t="shared" si="93"/>
        <v>T-4</v>
      </c>
      <c r="O1988">
        <f t="shared" si="94"/>
        <v>2025</v>
      </c>
      <c r="P1988" t="str">
        <f t="shared" si="95"/>
        <v>11. noviembre</v>
      </c>
    </row>
    <row r="1989" spans="1:16" x14ac:dyDescent="0.35">
      <c r="A1989">
        <v>610100</v>
      </c>
      <c r="B1989" t="s">
        <v>13</v>
      </c>
      <c r="C1989" t="s">
        <v>138</v>
      </c>
      <c r="D1989" t="s">
        <v>544</v>
      </c>
      <c r="E1989" t="s">
        <v>737</v>
      </c>
      <c r="F1989" t="s">
        <v>187</v>
      </c>
      <c r="G1989" s="1">
        <v>45964</v>
      </c>
      <c r="H1989" s="1">
        <v>45968</v>
      </c>
      <c r="I1989" s="2">
        <v>1625</v>
      </c>
      <c r="J1989" t="s">
        <v>776</v>
      </c>
      <c r="K1989" t="s">
        <v>783</v>
      </c>
      <c r="L1989" t="s">
        <v>823</v>
      </c>
      <c r="M1989" t="s">
        <v>829</v>
      </c>
      <c r="N1989" t="str">
        <f t="shared" si="93"/>
        <v>T-4</v>
      </c>
      <c r="O1989">
        <f t="shared" si="94"/>
        <v>2025</v>
      </c>
      <c r="P1989" t="str">
        <f t="shared" si="95"/>
        <v>11. noviembre</v>
      </c>
    </row>
    <row r="1990" spans="1:16" x14ac:dyDescent="0.35">
      <c r="A1990">
        <v>489231</v>
      </c>
      <c r="B1990" t="s">
        <v>50</v>
      </c>
      <c r="C1990" t="s">
        <v>138</v>
      </c>
      <c r="D1990" t="s">
        <v>544</v>
      </c>
      <c r="E1990" t="s">
        <v>737</v>
      </c>
      <c r="F1990" t="s">
        <v>187</v>
      </c>
      <c r="G1990" s="1">
        <v>45964</v>
      </c>
      <c r="H1990" s="1">
        <v>45968</v>
      </c>
      <c r="I1990" s="2">
        <v>3250</v>
      </c>
      <c r="J1990" t="s">
        <v>776</v>
      </c>
      <c r="K1990" t="s">
        <v>783</v>
      </c>
      <c r="L1990" t="s">
        <v>823</v>
      </c>
      <c r="M1990" t="s">
        <v>830</v>
      </c>
      <c r="N1990" t="str">
        <f t="shared" si="93"/>
        <v>T-4</v>
      </c>
      <c r="O1990">
        <f t="shared" si="94"/>
        <v>2025</v>
      </c>
      <c r="P1990" t="str">
        <f t="shared" si="95"/>
        <v>11. noviembre</v>
      </c>
    </row>
    <row r="1991" spans="1:16" x14ac:dyDescent="0.35">
      <c r="A1991">
        <v>565867</v>
      </c>
      <c r="B1991" t="s">
        <v>5</v>
      </c>
      <c r="C1991" t="s">
        <v>138</v>
      </c>
      <c r="D1991" t="s">
        <v>641</v>
      </c>
      <c r="E1991" t="s">
        <v>737</v>
      </c>
      <c r="F1991" t="s">
        <v>187</v>
      </c>
      <c r="G1991" s="1">
        <v>45964</v>
      </c>
      <c r="H1991" s="1">
        <v>45968</v>
      </c>
      <c r="I1991" s="2">
        <v>1625</v>
      </c>
      <c r="J1991" t="s">
        <v>776</v>
      </c>
      <c r="K1991" t="s">
        <v>783</v>
      </c>
      <c r="L1991" t="s">
        <v>823</v>
      </c>
      <c r="M1991" t="s">
        <v>830</v>
      </c>
      <c r="N1991" t="str">
        <f t="shared" si="93"/>
        <v>T-4</v>
      </c>
      <c r="O1991">
        <f t="shared" si="94"/>
        <v>2025</v>
      </c>
      <c r="P1991" t="str">
        <f t="shared" si="95"/>
        <v>11. noviembre</v>
      </c>
    </row>
    <row r="1992" spans="1:16" x14ac:dyDescent="0.35">
      <c r="A1992">
        <v>722182</v>
      </c>
      <c r="B1992" t="s">
        <v>59</v>
      </c>
      <c r="C1992" t="s">
        <v>138</v>
      </c>
      <c r="D1992" t="s">
        <v>436</v>
      </c>
      <c r="E1992" t="s">
        <v>737</v>
      </c>
      <c r="F1992" t="s">
        <v>187</v>
      </c>
      <c r="G1992" s="1">
        <v>45964</v>
      </c>
      <c r="H1992" s="1">
        <v>45968</v>
      </c>
      <c r="I1992" s="2">
        <v>2275</v>
      </c>
      <c r="J1992" t="s">
        <v>776</v>
      </c>
      <c r="K1992" t="s">
        <v>783</v>
      </c>
      <c r="L1992" t="s">
        <v>823</v>
      </c>
      <c r="M1992" t="s">
        <v>828</v>
      </c>
      <c r="N1992" t="str">
        <f t="shared" si="93"/>
        <v>T-4</v>
      </c>
      <c r="O1992">
        <f t="shared" si="94"/>
        <v>2025</v>
      </c>
      <c r="P1992" t="str">
        <f t="shared" si="95"/>
        <v>11. noviembre</v>
      </c>
    </row>
    <row r="1993" spans="1:16" x14ac:dyDescent="0.35">
      <c r="A1993">
        <v>478119</v>
      </c>
      <c r="B1993" t="s">
        <v>5</v>
      </c>
      <c r="C1993" t="s">
        <v>138</v>
      </c>
      <c r="D1993" t="s">
        <v>543</v>
      </c>
      <c r="E1993" t="s">
        <v>737</v>
      </c>
      <c r="F1993" t="s">
        <v>187</v>
      </c>
      <c r="G1993" s="1">
        <v>45964</v>
      </c>
      <c r="H1993" s="1">
        <v>45968</v>
      </c>
      <c r="I1993" s="2">
        <v>3900</v>
      </c>
      <c r="J1993" t="s">
        <v>776</v>
      </c>
      <c r="K1993" t="s">
        <v>783</v>
      </c>
      <c r="L1993" t="s">
        <v>823</v>
      </c>
      <c r="M1993" t="s">
        <v>828</v>
      </c>
      <c r="N1993" t="str">
        <f t="shared" si="93"/>
        <v>T-4</v>
      </c>
      <c r="O1993">
        <f t="shared" si="94"/>
        <v>2025</v>
      </c>
      <c r="P1993" t="str">
        <f t="shared" si="95"/>
        <v>11. noviembre</v>
      </c>
    </row>
    <row r="1994" spans="1:16" x14ac:dyDescent="0.35">
      <c r="A1994">
        <v>459954</v>
      </c>
      <c r="B1994" t="s">
        <v>4</v>
      </c>
      <c r="C1994" t="s">
        <v>138</v>
      </c>
      <c r="D1994" t="s">
        <v>544</v>
      </c>
      <c r="E1994" t="s">
        <v>737</v>
      </c>
      <c r="F1994" t="s">
        <v>187</v>
      </c>
      <c r="G1994" s="1">
        <v>45964</v>
      </c>
      <c r="H1994" s="1">
        <v>45968</v>
      </c>
      <c r="I1994" s="2">
        <v>1950</v>
      </c>
      <c r="J1994" t="s">
        <v>776</v>
      </c>
      <c r="K1994" t="s">
        <v>783</v>
      </c>
      <c r="L1994" t="s">
        <v>823</v>
      </c>
      <c r="M1994" t="s">
        <v>830</v>
      </c>
      <c r="N1994" t="str">
        <f t="shared" si="93"/>
        <v>T-4</v>
      </c>
      <c r="O1994">
        <f t="shared" si="94"/>
        <v>2025</v>
      </c>
      <c r="P1994" t="str">
        <f t="shared" si="95"/>
        <v>11. noviembre</v>
      </c>
    </row>
    <row r="1995" spans="1:16" x14ac:dyDescent="0.35">
      <c r="A1995">
        <v>706464</v>
      </c>
      <c r="B1995" t="s">
        <v>71</v>
      </c>
      <c r="C1995" t="s">
        <v>138</v>
      </c>
      <c r="D1995" t="s">
        <v>641</v>
      </c>
      <c r="E1995" t="s">
        <v>737</v>
      </c>
      <c r="F1995" t="s">
        <v>187</v>
      </c>
      <c r="G1995" s="1">
        <v>45964</v>
      </c>
      <c r="H1995" s="1">
        <v>45968</v>
      </c>
      <c r="I1995" s="2">
        <v>6175</v>
      </c>
      <c r="J1995" t="s">
        <v>776</v>
      </c>
      <c r="K1995" t="s">
        <v>783</v>
      </c>
      <c r="L1995" t="s">
        <v>823</v>
      </c>
      <c r="M1995" t="s">
        <v>829</v>
      </c>
      <c r="N1995" t="str">
        <f t="shared" si="93"/>
        <v>T-4</v>
      </c>
      <c r="O1995">
        <f t="shared" si="94"/>
        <v>2025</v>
      </c>
      <c r="P1995" t="str">
        <f t="shared" si="95"/>
        <v>11. noviembre</v>
      </c>
    </row>
    <row r="1996" spans="1:16" x14ac:dyDescent="0.35">
      <c r="A1996">
        <v>416265</v>
      </c>
      <c r="B1996" t="s">
        <v>93</v>
      </c>
      <c r="C1996" t="s">
        <v>138</v>
      </c>
      <c r="D1996" t="s">
        <v>436</v>
      </c>
      <c r="E1996" t="s">
        <v>737</v>
      </c>
      <c r="F1996" t="s">
        <v>187</v>
      </c>
      <c r="G1996" s="1">
        <v>45964</v>
      </c>
      <c r="H1996" s="1">
        <v>45968</v>
      </c>
      <c r="I1996" s="2">
        <v>650</v>
      </c>
      <c r="J1996" t="s">
        <v>776</v>
      </c>
      <c r="K1996" t="s">
        <v>783</v>
      </c>
      <c r="L1996" t="s">
        <v>824</v>
      </c>
      <c r="M1996" t="s">
        <v>830</v>
      </c>
      <c r="N1996" t="str">
        <f t="shared" si="93"/>
        <v>T-4</v>
      </c>
      <c r="O1996">
        <f t="shared" si="94"/>
        <v>2025</v>
      </c>
      <c r="P1996" t="str">
        <f t="shared" si="95"/>
        <v>11. noviembre</v>
      </c>
    </row>
    <row r="1997" spans="1:16" x14ac:dyDescent="0.35">
      <c r="A1997">
        <v>706376</v>
      </c>
      <c r="B1997" t="s">
        <v>71</v>
      </c>
      <c r="C1997" t="s">
        <v>138</v>
      </c>
      <c r="D1997" t="s">
        <v>551</v>
      </c>
      <c r="E1997" t="s">
        <v>694</v>
      </c>
      <c r="F1997" t="s">
        <v>187</v>
      </c>
      <c r="G1997" s="1">
        <v>45915</v>
      </c>
      <c r="H1997" s="1">
        <v>45968</v>
      </c>
      <c r="I1997" s="2">
        <v>300</v>
      </c>
      <c r="J1997" t="s">
        <v>778</v>
      </c>
      <c r="K1997" t="s">
        <v>783</v>
      </c>
      <c r="L1997" t="s">
        <v>823</v>
      </c>
      <c r="M1997" t="s">
        <v>830</v>
      </c>
      <c r="N1997" t="str">
        <f t="shared" si="93"/>
        <v>T-3</v>
      </c>
      <c r="O1997">
        <f t="shared" si="94"/>
        <v>2025</v>
      </c>
      <c r="P1997" t="str">
        <f t="shared" si="95"/>
        <v>9. septiembre</v>
      </c>
    </row>
    <row r="1998" spans="1:16" x14ac:dyDescent="0.35">
      <c r="A1998">
        <v>714835</v>
      </c>
      <c r="B1998" t="s">
        <v>29</v>
      </c>
      <c r="C1998" t="s">
        <v>136</v>
      </c>
      <c r="D1998" t="s">
        <v>146</v>
      </c>
      <c r="E1998" t="s">
        <v>694</v>
      </c>
      <c r="F1998" t="s">
        <v>187</v>
      </c>
      <c r="G1998" s="1">
        <v>45915</v>
      </c>
      <c r="H1998" s="1">
        <v>45968</v>
      </c>
      <c r="I1998" s="2">
        <v>562.5</v>
      </c>
      <c r="J1998" t="s">
        <v>778</v>
      </c>
      <c r="K1998" t="s">
        <v>783</v>
      </c>
      <c r="L1998" t="s">
        <v>823</v>
      </c>
      <c r="M1998" t="s">
        <v>828</v>
      </c>
      <c r="N1998" t="str">
        <f t="shared" si="93"/>
        <v>T-3</v>
      </c>
      <c r="O1998">
        <f t="shared" si="94"/>
        <v>2025</v>
      </c>
      <c r="P1998" t="str">
        <f t="shared" si="95"/>
        <v>9. septiembre</v>
      </c>
    </row>
    <row r="1999" spans="1:16" x14ac:dyDescent="0.35">
      <c r="A1999">
        <v>721652</v>
      </c>
      <c r="B1999" t="s">
        <v>71</v>
      </c>
      <c r="C1999" t="s">
        <v>138</v>
      </c>
      <c r="D1999" t="s">
        <v>556</v>
      </c>
      <c r="E1999" t="s">
        <v>694</v>
      </c>
      <c r="F1999" t="s">
        <v>187</v>
      </c>
      <c r="G1999" s="1">
        <v>45915</v>
      </c>
      <c r="H1999" s="1">
        <v>45968</v>
      </c>
      <c r="I1999" s="2">
        <v>300</v>
      </c>
      <c r="J1999" t="s">
        <v>778</v>
      </c>
      <c r="K1999" t="s">
        <v>783</v>
      </c>
      <c r="L1999" t="s">
        <v>823</v>
      </c>
      <c r="M1999" t="s">
        <v>828</v>
      </c>
      <c r="N1999" t="str">
        <f t="shared" si="93"/>
        <v>T-3</v>
      </c>
      <c r="O1999">
        <f t="shared" si="94"/>
        <v>2025</v>
      </c>
      <c r="P1999" t="str">
        <f t="shared" si="95"/>
        <v>9. septiembre</v>
      </c>
    </row>
    <row r="2000" spans="1:16" x14ac:dyDescent="0.35">
      <c r="A2000">
        <v>610388</v>
      </c>
      <c r="B2000" t="s">
        <v>13</v>
      </c>
      <c r="C2000" t="s">
        <v>136</v>
      </c>
      <c r="D2000" t="s">
        <v>556</v>
      </c>
      <c r="E2000" t="s">
        <v>694</v>
      </c>
      <c r="F2000" t="s">
        <v>187</v>
      </c>
      <c r="G2000" s="1">
        <v>45915</v>
      </c>
      <c r="H2000" s="1">
        <v>45968</v>
      </c>
      <c r="I2000" s="2">
        <v>300</v>
      </c>
      <c r="J2000" t="s">
        <v>778</v>
      </c>
      <c r="K2000" t="s">
        <v>783</v>
      </c>
      <c r="L2000" t="s">
        <v>823</v>
      </c>
      <c r="M2000" t="s">
        <v>829</v>
      </c>
      <c r="N2000" t="str">
        <f t="shared" si="93"/>
        <v>T-3</v>
      </c>
      <c r="O2000">
        <f t="shared" si="94"/>
        <v>2025</v>
      </c>
      <c r="P2000" t="str">
        <f t="shared" si="95"/>
        <v>9. septiembre</v>
      </c>
    </row>
    <row r="2001" spans="1:16" x14ac:dyDescent="0.35">
      <c r="A2001">
        <v>719362</v>
      </c>
      <c r="B2001" t="s">
        <v>4</v>
      </c>
      <c r="C2001" t="s">
        <v>138</v>
      </c>
      <c r="D2001" t="s">
        <v>394</v>
      </c>
      <c r="E2001" t="s">
        <v>694</v>
      </c>
      <c r="F2001" t="s">
        <v>187</v>
      </c>
      <c r="G2001" s="1">
        <v>45915</v>
      </c>
      <c r="H2001" s="1">
        <v>45968</v>
      </c>
      <c r="I2001" s="2">
        <v>810</v>
      </c>
      <c r="J2001" t="s">
        <v>778</v>
      </c>
      <c r="K2001" t="s">
        <v>783</v>
      </c>
      <c r="L2001" t="s">
        <v>823</v>
      </c>
      <c r="M2001" t="s">
        <v>830</v>
      </c>
      <c r="N2001" t="str">
        <f t="shared" si="93"/>
        <v>T-3</v>
      </c>
      <c r="O2001">
        <f t="shared" si="94"/>
        <v>2025</v>
      </c>
      <c r="P2001" t="str">
        <f t="shared" si="95"/>
        <v>9. septiembre</v>
      </c>
    </row>
    <row r="2002" spans="1:16" x14ac:dyDescent="0.35">
      <c r="A2002">
        <v>565986</v>
      </c>
      <c r="B2002" t="s">
        <v>22</v>
      </c>
      <c r="C2002" t="s">
        <v>138</v>
      </c>
      <c r="D2002" t="s">
        <v>167</v>
      </c>
      <c r="E2002" t="s">
        <v>717</v>
      </c>
      <c r="F2002" t="s">
        <v>773</v>
      </c>
      <c r="G2002" s="1">
        <v>46341</v>
      </c>
      <c r="H2002" s="1">
        <v>46341</v>
      </c>
      <c r="I2002" s="2">
        <v>384.75</v>
      </c>
      <c r="J2002" t="s">
        <v>774</v>
      </c>
      <c r="K2002" t="s">
        <v>783</v>
      </c>
      <c r="L2002" t="s">
        <v>824</v>
      </c>
      <c r="M2002" t="s">
        <v>830</v>
      </c>
      <c r="N2002" t="str">
        <f t="shared" si="93"/>
        <v>T-4</v>
      </c>
      <c r="O2002">
        <f t="shared" si="94"/>
        <v>2026</v>
      </c>
      <c r="P2002" t="str">
        <f t="shared" si="95"/>
        <v>11. noviembre</v>
      </c>
    </row>
    <row r="2003" spans="1:16" x14ac:dyDescent="0.35">
      <c r="A2003">
        <v>401787</v>
      </c>
      <c r="B2003" t="s">
        <v>42</v>
      </c>
      <c r="C2003" t="s">
        <v>141</v>
      </c>
      <c r="D2003" t="s">
        <v>167</v>
      </c>
      <c r="E2003" t="s">
        <v>717</v>
      </c>
      <c r="F2003" t="s">
        <v>773</v>
      </c>
      <c r="G2003" s="1">
        <v>46341</v>
      </c>
      <c r="H2003" s="1">
        <v>46341</v>
      </c>
      <c r="I2003" s="2">
        <v>384.75</v>
      </c>
      <c r="J2003" t="s">
        <v>774</v>
      </c>
      <c r="K2003" t="s">
        <v>783</v>
      </c>
      <c r="L2003" t="s">
        <v>823</v>
      </c>
      <c r="M2003" t="s">
        <v>828</v>
      </c>
      <c r="N2003" t="str">
        <f t="shared" si="93"/>
        <v>T-4</v>
      </c>
      <c r="O2003">
        <f t="shared" si="94"/>
        <v>2026</v>
      </c>
      <c r="P2003" t="str">
        <f t="shared" si="95"/>
        <v>11. noviembre</v>
      </c>
    </row>
    <row r="2004" spans="1:16" x14ac:dyDescent="0.35">
      <c r="A2004">
        <v>562018</v>
      </c>
      <c r="B2004" t="s">
        <v>5</v>
      </c>
      <c r="C2004" t="s">
        <v>138</v>
      </c>
      <c r="D2004" t="s">
        <v>167</v>
      </c>
      <c r="E2004" t="s">
        <v>717</v>
      </c>
      <c r="F2004" t="s">
        <v>773</v>
      </c>
      <c r="G2004" s="1">
        <v>46341</v>
      </c>
      <c r="H2004" s="1">
        <v>46341</v>
      </c>
      <c r="I2004" s="2">
        <v>384.75</v>
      </c>
      <c r="J2004" t="s">
        <v>774</v>
      </c>
      <c r="K2004" t="s">
        <v>783</v>
      </c>
      <c r="L2004" t="s">
        <v>823</v>
      </c>
      <c r="M2004" t="s">
        <v>830</v>
      </c>
      <c r="N2004" t="str">
        <f t="shared" si="93"/>
        <v>T-4</v>
      </c>
      <c r="O2004">
        <f t="shared" si="94"/>
        <v>2026</v>
      </c>
      <c r="P2004" t="str">
        <f t="shared" si="95"/>
        <v>11. noviembre</v>
      </c>
    </row>
    <row r="2005" spans="1:16" x14ac:dyDescent="0.35">
      <c r="A2005">
        <v>751018</v>
      </c>
      <c r="B2005" t="s">
        <v>31</v>
      </c>
      <c r="C2005" t="s">
        <v>137</v>
      </c>
      <c r="D2005" t="s">
        <v>167</v>
      </c>
      <c r="E2005" t="s">
        <v>717</v>
      </c>
      <c r="F2005" t="s">
        <v>773</v>
      </c>
      <c r="G2005" s="1">
        <v>46341</v>
      </c>
      <c r="H2005" s="1">
        <v>46341</v>
      </c>
      <c r="I2005" s="2">
        <v>384.75</v>
      </c>
      <c r="J2005" t="s">
        <v>774</v>
      </c>
      <c r="K2005" t="s">
        <v>783</v>
      </c>
      <c r="L2005" t="s">
        <v>823</v>
      </c>
      <c r="M2005" t="s">
        <v>829</v>
      </c>
      <c r="N2005" t="str">
        <f t="shared" si="93"/>
        <v>T-4</v>
      </c>
      <c r="O2005">
        <f t="shared" si="94"/>
        <v>2026</v>
      </c>
      <c r="P2005" t="str">
        <f t="shared" si="95"/>
        <v>11. noviembre</v>
      </c>
    </row>
    <row r="2006" spans="1:16" x14ac:dyDescent="0.35">
      <c r="A2006">
        <v>362467</v>
      </c>
      <c r="B2006" t="s">
        <v>2</v>
      </c>
      <c r="C2006" t="s">
        <v>138</v>
      </c>
      <c r="D2006" t="s">
        <v>167</v>
      </c>
      <c r="E2006" t="s">
        <v>717</v>
      </c>
      <c r="F2006" t="s">
        <v>773</v>
      </c>
      <c r="G2006" s="1">
        <v>46341</v>
      </c>
      <c r="H2006" s="1">
        <v>46341</v>
      </c>
      <c r="I2006" s="2">
        <v>384.75</v>
      </c>
      <c r="J2006" t="s">
        <v>774</v>
      </c>
      <c r="K2006" t="s">
        <v>783</v>
      </c>
      <c r="L2006" t="s">
        <v>823</v>
      </c>
      <c r="M2006" t="s">
        <v>830</v>
      </c>
      <c r="N2006" t="str">
        <f t="shared" si="93"/>
        <v>T-4</v>
      </c>
      <c r="O2006">
        <f t="shared" si="94"/>
        <v>2026</v>
      </c>
      <c r="P2006" t="str">
        <f t="shared" si="95"/>
        <v>11. noviembre</v>
      </c>
    </row>
    <row r="2007" spans="1:16" x14ac:dyDescent="0.35">
      <c r="A2007">
        <v>601350</v>
      </c>
      <c r="B2007" t="s">
        <v>13</v>
      </c>
      <c r="C2007" t="s">
        <v>136</v>
      </c>
      <c r="D2007" t="s">
        <v>538</v>
      </c>
      <c r="E2007" t="s">
        <v>752</v>
      </c>
      <c r="F2007" t="s">
        <v>187</v>
      </c>
      <c r="G2007" s="1">
        <v>45972</v>
      </c>
      <c r="H2007" s="1">
        <v>45972</v>
      </c>
      <c r="I2007" s="2">
        <v>600</v>
      </c>
      <c r="J2007" t="s">
        <v>779</v>
      </c>
      <c r="K2007" t="s">
        <v>783</v>
      </c>
      <c r="L2007" t="s">
        <v>823</v>
      </c>
      <c r="M2007" t="s">
        <v>830</v>
      </c>
      <c r="N2007" t="str">
        <f t="shared" si="93"/>
        <v>T-4</v>
      </c>
      <c r="O2007">
        <f t="shared" si="94"/>
        <v>2025</v>
      </c>
      <c r="P2007" t="str">
        <f t="shared" si="95"/>
        <v>11. noviembre</v>
      </c>
    </row>
    <row r="2008" spans="1:16" x14ac:dyDescent="0.35">
      <c r="A2008">
        <v>66926</v>
      </c>
      <c r="B2008" t="s">
        <v>45</v>
      </c>
      <c r="C2008" t="s">
        <v>139</v>
      </c>
      <c r="D2008" t="s">
        <v>538</v>
      </c>
      <c r="E2008" t="s">
        <v>752</v>
      </c>
      <c r="F2008" t="s">
        <v>187</v>
      </c>
      <c r="G2008" s="1">
        <v>45973</v>
      </c>
      <c r="H2008" s="1">
        <v>45973</v>
      </c>
      <c r="I2008" s="2">
        <v>514.28</v>
      </c>
      <c r="J2008" t="s">
        <v>779</v>
      </c>
      <c r="K2008" t="s">
        <v>783</v>
      </c>
      <c r="L2008" t="s">
        <v>823</v>
      </c>
      <c r="M2008" t="s">
        <v>828</v>
      </c>
      <c r="N2008" t="str">
        <f t="shared" si="93"/>
        <v>T-4</v>
      </c>
      <c r="O2008">
        <f t="shared" si="94"/>
        <v>2025</v>
      </c>
      <c r="P2008" t="str">
        <f t="shared" si="95"/>
        <v>11. noviembre</v>
      </c>
    </row>
    <row r="2009" spans="1:16" x14ac:dyDescent="0.35">
      <c r="A2009">
        <v>751450</v>
      </c>
      <c r="B2009" t="s">
        <v>31</v>
      </c>
      <c r="C2009" t="s">
        <v>138</v>
      </c>
      <c r="D2009" t="s">
        <v>642</v>
      </c>
      <c r="E2009" t="s">
        <v>678</v>
      </c>
      <c r="F2009" t="s">
        <v>773</v>
      </c>
      <c r="G2009" s="1">
        <v>45979</v>
      </c>
      <c r="H2009" s="1">
        <v>45988</v>
      </c>
      <c r="I2009" s="2">
        <v>325</v>
      </c>
      <c r="J2009" t="s">
        <v>776</v>
      </c>
      <c r="K2009" t="s">
        <v>783</v>
      </c>
      <c r="L2009" t="s">
        <v>824</v>
      </c>
      <c r="M2009" t="s">
        <v>828</v>
      </c>
      <c r="N2009" t="str">
        <f t="shared" si="93"/>
        <v>T-4</v>
      </c>
      <c r="O2009">
        <f t="shared" si="94"/>
        <v>2025</v>
      </c>
      <c r="P2009" t="str">
        <f t="shared" si="95"/>
        <v>11. noviembre</v>
      </c>
    </row>
    <row r="2010" spans="1:16" x14ac:dyDescent="0.35">
      <c r="A2010">
        <v>710057</v>
      </c>
      <c r="B2010" t="s">
        <v>27</v>
      </c>
      <c r="C2010" t="s">
        <v>138</v>
      </c>
      <c r="D2010" t="s">
        <v>642</v>
      </c>
      <c r="E2010" t="s">
        <v>678</v>
      </c>
      <c r="F2010" t="s">
        <v>773</v>
      </c>
      <c r="G2010" s="1">
        <v>45979</v>
      </c>
      <c r="H2010" s="1">
        <v>45988</v>
      </c>
      <c r="I2010" s="2">
        <v>325</v>
      </c>
      <c r="J2010" t="s">
        <v>776</v>
      </c>
      <c r="K2010" t="s">
        <v>783</v>
      </c>
      <c r="L2010" t="s">
        <v>823</v>
      </c>
      <c r="M2010" t="s">
        <v>830</v>
      </c>
      <c r="N2010" t="str">
        <f t="shared" si="93"/>
        <v>T-4</v>
      </c>
      <c r="O2010">
        <f t="shared" si="94"/>
        <v>2025</v>
      </c>
      <c r="P2010" t="str">
        <f t="shared" si="95"/>
        <v>11. noviembre</v>
      </c>
    </row>
    <row r="2011" spans="1:16" x14ac:dyDescent="0.35">
      <c r="A2011">
        <v>717759</v>
      </c>
      <c r="B2011" t="s">
        <v>24</v>
      </c>
      <c r="C2011" t="s">
        <v>137</v>
      </c>
      <c r="D2011" t="s">
        <v>642</v>
      </c>
      <c r="E2011" t="s">
        <v>678</v>
      </c>
      <c r="F2011" t="s">
        <v>773</v>
      </c>
      <c r="G2011" s="1">
        <v>45979</v>
      </c>
      <c r="H2011" s="1">
        <v>45988</v>
      </c>
      <c r="I2011" s="2">
        <v>1950</v>
      </c>
      <c r="J2011" t="s">
        <v>776</v>
      </c>
      <c r="K2011" t="s">
        <v>783</v>
      </c>
      <c r="L2011" t="s">
        <v>823</v>
      </c>
      <c r="M2011" t="s">
        <v>829</v>
      </c>
      <c r="N2011" t="str">
        <f t="shared" si="93"/>
        <v>T-4</v>
      </c>
      <c r="O2011">
        <f t="shared" si="94"/>
        <v>2025</v>
      </c>
      <c r="P2011" t="str">
        <f t="shared" si="95"/>
        <v>11. noviembre</v>
      </c>
    </row>
    <row r="2012" spans="1:16" x14ac:dyDescent="0.35">
      <c r="A2012">
        <v>456619</v>
      </c>
      <c r="B2012" t="s">
        <v>93</v>
      </c>
      <c r="C2012" t="s">
        <v>138</v>
      </c>
      <c r="D2012" t="s">
        <v>643</v>
      </c>
      <c r="E2012" t="s">
        <v>772</v>
      </c>
      <c r="F2012" t="s">
        <v>773</v>
      </c>
      <c r="G2012" s="1">
        <v>46019</v>
      </c>
      <c r="H2012" s="1">
        <v>46021</v>
      </c>
      <c r="I2012" s="2">
        <v>2775</v>
      </c>
      <c r="J2012" t="s">
        <v>774</v>
      </c>
      <c r="K2012" t="s">
        <v>783</v>
      </c>
      <c r="L2012" t="s">
        <v>823</v>
      </c>
      <c r="M2012" t="s">
        <v>830</v>
      </c>
      <c r="N2012" t="str">
        <f t="shared" si="93"/>
        <v>T-4</v>
      </c>
      <c r="O2012">
        <f t="shared" si="94"/>
        <v>2025</v>
      </c>
      <c r="P2012" t="str">
        <f t="shared" si="95"/>
        <v>12. diciembre</v>
      </c>
    </row>
    <row r="2013" spans="1:16" x14ac:dyDescent="0.35">
      <c r="A2013">
        <v>723792</v>
      </c>
      <c r="B2013" t="s">
        <v>5</v>
      </c>
      <c r="C2013" t="s">
        <v>138</v>
      </c>
      <c r="D2013" t="s">
        <v>550</v>
      </c>
      <c r="E2013" t="s">
        <v>694</v>
      </c>
      <c r="F2013" t="s">
        <v>187</v>
      </c>
      <c r="G2013" s="1">
        <v>45915</v>
      </c>
      <c r="H2013" s="1">
        <v>45961</v>
      </c>
      <c r="I2013" s="2">
        <v>450</v>
      </c>
      <c r="J2013" t="s">
        <v>778</v>
      </c>
      <c r="K2013" t="s">
        <v>783</v>
      </c>
      <c r="L2013" t="s">
        <v>823</v>
      </c>
      <c r="M2013" t="s">
        <v>830</v>
      </c>
      <c r="N2013" t="str">
        <f t="shared" si="93"/>
        <v>T-3</v>
      </c>
      <c r="O2013">
        <f t="shared" si="94"/>
        <v>2025</v>
      </c>
      <c r="P2013" t="str">
        <f t="shared" si="95"/>
        <v>9. septiembre</v>
      </c>
    </row>
    <row r="2014" spans="1:16" x14ac:dyDescent="0.35">
      <c r="A2014">
        <v>751065</v>
      </c>
      <c r="B2014" t="s">
        <v>31</v>
      </c>
      <c r="C2014" t="s">
        <v>138</v>
      </c>
      <c r="D2014" t="s">
        <v>550</v>
      </c>
      <c r="E2014" t="s">
        <v>694</v>
      </c>
      <c r="F2014" t="s">
        <v>187</v>
      </c>
      <c r="G2014" s="1">
        <v>45915</v>
      </c>
      <c r="H2014" s="1">
        <v>45961</v>
      </c>
      <c r="I2014" s="2">
        <v>562.5</v>
      </c>
      <c r="J2014" t="s">
        <v>778</v>
      </c>
      <c r="K2014" t="s">
        <v>783</v>
      </c>
      <c r="L2014" t="s">
        <v>823</v>
      </c>
      <c r="M2014" t="s">
        <v>828</v>
      </c>
      <c r="N2014" t="str">
        <f t="shared" si="93"/>
        <v>T-3</v>
      </c>
      <c r="O2014">
        <f t="shared" si="94"/>
        <v>2025</v>
      </c>
      <c r="P2014" t="str">
        <f t="shared" si="95"/>
        <v>9. septiembre</v>
      </c>
    </row>
    <row r="2015" spans="1:16" x14ac:dyDescent="0.35">
      <c r="A2015">
        <v>501753</v>
      </c>
      <c r="B2015" t="s">
        <v>2</v>
      </c>
      <c r="C2015" t="s">
        <v>138</v>
      </c>
      <c r="D2015" t="s">
        <v>356</v>
      </c>
      <c r="E2015" t="s">
        <v>694</v>
      </c>
      <c r="F2015" t="s">
        <v>187</v>
      </c>
      <c r="G2015" s="1">
        <v>45915</v>
      </c>
      <c r="H2015" s="1">
        <v>45961</v>
      </c>
      <c r="I2015" s="2">
        <v>1425</v>
      </c>
      <c r="J2015" t="s">
        <v>778</v>
      </c>
      <c r="K2015" t="s">
        <v>783</v>
      </c>
      <c r="L2015" t="s">
        <v>823</v>
      </c>
      <c r="M2015" t="s">
        <v>828</v>
      </c>
      <c r="N2015" t="str">
        <f t="shared" si="93"/>
        <v>T-3</v>
      </c>
      <c r="O2015">
        <f t="shared" si="94"/>
        <v>2025</v>
      </c>
      <c r="P2015" t="str">
        <f t="shared" si="95"/>
        <v>9. septiembre</v>
      </c>
    </row>
    <row r="2016" spans="1:16" x14ac:dyDescent="0.35">
      <c r="A2016">
        <v>485420</v>
      </c>
      <c r="B2016" t="s">
        <v>23</v>
      </c>
      <c r="C2016" t="s">
        <v>136</v>
      </c>
      <c r="D2016" t="s">
        <v>178</v>
      </c>
      <c r="E2016" t="s">
        <v>694</v>
      </c>
      <c r="F2016" t="s">
        <v>187</v>
      </c>
      <c r="G2016" s="1">
        <v>45915</v>
      </c>
      <c r="H2016" s="1">
        <v>45961</v>
      </c>
      <c r="I2016" s="2">
        <v>300</v>
      </c>
      <c r="J2016" t="s">
        <v>778</v>
      </c>
      <c r="K2016" t="s">
        <v>783</v>
      </c>
      <c r="L2016" t="s">
        <v>823</v>
      </c>
      <c r="M2016" t="s">
        <v>829</v>
      </c>
      <c r="N2016" t="str">
        <f t="shared" si="93"/>
        <v>T-3</v>
      </c>
      <c r="O2016">
        <f t="shared" si="94"/>
        <v>2025</v>
      </c>
      <c r="P2016" t="str">
        <f t="shared" si="95"/>
        <v>9. septiembre</v>
      </c>
    </row>
    <row r="2017" spans="1:16" x14ac:dyDescent="0.35">
      <c r="A2017">
        <v>702847</v>
      </c>
      <c r="B2017" t="s">
        <v>34</v>
      </c>
      <c r="C2017" t="s">
        <v>141</v>
      </c>
      <c r="D2017" t="s">
        <v>555</v>
      </c>
      <c r="E2017" t="s">
        <v>694</v>
      </c>
      <c r="F2017" t="s">
        <v>187</v>
      </c>
      <c r="G2017" s="1">
        <v>45915</v>
      </c>
      <c r="H2017" s="1">
        <v>45961</v>
      </c>
      <c r="I2017" s="2">
        <v>600</v>
      </c>
      <c r="J2017" t="s">
        <v>778</v>
      </c>
      <c r="K2017" t="s">
        <v>783</v>
      </c>
      <c r="L2017" t="s">
        <v>824</v>
      </c>
      <c r="M2017" t="s">
        <v>830</v>
      </c>
      <c r="N2017" t="str">
        <f t="shared" si="93"/>
        <v>T-3</v>
      </c>
      <c r="O2017">
        <f t="shared" si="94"/>
        <v>2025</v>
      </c>
      <c r="P2017" t="str">
        <f t="shared" si="95"/>
        <v>9. septiembre</v>
      </c>
    </row>
    <row r="2018" spans="1:16" x14ac:dyDescent="0.35">
      <c r="A2018">
        <v>705838</v>
      </c>
      <c r="B2018" t="s">
        <v>19</v>
      </c>
      <c r="C2018" t="s">
        <v>140</v>
      </c>
      <c r="D2018" t="s">
        <v>555</v>
      </c>
      <c r="E2018" t="s">
        <v>694</v>
      </c>
      <c r="F2018" t="s">
        <v>187</v>
      </c>
      <c r="G2018" s="1">
        <v>45915</v>
      </c>
      <c r="H2018" s="1">
        <v>45961</v>
      </c>
      <c r="I2018" s="2">
        <v>1440</v>
      </c>
      <c r="J2018" t="s">
        <v>778</v>
      </c>
      <c r="K2018" t="s">
        <v>783</v>
      </c>
      <c r="L2018" t="s">
        <v>823</v>
      </c>
      <c r="M2018" t="s">
        <v>830</v>
      </c>
      <c r="N2018" t="str">
        <f t="shared" si="93"/>
        <v>T-3</v>
      </c>
      <c r="O2018">
        <f t="shared" si="94"/>
        <v>2025</v>
      </c>
      <c r="P2018" t="str">
        <f t="shared" si="95"/>
        <v>9. septiembre</v>
      </c>
    </row>
    <row r="2019" spans="1:16" x14ac:dyDescent="0.35">
      <c r="A2019">
        <v>414822</v>
      </c>
      <c r="B2019" t="s">
        <v>45</v>
      </c>
      <c r="C2019" t="s">
        <v>139</v>
      </c>
      <c r="D2019" t="s">
        <v>378</v>
      </c>
      <c r="E2019" t="s">
        <v>694</v>
      </c>
      <c r="F2019" t="s">
        <v>187</v>
      </c>
      <c r="G2019" s="1">
        <v>45915</v>
      </c>
      <c r="H2019" s="1">
        <v>45961</v>
      </c>
      <c r="I2019" s="2">
        <v>787.5</v>
      </c>
      <c r="J2019" t="s">
        <v>778</v>
      </c>
      <c r="K2019" t="s">
        <v>783</v>
      </c>
      <c r="L2019" t="s">
        <v>823</v>
      </c>
      <c r="M2019" t="s">
        <v>828</v>
      </c>
      <c r="N2019" t="str">
        <f t="shared" si="93"/>
        <v>T-3</v>
      </c>
      <c r="O2019">
        <f t="shared" si="94"/>
        <v>2025</v>
      </c>
      <c r="P2019" t="str">
        <f t="shared" si="95"/>
        <v>9. septiembre</v>
      </c>
    </row>
    <row r="2020" spans="1:16" x14ac:dyDescent="0.35">
      <c r="A2020">
        <v>714133</v>
      </c>
      <c r="B2020" t="s">
        <v>24</v>
      </c>
      <c r="C2020" t="s">
        <v>138</v>
      </c>
      <c r="D2020" t="s">
        <v>378</v>
      </c>
      <c r="E2020" t="s">
        <v>694</v>
      </c>
      <c r="F2020" t="s">
        <v>187</v>
      </c>
      <c r="G2020" s="1">
        <v>45915</v>
      </c>
      <c r="H2020" s="1">
        <v>45961</v>
      </c>
      <c r="I2020" s="2">
        <v>1012.5</v>
      </c>
      <c r="J2020" t="s">
        <v>778</v>
      </c>
      <c r="K2020" t="s">
        <v>783</v>
      </c>
      <c r="L2020" t="s">
        <v>823</v>
      </c>
      <c r="M2020" t="s">
        <v>830</v>
      </c>
      <c r="N2020" t="str">
        <f t="shared" si="93"/>
        <v>T-3</v>
      </c>
      <c r="O2020">
        <f t="shared" si="94"/>
        <v>2025</v>
      </c>
      <c r="P2020" t="str">
        <f t="shared" si="95"/>
        <v>9. septiembre</v>
      </c>
    </row>
    <row r="2021" spans="1:16" x14ac:dyDescent="0.35">
      <c r="A2021">
        <v>710749</v>
      </c>
      <c r="B2021" t="s">
        <v>39</v>
      </c>
      <c r="C2021" t="s">
        <v>138</v>
      </c>
      <c r="D2021" t="s">
        <v>379</v>
      </c>
      <c r="E2021" t="s">
        <v>694</v>
      </c>
      <c r="F2021" t="s">
        <v>187</v>
      </c>
      <c r="G2021" s="1">
        <v>45915</v>
      </c>
      <c r="H2021" s="1">
        <v>45961</v>
      </c>
      <c r="I2021" s="2">
        <v>2160</v>
      </c>
      <c r="J2021" t="s">
        <v>778</v>
      </c>
      <c r="K2021" t="s">
        <v>783</v>
      </c>
      <c r="L2021" t="s">
        <v>823</v>
      </c>
      <c r="M2021" t="s">
        <v>829</v>
      </c>
      <c r="N2021" t="str">
        <f t="shared" si="93"/>
        <v>T-3</v>
      </c>
      <c r="O2021">
        <f t="shared" si="94"/>
        <v>2025</v>
      </c>
      <c r="P2021" t="str">
        <f t="shared" si="95"/>
        <v>9. septiembre</v>
      </c>
    </row>
    <row r="2022" spans="1:16" x14ac:dyDescent="0.35">
      <c r="A2022">
        <v>589152</v>
      </c>
      <c r="B2022" t="s">
        <v>27</v>
      </c>
      <c r="C2022" t="s">
        <v>138</v>
      </c>
      <c r="D2022" t="s">
        <v>644</v>
      </c>
      <c r="E2022" t="s">
        <v>660</v>
      </c>
      <c r="F2022" t="s">
        <v>187</v>
      </c>
      <c r="G2022" s="1">
        <v>45964</v>
      </c>
      <c r="H2022" s="1">
        <v>45966</v>
      </c>
      <c r="I2022" s="2">
        <v>1365</v>
      </c>
      <c r="J2022" t="s">
        <v>776</v>
      </c>
      <c r="K2022" t="s">
        <v>783</v>
      </c>
      <c r="L2022" t="s">
        <v>823</v>
      </c>
      <c r="M2022" t="s">
        <v>830</v>
      </c>
      <c r="N2022" t="str">
        <f t="shared" si="93"/>
        <v>T-4</v>
      </c>
      <c r="O2022">
        <f t="shared" si="94"/>
        <v>2025</v>
      </c>
      <c r="P2022" t="str">
        <f t="shared" si="95"/>
        <v>11. noviembre</v>
      </c>
    </row>
    <row r="2023" spans="1:16" x14ac:dyDescent="0.35">
      <c r="A2023">
        <v>752380</v>
      </c>
      <c r="B2023" t="s">
        <v>31</v>
      </c>
      <c r="C2023" t="s">
        <v>136</v>
      </c>
      <c r="D2023" t="s">
        <v>645</v>
      </c>
      <c r="E2023" t="s">
        <v>660</v>
      </c>
      <c r="F2023" t="s">
        <v>187</v>
      </c>
      <c r="G2023" s="1">
        <v>45964</v>
      </c>
      <c r="H2023" s="1">
        <v>45968</v>
      </c>
      <c r="I2023" s="2">
        <v>4095</v>
      </c>
      <c r="J2023" t="s">
        <v>776</v>
      </c>
      <c r="K2023" t="s">
        <v>783</v>
      </c>
      <c r="L2023" t="s">
        <v>824</v>
      </c>
      <c r="M2023" t="s">
        <v>830</v>
      </c>
      <c r="N2023" t="str">
        <f t="shared" si="93"/>
        <v>T-4</v>
      </c>
      <c r="O2023">
        <f t="shared" si="94"/>
        <v>2025</v>
      </c>
      <c r="P2023" t="str">
        <f t="shared" si="95"/>
        <v>11. noviembre</v>
      </c>
    </row>
    <row r="2024" spans="1:16" x14ac:dyDescent="0.35">
      <c r="A2024">
        <v>15698</v>
      </c>
      <c r="B2024" t="s">
        <v>5</v>
      </c>
      <c r="C2024" t="s">
        <v>138</v>
      </c>
      <c r="D2024" t="s">
        <v>645</v>
      </c>
      <c r="E2024" t="s">
        <v>660</v>
      </c>
      <c r="F2024" t="s">
        <v>187</v>
      </c>
      <c r="G2024" s="1">
        <v>45964</v>
      </c>
      <c r="H2024" s="1">
        <v>45968</v>
      </c>
      <c r="I2024" s="2">
        <v>1365</v>
      </c>
      <c r="J2024" t="s">
        <v>776</v>
      </c>
      <c r="K2024" t="s">
        <v>783</v>
      </c>
      <c r="L2024" t="s">
        <v>823</v>
      </c>
      <c r="M2024" t="s">
        <v>828</v>
      </c>
      <c r="N2024" t="str">
        <f t="shared" si="93"/>
        <v>T-4</v>
      </c>
      <c r="O2024">
        <f t="shared" si="94"/>
        <v>2025</v>
      </c>
      <c r="P2024" t="str">
        <f t="shared" si="95"/>
        <v>11. noviembre</v>
      </c>
    </row>
    <row r="2025" spans="1:16" x14ac:dyDescent="0.35">
      <c r="A2025">
        <v>567357</v>
      </c>
      <c r="B2025" t="s">
        <v>45</v>
      </c>
      <c r="C2025" t="s">
        <v>138</v>
      </c>
      <c r="D2025" t="s">
        <v>353</v>
      </c>
      <c r="E2025" t="s">
        <v>660</v>
      </c>
      <c r="F2025" t="s">
        <v>187</v>
      </c>
      <c r="G2025" s="1">
        <v>45964</v>
      </c>
      <c r="H2025" s="1">
        <v>45966</v>
      </c>
      <c r="I2025" s="2">
        <v>3510</v>
      </c>
      <c r="J2025" t="s">
        <v>776</v>
      </c>
      <c r="K2025" t="s">
        <v>783</v>
      </c>
      <c r="L2025" t="s">
        <v>823</v>
      </c>
      <c r="M2025" t="s">
        <v>828</v>
      </c>
      <c r="N2025" t="str">
        <f t="shared" si="93"/>
        <v>T-4</v>
      </c>
      <c r="O2025">
        <f t="shared" si="94"/>
        <v>2025</v>
      </c>
      <c r="P2025" t="str">
        <f t="shared" si="95"/>
        <v>11. noviembre</v>
      </c>
    </row>
    <row r="2026" spans="1:16" x14ac:dyDescent="0.35">
      <c r="A2026">
        <v>507276</v>
      </c>
      <c r="B2026" t="s">
        <v>24</v>
      </c>
      <c r="C2026" t="s">
        <v>138</v>
      </c>
      <c r="D2026" t="s">
        <v>644</v>
      </c>
      <c r="E2026" t="s">
        <v>660</v>
      </c>
      <c r="F2026" t="s">
        <v>187</v>
      </c>
      <c r="G2026" s="1">
        <v>45964</v>
      </c>
      <c r="H2026" s="1">
        <v>45966</v>
      </c>
      <c r="I2026" s="2">
        <v>780</v>
      </c>
      <c r="J2026" t="s">
        <v>776</v>
      </c>
      <c r="K2026" t="s">
        <v>783</v>
      </c>
      <c r="L2026" t="s">
        <v>823</v>
      </c>
      <c r="M2026" t="s">
        <v>830</v>
      </c>
      <c r="N2026" t="str">
        <f t="shared" si="93"/>
        <v>T-4</v>
      </c>
      <c r="O2026">
        <f t="shared" si="94"/>
        <v>2025</v>
      </c>
      <c r="P2026" t="str">
        <f t="shared" si="95"/>
        <v>11. noviembre</v>
      </c>
    </row>
    <row r="2027" spans="1:16" x14ac:dyDescent="0.35">
      <c r="A2027">
        <v>705475</v>
      </c>
      <c r="B2027" t="s">
        <v>28</v>
      </c>
      <c r="C2027" t="s">
        <v>138</v>
      </c>
      <c r="D2027" t="s">
        <v>645</v>
      </c>
      <c r="E2027" t="s">
        <v>660</v>
      </c>
      <c r="F2027" t="s">
        <v>187</v>
      </c>
      <c r="G2027" s="1">
        <v>45964</v>
      </c>
      <c r="H2027" s="1">
        <v>45968</v>
      </c>
      <c r="I2027" s="2">
        <v>273</v>
      </c>
      <c r="J2027" t="s">
        <v>776</v>
      </c>
      <c r="K2027" t="s">
        <v>783</v>
      </c>
      <c r="L2027" t="s">
        <v>823</v>
      </c>
      <c r="M2027" t="s">
        <v>829</v>
      </c>
      <c r="N2027" t="str">
        <f t="shared" si="93"/>
        <v>T-4</v>
      </c>
      <c r="O2027">
        <f t="shared" si="94"/>
        <v>2025</v>
      </c>
      <c r="P2027" t="str">
        <f t="shared" si="95"/>
        <v>11. noviembre</v>
      </c>
    </row>
    <row r="2028" spans="1:16" x14ac:dyDescent="0.35">
      <c r="A2028">
        <v>566438</v>
      </c>
      <c r="B2028" t="s">
        <v>45</v>
      </c>
      <c r="C2028" t="s">
        <v>138</v>
      </c>
      <c r="D2028" t="s">
        <v>353</v>
      </c>
      <c r="E2028" t="s">
        <v>660</v>
      </c>
      <c r="F2028" t="s">
        <v>187</v>
      </c>
      <c r="G2028" s="1">
        <v>45964</v>
      </c>
      <c r="H2028" s="1">
        <v>45966</v>
      </c>
      <c r="I2028" s="2">
        <v>1755</v>
      </c>
      <c r="J2028" t="s">
        <v>776</v>
      </c>
      <c r="K2028" t="s">
        <v>783</v>
      </c>
      <c r="L2028" t="s">
        <v>823</v>
      </c>
      <c r="M2028" t="s">
        <v>830</v>
      </c>
      <c r="N2028" t="str">
        <f t="shared" si="93"/>
        <v>T-4</v>
      </c>
      <c r="O2028">
        <f t="shared" si="94"/>
        <v>2025</v>
      </c>
      <c r="P2028" t="str">
        <f t="shared" si="95"/>
        <v>11. noviembre</v>
      </c>
    </row>
    <row r="2029" spans="1:16" x14ac:dyDescent="0.35">
      <c r="A2029">
        <v>361578</v>
      </c>
      <c r="B2029" t="s">
        <v>5</v>
      </c>
      <c r="C2029" t="s">
        <v>138</v>
      </c>
      <c r="D2029" t="s">
        <v>645</v>
      </c>
      <c r="E2029" t="s">
        <v>660</v>
      </c>
      <c r="F2029" t="s">
        <v>187</v>
      </c>
      <c r="G2029" s="1">
        <v>45964</v>
      </c>
      <c r="H2029" s="1">
        <v>45968</v>
      </c>
      <c r="I2029" s="2">
        <v>1092</v>
      </c>
      <c r="J2029" t="s">
        <v>776</v>
      </c>
      <c r="K2029" t="s">
        <v>783</v>
      </c>
      <c r="L2029" t="s">
        <v>823</v>
      </c>
      <c r="M2029" t="s">
        <v>830</v>
      </c>
      <c r="N2029" t="str">
        <f t="shared" si="93"/>
        <v>T-4</v>
      </c>
      <c r="O2029">
        <f t="shared" si="94"/>
        <v>2025</v>
      </c>
      <c r="P2029" t="str">
        <f t="shared" si="95"/>
        <v>11. noviembre</v>
      </c>
    </row>
    <row r="2030" spans="1:16" x14ac:dyDescent="0.35">
      <c r="A2030">
        <v>565182</v>
      </c>
      <c r="B2030" t="s">
        <v>5</v>
      </c>
      <c r="C2030" t="s">
        <v>138</v>
      </c>
      <c r="D2030" t="s">
        <v>646</v>
      </c>
      <c r="E2030" t="s">
        <v>678</v>
      </c>
      <c r="F2030" t="s">
        <v>773</v>
      </c>
      <c r="G2030" s="1">
        <v>45986</v>
      </c>
      <c r="H2030" s="1">
        <v>45989</v>
      </c>
      <c r="I2030" s="2">
        <v>2400</v>
      </c>
      <c r="J2030" t="s">
        <v>776</v>
      </c>
      <c r="K2030" t="s">
        <v>783</v>
      </c>
      <c r="L2030" t="s">
        <v>824</v>
      </c>
      <c r="M2030" t="s">
        <v>828</v>
      </c>
      <c r="N2030" t="str">
        <f t="shared" si="93"/>
        <v>T-4</v>
      </c>
      <c r="O2030">
        <f t="shared" si="94"/>
        <v>2025</v>
      </c>
      <c r="P2030" t="str">
        <f t="shared" si="95"/>
        <v>11. noviembre</v>
      </c>
    </row>
    <row r="2031" spans="1:16" x14ac:dyDescent="0.35">
      <c r="A2031">
        <v>703386</v>
      </c>
      <c r="B2031" t="s">
        <v>66</v>
      </c>
      <c r="C2031" t="s">
        <v>138</v>
      </c>
      <c r="D2031" t="s">
        <v>371</v>
      </c>
      <c r="E2031" t="s">
        <v>720</v>
      </c>
      <c r="F2031" t="s">
        <v>187</v>
      </c>
      <c r="G2031" s="1">
        <v>45964</v>
      </c>
      <c r="H2031" s="1">
        <v>45967</v>
      </c>
      <c r="I2031" s="2">
        <v>260</v>
      </c>
      <c r="J2031" t="s">
        <v>776</v>
      </c>
      <c r="K2031" t="s">
        <v>783</v>
      </c>
      <c r="L2031" t="s">
        <v>823</v>
      </c>
      <c r="M2031" t="s">
        <v>828</v>
      </c>
      <c r="N2031" t="str">
        <f t="shared" si="93"/>
        <v>T-4</v>
      </c>
      <c r="O2031">
        <f t="shared" si="94"/>
        <v>2025</v>
      </c>
      <c r="P2031" t="str">
        <f t="shared" si="95"/>
        <v>11. noviembre</v>
      </c>
    </row>
    <row r="2032" spans="1:16" x14ac:dyDescent="0.35">
      <c r="A2032">
        <v>566764</v>
      </c>
      <c r="B2032" t="s">
        <v>20</v>
      </c>
      <c r="C2032" t="s">
        <v>136</v>
      </c>
      <c r="D2032" t="s">
        <v>371</v>
      </c>
      <c r="E2032" t="s">
        <v>720</v>
      </c>
      <c r="F2032" t="s">
        <v>187</v>
      </c>
      <c r="G2032" s="1">
        <v>45964</v>
      </c>
      <c r="H2032" s="1">
        <v>45967</v>
      </c>
      <c r="I2032" s="2">
        <v>2080</v>
      </c>
      <c r="J2032" t="s">
        <v>776</v>
      </c>
      <c r="K2032" t="s">
        <v>783</v>
      </c>
      <c r="L2032" t="s">
        <v>823</v>
      </c>
      <c r="M2032" t="s">
        <v>829</v>
      </c>
      <c r="N2032" t="str">
        <f t="shared" si="93"/>
        <v>T-4</v>
      </c>
      <c r="O2032">
        <f t="shared" si="94"/>
        <v>2025</v>
      </c>
      <c r="P2032" t="str">
        <f t="shared" si="95"/>
        <v>11. noviembre</v>
      </c>
    </row>
    <row r="2033" spans="1:16" x14ac:dyDescent="0.35">
      <c r="A2033">
        <v>721925</v>
      </c>
      <c r="B2033" t="s">
        <v>46</v>
      </c>
      <c r="C2033" t="s">
        <v>137</v>
      </c>
      <c r="D2033" t="s">
        <v>371</v>
      </c>
      <c r="E2033" t="s">
        <v>720</v>
      </c>
      <c r="F2033" t="s">
        <v>187</v>
      </c>
      <c r="G2033" s="1">
        <v>45964</v>
      </c>
      <c r="H2033" s="1">
        <v>45967</v>
      </c>
      <c r="I2033" s="2">
        <v>260</v>
      </c>
      <c r="J2033" t="s">
        <v>776</v>
      </c>
      <c r="K2033" t="s">
        <v>783</v>
      </c>
      <c r="L2033" t="s">
        <v>823</v>
      </c>
      <c r="M2033" t="s">
        <v>830</v>
      </c>
      <c r="N2033" t="str">
        <f t="shared" si="93"/>
        <v>T-4</v>
      </c>
      <c r="O2033">
        <f t="shared" si="94"/>
        <v>2025</v>
      </c>
      <c r="P2033" t="str">
        <f t="shared" si="95"/>
        <v>11. noviembre</v>
      </c>
    </row>
    <row r="2034" spans="1:16" x14ac:dyDescent="0.35">
      <c r="A2034">
        <v>409735</v>
      </c>
      <c r="B2034" t="s">
        <v>22</v>
      </c>
      <c r="C2034" t="s">
        <v>138</v>
      </c>
      <c r="D2034" t="s">
        <v>371</v>
      </c>
      <c r="E2034" t="s">
        <v>720</v>
      </c>
      <c r="F2034" t="s">
        <v>187</v>
      </c>
      <c r="G2034" s="1">
        <v>45964</v>
      </c>
      <c r="H2034" s="1">
        <v>45967</v>
      </c>
      <c r="I2034" s="2">
        <v>520</v>
      </c>
      <c r="J2034" t="s">
        <v>776</v>
      </c>
      <c r="K2034" t="s">
        <v>783</v>
      </c>
      <c r="L2034" t="s">
        <v>823</v>
      </c>
      <c r="M2034" t="s">
        <v>830</v>
      </c>
      <c r="N2034" t="str">
        <f t="shared" si="93"/>
        <v>T-4</v>
      </c>
      <c r="O2034">
        <f t="shared" si="94"/>
        <v>2025</v>
      </c>
      <c r="P2034" t="str">
        <f t="shared" si="95"/>
        <v>11. noviembre</v>
      </c>
    </row>
    <row r="2035" spans="1:16" x14ac:dyDescent="0.35">
      <c r="A2035">
        <v>560413</v>
      </c>
      <c r="B2035" t="s">
        <v>5</v>
      </c>
      <c r="C2035" t="s">
        <v>138</v>
      </c>
      <c r="D2035" t="s">
        <v>371</v>
      </c>
      <c r="E2035" t="s">
        <v>720</v>
      </c>
      <c r="F2035" t="s">
        <v>187</v>
      </c>
      <c r="G2035" s="1">
        <v>45964</v>
      </c>
      <c r="H2035" s="1">
        <v>45967</v>
      </c>
      <c r="I2035" s="2">
        <v>260</v>
      </c>
      <c r="J2035" t="s">
        <v>776</v>
      </c>
      <c r="K2035" t="s">
        <v>783</v>
      </c>
      <c r="L2035" t="s">
        <v>823</v>
      </c>
      <c r="M2035" t="s">
        <v>828</v>
      </c>
      <c r="N2035" t="str">
        <f t="shared" si="93"/>
        <v>T-4</v>
      </c>
      <c r="O2035">
        <f t="shared" si="94"/>
        <v>2025</v>
      </c>
      <c r="P2035" t="str">
        <f t="shared" si="95"/>
        <v>11. noviembre</v>
      </c>
    </row>
    <row r="2036" spans="1:16" x14ac:dyDescent="0.35">
      <c r="A2036">
        <v>438513</v>
      </c>
      <c r="B2036" t="s">
        <v>5</v>
      </c>
      <c r="C2036" t="s">
        <v>138</v>
      </c>
      <c r="D2036" t="s">
        <v>487</v>
      </c>
      <c r="E2036" t="s">
        <v>654</v>
      </c>
      <c r="F2036" t="s">
        <v>187</v>
      </c>
      <c r="G2036" s="1">
        <v>45965</v>
      </c>
      <c r="H2036" s="1">
        <v>45965</v>
      </c>
      <c r="I2036" s="2">
        <v>209</v>
      </c>
      <c r="J2036" t="s">
        <v>777</v>
      </c>
      <c r="K2036" t="s">
        <v>783</v>
      </c>
      <c r="L2036" t="s">
        <v>823</v>
      </c>
      <c r="M2036" t="s">
        <v>830</v>
      </c>
      <c r="N2036" t="str">
        <f t="shared" si="93"/>
        <v>T-4</v>
      </c>
      <c r="O2036">
        <f t="shared" si="94"/>
        <v>2025</v>
      </c>
      <c r="P2036" t="str">
        <f t="shared" si="95"/>
        <v>11. noviembre</v>
      </c>
    </row>
    <row r="2037" spans="1:16" x14ac:dyDescent="0.35">
      <c r="A2037">
        <v>751327</v>
      </c>
      <c r="B2037" t="s">
        <v>31</v>
      </c>
      <c r="C2037" t="s">
        <v>136</v>
      </c>
      <c r="D2037" t="s">
        <v>351</v>
      </c>
      <c r="E2037" t="s">
        <v>647</v>
      </c>
      <c r="F2037" t="s">
        <v>773</v>
      </c>
      <c r="G2037" s="1">
        <v>46237</v>
      </c>
      <c r="H2037" s="1">
        <v>46237</v>
      </c>
      <c r="I2037" s="2">
        <v>240</v>
      </c>
      <c r="J2037" t="s">
        <v>774</v>
      </c>
      <c r="K2037" t="s">
        <v>783</v>
      </c>
      <c r="L2037" t="s">
        <v>823</v>
      </c>
      <c r="M2037" t="s">
        <v>829</v>
      </c>
      <c r="N2037" t="str">
        <f t="shared" si="93"/>
        <v>T-3</v>
      </c>
      <c r="O2037">
        <f t="shared" si="94"/>
        <v>2026</v>
      </c>
      <c r="P2037" t="str">
        <f t="shared" si="95"/>
        <v>8. agosto</v>
      </c>
    </row>
    <row r="2038" spans="1:16" x14ac:dyDescent="0.35">
      <c r="A2038">
        <v>488826</v>
      </c>
      <c r="B2038" t="s">
        <v>20</v>
      </c>
      <c r="C2038" t="s">
        <v>136</v>
      </c>
      <c r="D2038" t="s">
        <v>351</v>
      </c>
      <c r="E2038" t="s">
        <v>647</v>
      </c>
      <c r="F2038" t="s">
        <v>773</v>
      </c>
      <c r="G2038" s="1">
        <v>46237</v>
      </c>
      <c r="H2038" s="1">
        <v>46237</v>
      </c>
      <c r="I2038" s="2">
        <v>240</v>
      </c>
      <c r="J2038" t="s">
        <v>774</v>
      </c>
      <c r="K2038" t="s">
        <v>783</v>
      </c>
      <c r="L2038" t="s">
        <v>824</v>
      </c>
      <c r="M2038" t="s">
        <v>830</v>
      </c>
      <c r="N2038" t="str">
        <f t="shared" si="93"/>
        <v>T-3</v>
      </c>
      <c r="O2038">
        <f t="shared" si="94"/>
        <v>2026</v>
      </c>
      <c r="P2038" t="str">
        <f t="shared" si="95"/>
        <v>8. agosto</v>
      </c>
    </row>
    <row r="2039" spans="1:16" x14ac:dyDescent="0.35">
      <c r="A2039">
        <v>408579</v>
      </c>
      <c r="B2039" t="s">
        <v>5</v>
      </c>
      <c r="C2039" t="s">
        <v>138</v>
      </c>
      <c r="D2039" t="s">
        <v>351</v>
      </c>
      <c r="E2039" t="s">
        <v>647</v>
      </c>
      <c r="F2039" t="s">
        <v>773</v>
      </c>
      <c r="G2039" s="1">
        <v>46237</v>
      </c>
      <c r="H2039" s="1">
        <v>46237</v>
      </c>
      <c r="I2039" s="2">
        <v>240</v>
      </c>
      <c r="J2039" t="s">
        <v>774</v>
      </c>
      <c r="K2039" t="s">
        <v>783</v>
      </c>
      <c r="L2039" t="s">
        <v>823</v>
      </c>
      <c r="M2039" t="s">
        <v>830</v>
      </c>
      <c r="N2039" t="str">
        <f t="shared" si="93"/>
        <v>T-3</v>
      </c>
      <c r="O2039">
        <f t="shared" si="94"/>
        <v>2026</v>
      </c>
      <c r="P2039" t="str">
        <f t="shared" si="95"/>
        <v>8. agosto</v>
      </c>
    </row>
    <row r="2040" spans="1:16" x14ac:dyDescent="0.35">
      <c r="A2040">
        <v>442199</v>
      </c>
      <c r="B2040" t="s">
        <v>5</v>
      </c>
      <c r="C2040" t="s">
        <v>138</v>
      </c>
      <c r="D2040" t="s">
        <v>351</v>
      </c>
      <c r="E2040" t="s">
        <v>647</v>
      </c>
      <c r="F2040" t="s">
        <v>773</v>
      </c>
      <c r="G2040" s="1">
        <v>46237</v>
      </c>
      <c r="H2040" s="1">
        <v>46237</v>
      </c>
      <c r="I2040" s="2">
        <v>240</v>
      </c>
      <c r="J2040" t="s">
        <v>774</v>
      </c>
      <c r="K2040" t="s">
        <v>783</v>
      </c>
      <c r="L2040" t="s">
        <v>823</v>
      </c>
      <c r="M2040" t="s">
        <v>828</v>
      </c>
      <c r="N2040" t="str">
        <f t="shared" si="93"/>
        <v>T-3</v>
      </c>
      <c r="O2040">
        <f t="shared" si="94"/>
        <v>2026</v>
      </c>
      <c r="P2040" t="str">
        <f t="shared" si="95"/>
        <v>8. agosto</v>
      </c>
    </row>
    <row r="2041" spans="1:16" x14ac:dyDescent="0.35">
      <c r="A2041">
        <v>442223</v>
      </c>
      <c r="B2041" t="s">
        <v>5</v>
      </c>
      <c r="C2041" t="s">
        <v>138</v>
      </c>
      <c r="D2041" t="s">
        <v>351</v>
      </c>
      <c r="E2041" t="s">
        <v>647</v>
      </c>
      <c r="F2041" t="s">
        <v>773</v>
      </c>
      <c r="G2041" s="1">
        <v>46237</v>
      </c>
      <c r="H2041" s="1">
        <v>46237</v>
      </c>
      <c r="I2041" s="2">
        <v>240</v>
      </c>
      <c r="J2041" t="s">
        <v>774</v>
      </c>
      <c r="K2041" t="s">
        <v>783</v>
      </c>
      <c r="L2041" t="s">
        <v>823</v>
      </c>
      <c r="M2041" t="s">
        <v>828</v>
      </c>
      <c r="N2041" t="str">
        <f t="shared" si="93"/>
        <v>T-3</v>
      </c>
      <c r="O2041">
        <f t="shared" si="94"/>
        <v>2026</v>
      </c>
      <c r="P2041" t="str">
        <f t="shared" si="95"/>
        <v>8. agosto</v>
      </c>
    </row>
    <row r="2042" spans="1:16" x14ac:dyDescent="0.35">
      <c r="A2042">
        <v>609229</v>
      </c>
      <c r="B2042" t="s">
        <v>13</v>
      </c>
      <c r="C2042" t="s">
        <v>136</v>
      </c>
      <c r="D2042" t="s">
        <v>351</v>
      </c>
      <c r="E2042" t="s">
        <v>647</v>
      </c>
      <c r="F2042" t="s">
        <v>773</v>
      </c>
      <c r="G2042" s="1">
        <v>46237</v>
      </c>
      <c r="H2042" s="1">
        <v>46237</v>
      </c>
      <c r="I2042" s="2">
        <v>240</v>
      </c>
      <c r="J2042" t="s">
        <v>774</v>
      </c>
      <c r="K2042" t="s">
        <v>783</v>
      </c>
      <c r="L2042" t="s">
        <v>823</v>
      </c>
      <c r="M2042" t="s">
        <v>830</v>
      </c>
      <c r="N2042" t="str">
        <f t="shared" si="93"/>
        <v>T-3</v>
      </c>
      <c r="O2042">
        <f t="shared" si="94"/>
        <v>2026</v>
      </c>
      <c r="P2042" t="str">
        <f t="shared" si="95"/>
        <v>8. agosto</v>
      </c>
    </row>
    <row r="2043" spans="1:16" x14ac:dyDescent="0.35">
      <c r="A2043">
        <v>706633</v>
      </c>
      <c r="B2043" t="s">
        <v>5</v>
      </c>
      <c r="C2043" t="s">
        <v>138</v>
      </c>
      <c r="D2043" t="s">
        <v>351</v>
      </c>
      <c r="E2043" t="s">
        <v>647</v>
      </c>
      <c r="F2043" t="s">
        <v>773</v>
      </c>
      <c r="G2043" s="1">
        <v>46237</v>
      </c>
      <c r="H2043" s="1">
        <v>46237</v>
      </c>
      <c r="I2043" s="2">
        <v>240</v>
      </c>
      <c r="J2043" t="s">
        <v>774</v>
      </c>
      <c r="K2043" t="s">
        <v>783</v>
      </c>
      <c r="L2043" t="s">
        <v>823</v>
      </c>
      <c r="M2043" t="s">
        <v>829</v>
      </c>
      <c r="N2043" t="str">
        <f t="shared" si="93"/>
        <v>T-3</v>
      </c>
      <c r="O2043">
        <f t="shared" si="94"/>
        <v>2026</v>
      </c>
      <c r="P2043" t="str">
        <f t="shared" si="95"/>
        <v>8. agosto</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A9FF2-5559-464E-AF55-64F7C0806F8C}">
  <dimension ref="B2:K26"/>
  <sheetViews>
    <sheetView workbookViewId="0">
      <selection activeCell="B5" sqref="B5"/>
    </sheetView>
  </sheetViews>
  <sheetFormatPr baseColWidth="10" defaultColWidth="13.7265625" defaultRowHeight="14.5" x14ac:dyDescent="0.35"/>
  <cols>
    <col min="2" max="2" width="17.1796875" bestFit="1" customWidth="1"/>
    <col min="3" max="4" width="31.36328125" bestFit="1" customWidth="1"/>
    <col min="5" max="5" width="11.54296875" bestFit="1" customWidth="1"/>
    <col min="6" max="6" width="23.54296875" bestFit="1" customWidth="1"/>
    <col min="7" max="7" width="31.36328125" bestFit="1" customWidth="1"/>
    <col min="8" max="8" width="11.54296875" bestFit="1" customWidth="1"/>
    <col min="9" max="9" width="47.1796875" bestFit="1" customWidth="1"/>
    <col min="10" max="10" width="31.36328125" bestFit="1" customWidth="1"/>
    <col min="11" max="11" width="12.26953125" bestFit="1" customWidth="1"/>
  </cols>
  <sheetData>
    <row r="2" spans="2:11" x14ac:dyDescent="0.35">
      <c r="D2" s="3" t="s">
        <v>816</v>
      </c>
      <c r="E2" t="s" vm="1">
        <v>187</v>
      </c>
      <c r="G2" s="3" t="s">
        <v>816</v>
      </c>
      <c r="H2" t="s" vm="2">
        <v>773</v>
      </c>
      <c r="J2" s="3" t="s">
        <v>816</v>
      </c>
      <c r="K2" t="s" vm="3">
        <v>188</v>
      </c>
    </row>
    <row r="3" spans="2:11" x14ac:dyDescent="0.35">
      <c r="B3" t="s">
        <v>832</v>
      </c>
    </row>
    <row r="4" spans="2:11" x14ac:dyDescent="0.35">
      <c r="B4" t="s">
        <v>831</v>
      </c>
      <c r="D4" t="s">
        <v>831</v>
      </c>
      <c r="G4" t="s">
        <v>831</v>
      </c>
      <c r="J4" t="s">
        <v>831</v>
      </c>
    </row>
    <row r="5" spans="2:11" x14ac:dyDescent="0.35">
      <c r="B5" s="4">
        <v>2042</v>
      </c>
      <c r="D5" s="4">
        <v>1775</v>
      </c>
      <c r="G5" s="4">
        <v>234</v>
      </c>
      <c r="J5" s="4">
        <v>33</v>
      </c>
    </row>
    <row r="7" spans="2:11" s="7" customFormat="1" x14ac:dyDescent="0.35">
      <c r="B7" s="7">
        <f>GETPIVOTDATA("[Measures].[Recuento de Título de la formación]",$B$4)</f>
        <v>2042</v>
      </c>
      <c r="D7" s="7">
        <f>GETPIVOTDATA("[Measures].[Recuento de Título de la formación]",$D$4)</f>
        <v>1775</v>
      </c>
      <c r="G7" s="7">
        <f>GETPIVOTDATA("[Measures].[Recuento de Título de la formación]",$G$4)</f>
        <v>234</v>
      </c>
      <c r="J7" s="7">
        <f>GETPIVOTDATA("[Measures].[Recuento de Título de la formación]",$J$4)</f>
        <v>33</v>
      </c>
    </row>
    <row r="8" spans="2:11" x14ac:dyDescent="0.35">
      <c r="D8" s="10">
        <f>D7/$B$7</f>
        <v>0.86924583741429973</v>
      </c>
      <c r="E8" s="11"/>
      <c r="F8" s="11"/>
      <c r="G8" s="10">
        <f>G7/$B$7</f>
        <v>0.11459353574926542</v>
      </c>
      <c r="H8" s="11"/>
      <c r="I8" s="11"/>
      <c r="J8" s="10">
        <f>J7/$B$7</f>
        <v>1.6160626836434867E-2</v>
      </c>
    </row>
    <row r="9" spans="2:11" x14ac:dyDescent="0.35">
      <c r="D9" s="11">
        <f>100%-D8</f>
        <v>0.13075416258570027</v>
      </c>
      <c r="G9" s="11">
        <f>100%-G8</f>
        <v>0.88540646425073455</v>
      </c>
      <c r="J9" s="11">
        <f>100%-J8</f>
        <v>0.98383937316356518</v>
      </c>
    </row>
    <row r="11" spans="2:11" x14ac:dyDescent="0.35">
      <c r="B11" t="s">
        <v>834</v>
      </c>
      <c r="E11" t="s">
        <v>847</v>
      </c>
      <c r="I11" t="s">
        <v>851</v>
      </c>
    </row>
    <row r="12" spans="2:11" x14ac:dyDescent="0.35">
      <c r="B12" s="3" t="s">
        <v>816</v>
      </c>
      <c r="C12" t="s" vm="1">
        <v>187</v>
      </c>
      <c r="E12" s="3" t="s">
        <v>816</v>
      </c>
      <c r="F12" t="s" vm="1">
        <v>187</v>
      </c>
      <c r="I12" s="3" t="s">
        <v>816</v>
      </c>
      <c r="J12" t="s" vm="1">
        <v>187</v>
      </c>
    </row>
    <row r="13" spans="2:11" x14ac:dyDescent="0.35">
      <c r="B13" s="3" t="s">
        <v>826</v>
      </c>
      <c r="C13" t="s" vm="4">
        <v>833</v>
      </c>
      <c r="E13" s="3" t="s">
        <v>826</v>
      </c>
      <c r="F13" t="s" vm="4">
        <v>833</v>
      </c>
      <c r="I13" s="3" t="s">
        <v>826</v>
      </c>
      <c r="J13" t="s" vm="4">
        <v>833</v>
      </c>
    </row>
    <row r="15" spans="2:11" x14ac:dyDescent="0.35">
      <c r="B15" s="3" t="s">
        <v>835</v>
      </c>
      <c r="C15" t="s">
        <v>831</v>
      </c>
      <c r="E15" s="3" t="s">
        <v>849</v>
      </c>
      <c r="F15" t="s">
        <v>848</v>
      </c>
      <c r="G15" t="s">
        <v>850</v>
      </c>
      <c r="I15" s="3" t="s">
        <v>835</v>
      </c>
      <c r="J15" t="s">
        <v>831</v>
      </c>
    </row>
    <row r="16" spans="2:11" x14ac:dyDescent="0.35">
      <c r="B16" s="8" t="s">
        <v>836</v>
      </c>
      <c r="C16" s="4">
        <v>38</v>
      </c>
      <c r="E16" s="8" t="s">
        <v>161</v>
      </c>
      <c r="F16" s="4">
        <v>36</v>
      </c>
      <c r="G16" s="9">
        <v>2340.4741666666669</v>
      </c>
      <c r="I16" s="8" t="s">
        <v>652</v>
      </c>
      <c r="J16" s="4">
        <v>204</v>
      </c>
    </row>
    <row r="17" spans="2:10" x14ac:dyDescent="0.35">
      <c r="B17" s="8" t="s">
        <v>837</v>
      </c>
      <c r="C17" s="4">
        <v>40</v>
      </c>
      <c r="E17" s="8" t="s">
        <v>232</v>
      </c>
      <c r="F17" s="4">
        <v>29</v>
      </c>
      <c r="G17" s="9">
        <v>595.87793103448269</v>
      </c>
      <c r="I17" s="8" t="s">
        <v>675</v>
      </c>
      <c r="J17" s="4">
        <v>131</v>
      </c>
    </row>
    <row r="18" spans="2:10" x14ac:dyDescent="0.35">
      <c r="B18" s="8" t="s">
        <v>838</v>
      </c>
      <c r="C18" s="4">
        <v>116</v>
      </c>
      <c r="E18" s="8" t="s">
        <v>210</v>
      </c>
      <c r="F18" s="4">
        <v>35</v>
      </c>
      <c r="G18" s="9">
        <v>1023.7142857142857</v>
      </c>
      <c r="I18" s="8" t="s">
        <v>678</v>
      </c>
      <c r="J18" s="4">
        <v>127</v>
      </c>
    </row>
    <row r="19" spans="2:10" x14ac:dyDescent="0.35">
      <c r="B19" s="8" t="s">
        <v>839</v>
      </c>
      <c r="C19" s="4">
        <v>158</v>
      </c>
      <c r="E19" s="8" t="s">
        <v>164</v>
      </c>
      <c r="F19" s="4">
        <v>28</v>
      </c>
      <c r="G19" s="9">
        <v>776.5360714285714</v>
      </c>
      <c r="I19" s="8" t="s">
        <v>737</v>
      </c>
      <c r="J19" s="4">
        <v>106</v>
      </c>
    </row>
    <row r="20" spans="2:10" x14ac:dyDescent="0.35">
      <c r="B20" s="8" t="s">
        <v>840</v>
      </c>
      <c r="C20" s="4">
        <v>157</v>
      </c>
      <c r="E20" s="8" t="s">
        <v>311</v>
      </c>
      <c r="F20" s="4">
        <v>27</v>
      </c>
      <c r="G20" s="9">
        <v>1152.241111111111</v>
      </c>
      <c r="I20" s="8" t="s">
        <v>647</v>
      </c>
      <c r="J20" s="4">
        <v>104</v>
      </c>
    </row>
    <row r="21" spans="2:10" x14ac:dyDescent="0.35">
      <c r="B21" s="8" t="s">
        <v>841</v>
      </c>
      <c r="C21" s="4">
        <v>184</v>
      </c>
      <c r="E21" s="8" t="s">
        <v>446</v>
      </c>
      <c r="F21" s="4">
        <v>27</v>
      </c>
      <c r="G21" s="9">
        <v>1325.037037037037</v>
      </c>
      <c r="I21" s="8" t="s">
        <v>703</v>
      </c>
      <c r="J21" s="4">
        <v>93</v>
      </c>
    </row>
    <row r="22" spans="2:10" x14ac:dyDescent="0.35">
      <c r="B22" s="8" t="s">
        <v>842</v>
      </c>
      <c r="C22" s="4">
        <v>217</v>
      </c>
      <c r="E22" s="8" t="s">
        <v>156</v>
      </c>
      <c r="F22" s="4">
        <v>25</v>
      </c>
      <c r="G22" s="9">
        <v>1765</v>
      </c>
      <c r="I22" s="8" t="s">
        <v>669</v>
      </c>
      <c r="J22" s="4">
        <v>83</v>
      </c>
    </row>
    <row r="23" spans="2:10" x14ac:dyDescent="0.35">
      <c r="B23" s="8" t="s">
        <v>843</v>
      </c>
      <c r="C23" s="4">
        <v>11</v>
      </c>
      <c r="E23" s="8" t="s">
        <v>378</v>
      </c>
      <c r="F23" s="4">
        <v>27</v>
      </c>
      <c r="G23" s="9">
        <v>683.25962962962956</v>
      </c>
      <c r="I23" s="8" t="s">
        <v>740</v>
      </c>
      <c r="J23" s="4">
        <v>79</v>
      </c>
    </row>
    <row r="24" spans="2:10" x14ac:dyDescent="0.35">
      <c r="B24" s="8" t="s">
        <v>844</v>
      </c>
      <c r="C24" s="4">
        <v>401</v>
      </c>
      <c r="E24" s="8" t="s">
        <v>171</v>
      </c>
      <c r="F24" s="4">
        <v>38</v>
      </c>
      <c r="G24" s="9">
        <v>522.98552631578946</v>
      </c>
      <c r="I24" s="8" t="s">
        <v>694</v>
      </c>
      <c r="J24" s="4">
        <v>79</v>
      </c>
    </row>
    <row r="25" spans="2:10" x14ac:dyDescent="0.35">
      <c r="B25" s="8" t="s">
        <v>845</v>
      </c>
      <c r="C25" s="4">
        <v>401</v>
      </c>
      <c r="E25" s="8" t="s">
        <v>246</v>
      </c>
      <c r="F25" s="4">
        <v>25</v>
      </c>
      <c r="G25" s="9">
        <v>581.76</v>
      </c>
      <c r="I25" s="8" t="s">
        <v>714</v>
      </c>
      <c r="J25" s="4">
        <v>71</v>
      </c>
    </row>
    <row r="26" spans="2:10" x14ac:dyDescent="0.35">
      <c r="B26" s="8" t="s">
        <v>846</v>
      </c>
      <c r="C26" s="4">
        <v>52</v>
      </c>
    </row>
  </sheetData>
  <pageMargins left="0.7" right="0.7" top="0.75" bottom="0.75" header="0.3" footer="0.3"/>
  <pageSetup paperSize="9"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D139-8C5A-46E3-9032-C092C1E9407B}">
  <dimension ref="A1:V52"/>
  <sheetViews>
    <sheetView zoomScale="70" zoomScaleNormal="70" workbookViewId="0">
      <selection activeCell="Z23" sqref="Z23"/>
    </sheetView>
  </sheetViews>
  <sheetFormatPr baseColWidth="10" defaultRowHeight="14" x14ac:dyDescent="0.3"/>
  <cols>
    <col min="1" max="16384" width="10.90625" style="5"/>
  </cols>
  <sheetData>
    <row r="1" spans="1:22" x14ac:dyDescent="0.3">
      <c r="A1" s="6"/>
      <c r="B1" s="6"/>
      <c r="C1" s="6"/>
      <c r="D1" s="6"/>
      <c r="E1" s="6"/>
      <c r="F1" s="6"/>
      <c r="G1" s="6"/>
      <c r="H1" s="6"/>
      <c r="I1" s="6"/>
      <c r="J1" s="6"/>
      <c r="K1" s="6"/>
      <c r="L1" s="6"/>
      <c r="M1" s="6"/>
      <c r="N1" s="6"/>
      <c r="O1" s="6"/>
      <c r="P1" s="6"/>
      <c r="Q1" s="6"/>
      <c r="R1" s="6"/>
      <c r="S1" s="6"/>
      <c r="T1" s="6"/>
      <c r="U1" s="6"/>
      <c r="V1" s="6"/>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6"/>
      <c r="C5" s="6"/>
      <c r="D5" s="6"/>
      <c r="E5" s="6"/>
      <c r="F5" s="6"/>
      <c r="G5" s="6"/>
      <c r="H5" s="6"/>
      <c r="I5" s="6"/>
      <c r="J5" s="6"/>
      <c r="K5" s="6"/>
      <c r="L5" s="6"/>
      <c r="M5" s="6"/>
      <c r="N5" s="6"/>
      <c r="O5" s="6"/>
      <c r="P5" s="6"/>
      <c r="Q5" s="6"/>
      <c r="R5" s="6"/>
      <c r="S5" s="6"/>
      <c r="T5" s="6"/>
      <c r="U5" s="6"/>
      <c r="V5" s="6"/>
    </row>
    <row r="6" spans="1:22" x14ac:dyDescent="0.3">
      <c r="A6" s="6"/>
      <c r="B6" s="6"/>
      <c r="C6" s="6"/>
      <c r="D6" s="6"/>
      <c r="E6" s="6"/>
      <c r="F6" s="6"/>
      <c r="G6" s="6"/>
      <c r="H6" s="6"/>
      <c r="I6" s="6"/>
      <c r="J6" s="6"/>
      <c r="K6" s="6"/>
      <c r="L6" s="6"/>
      <c r="M6" s="6"/>
      <c r="N6" s="6"/>
      <c r="O6" s="6"/>
      <c r="P6" s="6"/>
      <c r="Q6" s="6"/>
      <c r="R6" s="6"/>
      <c r="S6" s="6"/>
      <c r="T6" s="6"/>
      <c r="U6" s="6"/>
      <c r="V6" s="6"/>
    </row>
    <row r="7" spans="1:22" x14ac:dyDescent="0.3">
      <c r="A7" s="6"/>
      <c r="B7" s="6"/>
      <c r="C7" s="6"/>
      <c r="D7" s="6"/>
      <c r="E7" s="6"/>
      <c r="F7" s="6"/>
      <c r="G7" s="6"/>
      <c r="H7" s="6"/>
      <c r="I7" s="6"/>
      <c r="J7" s="6"/>
      <c r="K7" s="6"/>
      <c r="L7" s="6"/>
      <c r="M7" s="6"/>
      <c r="N7" s="6"/>
      <c r="O7" s="6"/>
      <c r="P7" s="6"/>
      <c r="Q7" s="6"/>
      <c r="R7" s="6"/>
      <c r="S7" s="6"/>
      <c r="T7" s="6"/>
      <c r="U7" s="6"/>
      <c r="V7" s="6"/>
    </row>
    <row r="8" spans="1:22" x14ac:dyDescent="0.3">
      <c r="A8" s="6"/>
      <c r="B8" s="6"/>
      <c r="C8" s="6"/>
      <c r="D8" s="6"/>
      <c r="E8" s="6"/>
      <c r="F8" s="6"/>
      <c r="G8" s="6"/>
      <c r="H8" s="6"/>
      <c r="I8" s="6"/>
      <c r="J8" s="6"/>
      <c r="K8" s="6"/>
      <c r="L8" s="6"/>
      <c r="M8" s="6"/>
      <c r="N8" s="6"/>
      <c r="O8" s="6"/>
      <c r="P8" s="6"/>
      <c r="Q8" s="6"/>
      <c r="R8" s="6"/>
      <c r="S8" s="6"/>
      <c r="T8" s="6"/>
      <c r="U8" s="6"/>
      <c r="V8" s="6"/>
    </row>
    <row r="9" spans="1:22" x14ac:dyDescent="0.3">
      <c r="A9" s="6"/>
      <c r="B9" s="6"/>
      <c r="C9" s="6"/>
      <c r="D9" s="6"/>
      <c r="E9" s="6"/>
      <c r="F9" s="6"/>
      <c r="G9" s="6"/>
      <c r="H9" s="6"/>
      <c r="I9" s="6"/>
      <c r="J9" s="6"/>
      <c r="K9" s="6"/>
      <c r="L9" s="6"/>
      <c r="M9" s="6"/>
      <c r="N9" s="6"/>
      <c r="O9" s="6"/>
      <c r="P9" s="6"/>
      <c r="Q9" s="6"/>
      <c r="R9" s="6"/>
      <c r="S9" s="6"/>
      <c r="T9" s="6"/>
      <c r="U9" s="6"/>
      <c r="V9" s="6"/>
    </row>
    <row r="10" spans="1:22" x14ac:dyDescent="0.3">
      <c r="A10" s="6"/>
      <c r="B10" s="6"/>
      <c r="C10" s="6"/>
      <c r="D10" s="6"/>
      <c r="E10" s="6"/>
      <c r="F10" s="6"/>
      <c r="G10" s="6"/>
      <c r="H10" s="6"/>
      <c r="I10" s="6"/>
      <c r="J10" s="6"/>
      <c r="K10" s="6"/>
      <c r="L10" s="6"/>
      <c r="M10" s="6"/>
      <c r="N10" s="6"/>
      <c r="O10" s="6"/>
      <c r="P10" s="6"/>
      <c r="Q10" s="6"/>
      <c r="R10" s="6"/>
      <c r="S10" s="6"/>
      <c r="T10" s="6"/>
      <c r="U10" s="6"/>
      <c r="V10" s="6"/>
    </row>
    <row r="11" spans="1:22" x14ac:dyDescent="0.3">
      <c r="A11" s="6"/>
      <c r="B11" s="6"/>
      <c r="C11" s="6"/>
      <c r="D11" s="6"/>
      <c r="E11" s="6"/>
      <c r="F11" s="6"/>
      <c r="G11" s="6"/>
      <c r="H11" s="6"/>
      <c r="I11" s="6"/>
      <c r="J11" s="6"/>
      <c r="K11" s="6"/>
      <c r="L11" s="6"/>
      <c r="M11" s="6"/>
      <c r="N11" s="6"/>
      <c r="O11" s="6"/>
      <c r="P11" s="6"/>
      <c r="Q11" s="6"/>
      <c r="R11" s="6"/>
      <c r="S11" s="6"/>
      <c r="T11" s="6"/>
      <c r="U11" s="6"/>
      <c r="V11" s="6"/>
    </row>
    <row r="12" spans="1:22" x14ac:dyDescent="0.3">
      <c r="A12" s="6"/>
      <c r="B12" s="6"/>
      <c r="C12" s="6"/>
      <c r="D12" s="6"/>
      <c r="E12" s="6"/>
      <c r="F12" s="6"/>
      <c r="G12" s="6"/>
      <c r="H12" s="6"/>
      <c r="I12" s="6"/>
      <c r="J12" s="6"/>
      <c r="K12" s="6"/>
      <c r="L12" s="6"/>
      <c r="M12" s="6"/>
      <c r="N12" s="6"/>
      <c r="O12" s="6"/>
      <c r="P12" s="6"/>
      <c r="Q12" s="6"/>
      <c r="R12" s="6"/>
      <c r="S12" s="6"/>
      <c r="T12" s="6"/>
      <c r="U12" s="6"/>
      <c r="V12" s="6"/>
    </row>
    <row r="13" spans="1:22" x14ac:dyDescent="0.3">
      <c r="A13" s="6"/>
      <c r="B13" s="6"/>
      <c r="C13" s="6"/>
      <c r="D13" s="6"/>
      <c r="E13" s="6"/>
      <c r="F13" s="6"/>
      <c r="G13" s="6"/>
      <c r="H13" s="6"/>
      <c r="I13" s="6"/>
      <c r="J13" s="6"/>
      <c r="K13" s="6"/>
      <c r="L13" s="6"/>
      <c r="M13" s="6"/>
      <c r="N13" s="6"/>
      <c r="O13" s="6"/>
      <c r="P13" s="6"/>
      <c r="Q13" s="6"/>
      <c r="R13" s="6"/>
      <c r="S13" s="6"/>
      <c r="T13" s="6"/>
      <c r="U13" s="6"/>
      <c r="V13" s="6"/>
    </row>
    <row r="14" spans="1:22" x14ac:dyDescent="0.3">
      <c r="A14" s="6"/>
      <c r="B14" s="6"/>
      <c r="C14" s="6"/>
      <c r="D14" s="6"/>
      <c r="E14" s="6"/>
      <c r="F14" s="6"/>
      <c r="G14" s="6"/>
      <c r="H14" s="6"/>
      <c r="I14" s="6"/>
      <c r="J14" s="6"/>
      <c r="K14" s="6"/>
      <c r="L14" s="6"/>
      <c r="M14" s="6"/>
      <c r="N14" s="6"/>
      <c r="O14" s="6"/>
      <c r="P14" s="6"/>
      <c r="Q14" s="6"/>
      <c r="R14" s="6"/>
      <c r="S14" s="6"/>
      <c r="T14" s="6"/>
      <c r="U14" s="6"/>
      <c r="V14" s="6"/>
    </row>
    <row r="15" spans="1:22" x14ac:dyDescent="0.3">
      <c r="A15" s="6"/>
      <c r="B15" s="6"/>
      <c r="C15" s="6"/>
      <c r="D15" s="6"/>
      <c r="E15" s="6"/>
      <c r="F15" s="6"/>
      <c r="G15" s="6"/>
      <c r="H15" s="6"/>
      <c r="I15" s="6"/>
      <c r="J15" s="6"/>
      <c r="K15" s="6"/>
      <c r="L15" s="6"/>
      <c r="M15" s="6"/>
      <c r="N15" s="6"/>
      <c r="O15" s="6"/>
      <c r="P15" s="6"/>
      <c r="Q15" s="6"/>
      <c r="R15" s="6"/>
      <c r="S15" s="6"/>
      <c r="T15" s="6"/>
      <c r="U15" s="6"/>
      <c r="V15" s="6"/>
    </row>
    <row r="16" spans="1:22"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6"/>
      <c r="C26" s="6"/>
      <c r="D26" s="6"/>
      <c r="E26" s="6"/>
      <c r="F26" s="6"/>
      <c r="G26" s="6"/>
      <c r="H26" s="6"/>
      <c r="I26" s="6"/>
      <c r="J26" s="6"/>
      <c r="K26" s="6"/>
      <c r="L26" s="6"/>
      <c r="M26" s="6"/>
      <c r="N26" s="6"/>
      <c r="O26" s="6"/>
      <c r="P26" s="6"/>
      <c r="Q26" s="6"/>
      <c r="R26" s="6"/>
      <c r="S26" s="6"/>
      <c r="T26" s="6"/>
      <c r="U26" s="6"/>
      <c r="V26" s="6"/>
    </row>
    <row r="27" spans="1:22" x14ac:dyDescent="0.3">
      <c r="A27" s="6"/>
      <c r="B27" s="6"/>
      <c r="C27" s="6"/>
      <c r="D27" s="6"/>
      <c r="E27" s="6"/>
      <c r="F27" s="6"/>
      <c r="G27" s="6"/>
      <c r="H27" s="6"/>
      <c r="I27" s="6"/>
      <c r="J27" s="6"/>
      <c r="K27" s="6"/>
      <c r="L27" s="6"/>
      <c r="M27" s="6"/>
      <c r="N27" s="6"/>
      <c r="O27" s="6"/>
      <c r="P27" s="6"/>
      <c r="Q27" s="6"/>
      <c r="R27" s="6"/>
      <c r="S27" s="6"/>
      <c r="T27" s="6"/>
      <c r="U27" s="6"/>
      <c r="V27" s="6"/>
    </row>
    <row r="28" spans="1:22" x14ac:dyDescent="0.3">
      <c r="A28" s="6"/>
      <c r="B28" s="6"/>
      <c r="C28" s="6"/>
      <c r="D28" s="6"/>
      <c r="E28" s="6"/>
      <c r="F28" s="6"/>
      <c r="G28" s="6"/>
      <c r="H28" s="6"/>
      <c r="I28" s="6"/>
      <c r="J28" s="6"/>
      <c r="K28" s="6"/>
      <c r="L28" s="6"/>
      <c r="M28" s="6"/>
      <c r="N28" s="6"/>
      <c r="O28" s="6"/>
      <c r="P28" s="6"/>
      <c r="Q28" s="6"/>
      <c r="R28" s="6"/>
      <c r="S28" s="6"/>
      <c r="T28" s="6"/>
      <c r="U28" s="6"/>
      <c r="V28" s="6"/>
    </row>
    <row r="29" spans="1:22" x14ac:dyDescent="0.3">
      <c r="A29" s="6"/>
      <c r="B29" s="6"/>
      <c r="C29" s="6"/>
      <c r="D29" s="6"/>
      <c r="E29" s="6"/>
      <c r="F29" s="6"/>
      <c r="G29" s="6"/>
      <c r="H29" s="6"/>
      <c r="I29" s="6"/>
      <c r="J29" s="6"/>
      <c r="K29" s="6"/>
      <c r="L29" s="6"/>
      <c r="M29" s="6"/>
      <c r="N29" s="6"/>
      <c r="O29" s="6"/>
      <c r="P29" s="6"/>
      <c r="Q29" s="6"/>
      <c r="R29" s="6"/>
      <c r="S29" s="6"/>
      <c r="T29" s="6"/>
      <c r="U29" s="6"/>
      <c r="V29" s="6"/>
    </row>
    <row r="30" spans="1:22" x14ac:dyDescent="0.3">
      <c r="A30" s="6"/>
      <c r="B30" s="6"/>
      <c r="C30" s="6"/>
      <c r="D30" s="6"/>
      <c r="E30" s="6"/>
      <c r="F30" s="6"/>
      <c r="G30" s="6"/>
      <c r="H30" s="6"/>
      <c r="I30" s="6"/>
      <c r="J30" s="6"/>
      <c r="K30" s="6"/>
      <c r="L30" s="6"/>
      <c r="M30" s="6"/>
      <c r="N30" s="6"/>
      <c r="O30" s="6"/>
      <c r="P30" s="6"/>
      <c r="Q30" s="6"/>
      <c r="R30" s="6"/>
      <c r="S30" s="6"/>
      <c r="T30" s="6"/>
      <c r="U30" s="6"/>
      <c r="V30" s="6"/>
    </row>
    <row r="31" spans="1:22" x14ac:dyDescent="0.3">
      <c r="A31" s="6"/>
      <c r="B31" s="6"/>
      <c r="C31" s="6"/>
      <c r="D31" s="6"/>
      <c r="E31" s="6"/>
      <c r="F31" s="6"/>
      <c r="G31" s="6"/>
      <c r="H31" s="6"/>
      <c r="I31" s="6"/>
      <c r="J31" s="6"/>
      <c r="K31" s="6"/>
      <c r="L31" s="6"/>
      <c r="M31" s="6"/>
      <c r="N31" s="6"/>
      <c r="O31" s="6"/>
      <c r="P31" s="6"/>
      <c r="Q31" s="6"/>
      <c r="R31" s="6"/>
      <c r="S31" s="6"/>
      <c r="T31" s="6"/>
      <c r="U31" s="6"/>
      <c r="V31" s="6"/>
    </row>
    <row r="32" spans="1:22" x14ac:dyDescent="0.3">
      <c r="A32" s="6"/>
      <c r="B32" s="6"/>
      <c r="C32" s="6"/>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row r="34" spans="1:22" x14ac:dyDescent="0.3">
      <c r="A34" s="6"/>
      <c r="B34" s="6"/>
      <c r="C34" s="6"/>
      <c r="D34" s="6"/>
      <c r="E34" s="6"/>
      <c r="F34" s="6"/>
      <c r="G34" s="6"/>
      <c r="H34" s="6"/>
      <c r="I34" s="6"/>
      <c r="J34" s="6"/>
      <c r="K34" s="6"/>
      <c r="L34" s="6"/>
      <c r="M34" s="6"/>
      <c r="N34" s="6"/>
      <c r="O34" s="6"/>
      <c r="P34" s="6"/>
      <c r="Q34" s="6"/>
      <c r="R34" s="6"/>
      <c r="S34" s="6"/>
      <c r="T34" s="6"/>
      <c r="U34" s="6"/>
      <c r="V34" s="6"/>
    </row>
    <row r="35" spans="1:22" x14ac:dyDescent="0.3">
      <c r="A35" s="6"/>
      <c r="B35" s="6"/>
      <c r="C35" s="6"/>
      <c r="D35" s="6"/>
      <c r="E35" s="6"/>
      <c r="F35" s="6"/>
      <c r="G35" s="6"/>
      <c r="H35" s="6"/>
      <c r="I35" s="6"/>
      <c r="J35" s="6"/>
      <c r="K35" s="6"/>
      <c r="L35" s="6"/>
      <c r="M35" s="6"/>
      <c r="N35" s="6"/>
      <c r="O35" s="6"/>
      <c r="P35" s="6"/>
      <c r="Q35" s="6"/>
      <c r="R35" s="6"/>
      <c r="S35" s="6"/>
      <c r="T35" s="6"/>
      <c r="U35" s="6"/>
      <c r="V35" s="6"/>
    </row>
    <row r="36" spans="1:22" x14ac:dyDescent="0.3">
      <c r="A36" s="6"/>
      <c r="B36" s="6"/>
      <c r="C36" s="6"/>
      <c r="D36" s="6"/>
      <c r="E36" s="6"/>
      <c r="F36" s="6"/>
      <c r="G36" s="6"/>
      <c r="H36" s="6"/>
      <c r="I36" s="6"/>
      <c r="J36" s="6"/>
      <c r="K36" s="6"/>
      <c r="L36" s="6"/>
      <c r="M36" s="6"/>
      <c r="N36" s="6"/>
      <c r="O36" s="6"/>
      <c r="P36" s="6"/>
      <c r="Q36" s="6"/>
      <c r="R36" s="6"/>
      <c r="S36" s="6"/>
      <c r="T36" s="6"/>
      <c r="U36" s="6"/>
      <c r="V36" s="6"/>
    </row>
    <row r="37" spans="1:22" x14ac:dyDescent="0.3">
      <c r="A37" s="6"/>
      <c r="B37" s="6"/>
      <c r="C37" s="6"/>
      <c r="D37" s="6"/>
      <c r="E37" s="6"/>
      <c r="F37" s="6"/>
      <c r="G37" s="6"/>
      <c r="H37" s="6"/>
      <c r="I37" s="6"/>
      <c r="J37" s="6"/>
      <c r="K37" s="6"/>
      <c r="L37" s="6"/>
      <c r="M37" s="6"/>
      <c r="N37" s="6"/>
      <c r="O37" s="6"/>
      <c r="P37" s="6"/>
      <c r="Q37" s="6"/>
      <c r="R37" s="6"/>
      <c r="S37" s="6"/>
      <c r="T37" s="6"/>
      <c r="U37" s="6"/>
      <c r="V37" s="6"/>
    </row>
    <row r="38" spans="1:22" x14ac:dyDescent="0.3">
      <c r="A38" s="6"/>
      <c r="B38" s="6"/>
      <c r="C38" s="6"/>
      <c r="D38" s="6"/>
      <c r="E38" s="6"/>
      <c r="F38" s="6"/>
      <c r="G38" s="6"/>
      <c r="H38" s="6"/>
      <c r="I38" s="6"/>
      <c r="J38" s="6"/>
      <c r="K38" s="6"/>
      <c r="L38" s="6"/>
      <c r="M38" s="6"/>
      <c r="N38" s="6"/>
      <c r="O38" s="6"/>
      <c r="P38" s="6"/>
      <c r="Q38" s="6"/>
      <c r="R38" s="6"/>
      <c r="S38" s="6"/>
      <c r="T38" s="6"/>
      <c r="U38" s="6"/>
      <c r="V38" s="6"/>
    </row>
    <row r="39" spans="1:22" x14ac:dyDescent="0.3">
      <c r="A39" s="6"/>
      <c r="B39" s="6"/>
      <c r="C39" s="6"/>
      <c r="D39" s="6"/>
      <c r="E39" s="6"/>
      <c r="F39" s="6"/>
      <c r="G39" s="6"/>
      <c r="H39" s="6"/>
      <c r="I39" s="6"/>
      <c r="J39" s="6"/>
      <c r="K39" s="6"/>
      <c r="L39" s="6"/>
      <c r="M39" s="6"/>
      <c r="N39" s="6"/>
      <c r="O39" s="6"/>
      <c r="P39" s="6"/>
      <c r="Q39" s="6"/>
      <c r="R39" s="6"/>
      <c r="S39" s="6"/>
      <c r="T39" s="6"/>
      <c r="U39" s="6"/>
      <c r="V39" s="6"/>
    </row>
    <row r="40" spans="1:22" x14ac:dyDescent="0.3">
      <c r="A40" s="6"/>
      <c r="B40" s="6"/>
      <c r="C40" s="6"/>
      <c r="D40" s="6"/>
      <c r="E40" s="6"/>
      <c r="F40" s="6"/>
      <c r="G40" s="6"/>
      <c r="H40" s="6"/>
      <c r="I40" s="6"/>
      <c r="J40" s="6"/>
      <c r="K40" s="6"/>
      <c r="L40" s="6"/>
      <c r="M40" s="6"/>
      <c r="N40" s="6"/>
      <c r="O40" s="6"/>
      <c r="P40" s="6"/>
      <c r="Q40" s="6"/>
      <c r="R40" s="6"/>
      <c r="S40" s="6"/>
      <c r="T40" s="6"/>
      <c r="U40" s="6"/>
      <c r="V40" s="6"/>
    </row>
    <row r="41" spans="1:22" x14ac:dyDescent="0.3">
      <c r="A41" s="6"/>
      <c r="B41" s="6"/>
      <c r="C41" s="6"/>
      <c r="D41" s="6"/>
      <c r="E41" s="6"/>
      <c r="F41" s="6"/>
      <c r="G41" s="6"/>
      <c r="H41" s="6"/>
      <c r="I41" s="6"/>
      <c r="J41" s="6"/>
      <c r="K41" s="6"/>
      <c r="L41" s="6"/>
      <c r="M41" s="6"/>
      <c r="N41" s="6"/>
      <c r="O41" s="6"/>
      <c r="P41" s="6"/>
      <c r="Q41" s="6"/>
      <c r="R41" s="6"/>
      <c r="S41" s="6"/>
      <c r="T41" s="6"/>
      <c r="U41" s="6"/>
      <c r="V41" s="6"/>
    </row>
    <row r="42" spans="1:22" x14ac:dyDescent="0.3">
      <c r="A42" s="6"/>
      <c r="B42" s="6"/>
      <c r="C42" s="6"/>
      <c r="D42" s="6"/>
      <c r="E42" s="6"/>
      <c r="F42" s="6"/>
      <c r="G42" s="6"/>
      <c r="H42" s="6"/>
      <c r="I42" s="6"/>
      <c r="J42" s="6"/>
      <c r="K42" s="6"/>
      <c r="L42" s="6"/>
      <c r="M42" s="6"/>
      <c r="N42" s="6"/>
      <c r="O42" s="6"/>
      <c r="P42" s="6"/>
      <c r="Q42" s="6"/>
      <c r="R42" s="6"/>
      <c r="S42" s="6"/>
      <c r="T42" s="6"/>
      <c r="U42" s="6"/>
      <c r="V42" s="6"/>
    </row>
    <row r="43" spans="1:22" x14ac:dyDescent="0.3">
      <c r="A43" s="6"/>
      <c r="B43" s="6"/>
      <c r="C43" s="6"/>
      <c r="D43" s="6"/>
      <c r="E43" s="6"/>
      <c r="F43" s="6"/>
      <c r="G43" s="6"/>
      <c r="H43" s="6"/>
      <c r="I43" s="6"/>
      <c r="J43" s="6"/>
      <c r="K43" s="6"/>
      <c r="L43" s="6"/>
      <c r="M43" s="6"/>
      <c r="N43" s="6"/>
      <c r="O43" s="6"/>
      <c r="P43" s="6"/>
      <c r="Q43" s="6"/>
      <c r="R43" s="6"/>
      <c r="S43" s="6"/>
      <c r="T43" s="6"/>
      <c r="U43" s="6"/>
      <c r="V43" s="6"/>
    </row>
    <row r="44" spans="1:22" x14ac:dyDescent="0.3">
      <c r="A44" s="6"/>
      <c r="B44" s="6"/>
      <c r="C44" s="6"/>
      <c r="D44" s="6"/>
      <c r="E44" s="6"/>
      <c r="F44" s="6"/>
      <c r="G44" s="6"/>
      <c r="H44" s="6"/>
      <c r="I44" s="6"/>
      <c r="J44" s="6"/>
      <c r="K44" s="6"/>
      <c r="L44" s="6"/>
      <c r="M44" s="6"/>
      <c r="N44" s="6"/>
      <c r="O44" s="6"/>
      <c r="P44" s="6"/>
      <c r="Q44" s="6"/>
      <c r="R44" s="6"/>
      <c r="S44" s="6"/>
      <c r="T44" s="6"/>
      <c r="U44" s="6"/>
      <c r="V44" s="6"/>
    </row>
    <row r="45" spans="1:22" x14ac:dyDescent="0.3">
      <c r="A45" s="6"/>
      <c r="B45" s="6"/>
      <c r="C45" s="6"/>
      <c r="D45" s="6"/>
      <c r="E45" s="6"/>
      <c r="F45" s="6"/>
      <c r="G45" s="6"/>
      <c r="H45" s="6"/>
      <c r="I45" s="6"/>
      <c r="J45" s="6"/>
      <c r="K45" s="6"/>
      <c r="L45" s="6"/>
      <c r="M45" s="6"/>
      <c r="N45" s="6"/>
      <c r="O45" s="6"/>
      <c r="P45" s="6"/>
      <c r="Q45" s="6"/>
      <c r="R45" s="6"/>
      <c r="S45" s="6"/>
      <c r="T45" s="6"/>
      <c r="U45" s="6"/>
      <c r="V45" s="6"/>
    </row>
    <row r="46" spans="1:22" x14ac:dyDescent="0.3">
      <c r="A46" s="6"/>
      <c r="B46" s="6"/>
      <c r="C46" s="6"/>
      <c r="D46" s="6"/>
      <c r="E46" s="6"/>
      <c r="F46" s="6"/>
      <c r="G46" s="6"/>
      <c r="H46" s="6"/>
      <c r="I46" s="6"/>
      <c r="J46" s="6"/>
      <c r="K46" s="6"/>
      <c r="L46" s="6"/>
      <c r="M46" s="6"/>
      <c r="N46" s="6"/>
      <c r="O46" s="6"/>
      <c r="P46" s="6"/>
      <c r="Q46" s="6"/>
      <c r="R46" s="6"/>
      <c r="S46" s="6"/>
      <c r="T46" s="6"/>
      <c r="U46" s="6"/>
      <c r="V46" s="6"/>
    </row>
    <row r="47" spans="1:22" x14ac:dyDescent="0.3">
      <c r="A47" s="6"/>
      <c r="B47" s="6"/>
      <c r="C47" s="6"/>
      <c r="D47" s="6"/>
      <c r="E47" s="6"/>
      <c r="F47" s="6"/>
      <c r="G47" s="6"/>
      <c r="H47" s="6"/>
      <c r="I47" s="6"/>
      <c r="J47" s="6"/>
      <c r="K47" s="6"/>
      <c r="L47" s="6"/>
      <c r="M47" s="6"/>
      <c r="N47" s="6"/>
      <c r="O47" s="6"/>
      <c r="P47" s="6"/>
      <c r="Q47" s="6"/>
      <c r="R47" s="6"/>
      <c r="S47" s="6"/>
      <c r="T47" s="6"/>
      <c r="U47" s="6"/>
      <c r="V47" s="6"/>
    </row>
    <row r="48" spans="1:22" x14ac:dyDescent="0.3">
      <c r="A48" s="6"/>
      <c r="B48" s="6"/>
      <c r="C48" s="6"/>
      <c r="D48" s="6"/>
      <c r="E48" s="6"/>
      <c r="F48" s="6"/>
      <c r="G48" s="6"/>
      <c r="H48" s="6"/>
      <c r="I48" s="6"/>
      <c r="J48" s="6"/>
      <c r="K48" s="6"/>
      <c r="L48" s="6"/>
      <c r="M48" s="6"/>
      <c r="N48" s="6"/>
      <c r="O48" s="6"/>
      <c r="P48" s="6"/>
      <c r="Q48" s="6"/>
      <c r="R48" s="6"/>
      <c r="S48" s="6"/>
      <c r="T48" s="6"/>
      <c r="U48" s="6"/>
      <c r="V48" s="6"/>
    </row>
    <row r="49" spans="1:22" x14ac:dyDescent="0.3">
      <c r="A49" s="6"/>
      <c r="B49" s="6"/>
      <c r="C49" s="6"/>
      <c r="D49" s="6"/>
      <c r="E49" s="6"/>
      <c r="F49" s="6"/>
      <c r="G49" s="6"/>
      <c r="H49" s="6"/>
      <c r="I49" s="6"/>
      <c r="J49" s="6"/>
      <c r="K49" s="6"/>
      <c r="L49" s="6"/>
      <c r="M49" s="6"/>
      <c r="N49" s="6"/>
      <c r="O49" s="6"/>
      <c r="P49" s="6"/>
      <c r="Q49" s="6"/>
      <c r="R49" s="6"/>
      <c r="S49" s="6"/>
      <c r="T49" s="6"/>
      <c r="U49" s="6"/>
      <c r="V49" s="6"/>
    </row>
    <row r="50" spans="1:22" x14ac:dyDescent="0.3">
      <c r="A50" s="6"/>
      <c r="B50" s="6"/>
      <c r="C50" s="6"/>
      <c r="D50" s="6"/>
      <c r="E50" s="6"/>
      <c r="F50" s="6"/>
      <c r="G50" s="6"/>
      <c r="H50" s="6"/>
      <c r="I50" s="6"/>
      <c r="J50" s="6"/>
      <c r="K50" s="6"/>
      <c r="L50" s="6"/>
      <c r="M50" s="6"/>
      <c r="N50" s="6"/>
      <c r="O50" s="6"/>
      <c r="P50" s="6"/>
      <c r="Q50" s="6"/>
      <c r="R50" s="6"/>
      <c r="S50" s="6"/>
      <c r="T50" s="6"/>
      <c r="U50" s="6"/>
      <c r="V50" s="6"/>
    </row>
    <row r="51" spans="1:22" x14ac:dyDescent="0.3">
      <c r="A51" s="6"/>
      <c r="B51" s="6"/>
      <c r="C51" s="6"/>
      <c r="D51" s="6"/>
      <c r="E51" s="6"/>
      <c r="F51" s="6"/>
      <c r="G51" s="6"/>
      <c r="H51" s="6"/>
      <c r="I51" s="6"/>
      <c r="J51" s="6"/>
      <c r="K51" s="6"/>
      <c r="L51" s="6"/>
      <c r="M51" s="6"/>
      <c r="N51" s="6"/>
      <c r="O51" s="6"/>
      <c r="P51" s="6"/>
      <c r="Q51" s="6"/>
      <c r="R51" s="6"/>
      <c r="S51" s="6"/>
      <c r="T51" s="6"/>
      <c r="U51" s="6"/>
      <c r="V51" s="6"/>
    </row>
    <row r="52" spans="1:22" x14ac:dyDescent="0.3">
      <c r="A52" s="6"/>
      <c r="B52" s="6"/>
      <c r="C52" s="6"/>
      <c r="D52" s="6"/>
      <c r="E52" s="6"/>
      <c r="F52" s="6"/>
      <c r="G52" s="6"/>
      <c r="H52" s="6"/>
      <c r="I52" s="6"/>
      <c r="J52" s="6"/>
      <c r="K52" s="6"/>
      <c r="L52" s="6"/>
      <c r="M52" s="6"/>
      <c r="N52" s="6"/>
      <c r="O52" s="6"/>
      <c r="P52" s="6"/>
      <c r="Q52" s="6"/>
      <c r="R52" s="6"/>
      <c r="S52" s="6"/>
      <c r="T52" s="6"/>
      <c r="U52" s="6"/>
      <c r="V5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7808e005-1489-4374-954b-d3b08f193920}" enabled="0" method="" siteId="{7808e005-1489-4374-954b-d3b08f19392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Readme</vt:lpstr>
      <vt:lpstr>Base de datos</vt:lpstr>
      <vt:lpstr>TD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Quirós Avendaño, María</dc:creator>
  <cp:lastModifiedBy>Quirós Avendaño, María</cp:lastModifiedBy>
  <dcterms:created xsi:type="dcterms:W3CDTF">2025-11-16T10:10:47Z</dcterms:created>
  <dcterms:modified xsi:type="dcterms:W3CDTF">2025-11-30T17:54:07Z</dcterms:modified>
</cp:coreProperties>
</file>